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justdriveice-my.sharepoint.com/personal/lennie_khularides_co_za/Documents/"/>
    </mc:Choice>
  </mc:AlternateContent>
  <xr:revisionPtr revIDLastSave="0" documentId="8_{0CCBBB80-F4ED-434C-9B3B-0D1E275B6431}" xr6:coauthVersionLast="47" xr6:coauthVersionMax="47" xr10:uidLastSave="{00000000-0000-0000-0000-000000000000}"/>
  <bookViews>
    <workbookView xWindow="10660" yWindow="7320" windowWidth="15420" windowHeight="9660" firstSheet="20" activeTab="23" xr2:uid="{00000000-000D-0000-FFFF-FFFF00000000}"/>
  </bookViews>
  <sheets>
    <sheet name="Driver Earnings (Formulas)" sheetId="1" r:id="rId1"/>
    <sheet name="15-21 Dec" sheetId="2" r:id="rId2"/>
    <sheet name="2-8 Feb" sheetId="8" r:id="rId3"/>
    <sheet name="22-28 Dec" sheetId="3" r:id="rId4"/>
    <sheet name="29-4 Jan " sheetId="4" r:id="rId5"/>
    <sheet name="5-11 Jan" sheetId="5" r:id="rId6"/>
    <sheet name="19-25 Jan" sheetId="7" r:id="rId7"/>
    <sheet name="12-18 JAN" sheetId="6" r:id="rId8"/>
    <sheet name="26-1 Feb" sheetId="9" r:id="rId9"/>
    <sheet name="9-15 Feb" sheetId="10" r:id="rId10"/>
    <sheet name="16-22 Feb" sheetId="11" r:id="rId11"/>
    <sheet name="23Feb-1Mar" sheetId="12" r:id="rId12"/>
    <sheet name="30 Mar-5Apr" sheetId="17" r:id="rId13"/>
    <sheet name="6-12Apr" sheetId="19" r:id="rId14"/>
    <sheet name="2-8Mar" sheetId="13" r:id="rId15"/>
    <sheet name="9-15 Mar" sheetId="14" r:id="rId16"/>
    <sheet name="16-22 Mar" sheetId="15" r:id="rId17"/>
    <sheet name="23-2   9 Mar" sheetId="16" r:id="rId18"/>
    <sheet name="13-19Apr" sheetId="22" r:id="rId19"/>
    <sheet name="20-26Apr" sheetId="20" r:id="rId20"/>
    <sheet name="27Apr-3May" sheetId="21" r:id="rId21"/>
    <sheet name="4-10May" sheetId="23" r:id="rId22"/>
    <sheet name="11-17May" sheetId="24" r:id="rId23"/>
    <sheet name="18-25May" sheetId="18" r:id="rId24"/>
  </sheets>
  <definedNames>
    <definedName name="_xlnm._FilterDatabase" localSheetId="10" hidden="1">'16-22 Feb'!$A$1:$Z$197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4" i="18" l="1"/>
  <c r="H253" i="18"/>
  <c r="H283" i="18"/>
  <c r="N256" i="24"/>
  <c r="N303" i="24"/>
  <c r="N176" i="24"/>
  <c r="N180" i="24"/>
  <c r="N106" i="24"/>
  <c r="N223" i="24"/>
  <c r="N29" i="24"/>
  <c r="N33" i="24"/>
  <c r="N30" i="24"/>
  <c r="H204" i="18"/>
  <c r="H180" i="18"/>
  <c r="H164" i="18"/>
  <c r="H131" i="18"/>
  <c r="H124" i="18"/>
  <c r="H92" i="18"/>
  <c r="H74" i="18"/>
  <c r="N341" i="24"/>
  <c r="N348" i="24"/>
  <c r="N170" i="24"/>
  <c r="N288" i="24"/>
  <c r="N147" i="24"/>
  <c r="H301" i="24"/>
  <c r="J301" i="24"/>
  <c r="I301" i="24"/>
  <c r="N275" i="24"/>
  <c r="N291" i="23"/>
  <c r="N299" i="24"/>
  <c r="N251" i="24"/>
  <c r="N276" i="23"/>
  <c r="N17" i="24"/>
  <c r="N331" i="24"/>
  <c r="N339" i="24"/>
  <c r="N291" i="24"/>
  <c r="N130" i="24"/>
  <c r="N323" i="24"/>
  <c r="N132" i="24"/>
  <c r="N139" i="24"/>
  <c r="H132" i="24"/>
  <c r="G140" i="24"/>
  <c r="I140" i="24" s="1"/>
  <c r="N76" i="24"/>
  <c r="N93" i="24"/>
  <c r="N236" i="24"/>
  <c r="N345" i="24"/>
  <c r="N31" i="24"/>
  <c r="N67" i="24"/>
  <c r="N90" i="24"/>
  <c r="N50" i="24"/>
  <c r="N148" i="24"/>
  <c r="N340" i="24"/>
  <c r="N324" i="24"/>
  <c r="N332" i="24"/>
  <c r="N18" i="24"/>
  <c r="N107" i="24"/>
  <c r="N300" i="24"/>
  <c r="N260" i="24"/>
  <c r="N25" i="24"/>
  <c r="N252" i="24"/>
  <c r="H59" i="24"/>
  <c r="N235" i="24"/>
  <c r="N220" i="24"/>
  <c r="N92" i="24"/>
  <c r="N268" i="24"/>
  <c r="N34" i="24"/>
  <c r="N349" i="24"/>
  <c r="N66" i="24"/>
  <c r="N307" i="24"/>
  <c r="N225" i="24"/>
  <c r="N233" i="24"/>
  <c r="N228" i="24" s="1"/>
  <c r="N32" i="24"/>
  <c r="N305" i="24"/>
  <c r="N89" i="24"/>
  <c r="N328" i="24"/>
  <c r="N312" i="24"/>
  <c r="N144" i="24"/>
  <c r="N336" i="24"/>
  <c r="N281" i="24"/>
  <c r="N224" i="24"/>
  <c r="N217" i="24"/>
  <c r="N304" i="24"/>
  <c r="N248" i="24"/>
  <c r="N178" i="24"/>
  <c r="N73" i="24"/>
  <c r="N68" i="24" s="1"/>
  <c r="N8" i="24"/>
  <c r="N337" i="24"/>
  <c r="N145" i="24"/>
  <c r="N329" i="24"/>
  <c r="N321" i="24"/>
  <c r="N289" i="24"/>
  <c r="N273" i="24"/>
  <c r="N153" i="24"/>
  <c r="N128" i="24"/>
  <c r="N249" i="24"/>
  <c r="N104" i="24"/>
  <c r="N211" i="24"/>
  <c r="N91" i="24"/>
  <c r="N338" i="24"/>
  <c r="N65" i="24"/>
  <c r="N59" i="24" s="1"/>
  <c r="N347" i="24"/>
  <c r="N49" i="24"/>
  <c r="N267" i="24"/>
  <c r="N9" i="24"/>
  <c r="N250" i="24"/>
  <c r="N23" i="24"/>
  <c r="N16" i="24"/>
  <c r="N330" i="24"/>
  <c r="N306" i="24"/>
  <c r="N138" i="24"/>
  <c r="G67" i="24"/>
  <c r="I67" i="24" s="1"/>
  <c r="J67" i="24" s="1"/>
  <c r="H80" i="24"/>
  <c r="H82" i="24"/>
  <c r="H81" i="24"/>
  <c r="F253" i="24"/>
  <c r="E253" i="24"/>
  <c r="C253" i="24"/>
  <c r="B253" i="24"/>
  <c r="K228" i="24"/>
  <c r="E228" i="24"/>
  <c r="C228" i="24"/>
  <c r="B228" i="24"/>
  <c r="F228" i="24"/>
  <c r="H228" i="24"/>
  <c r="H175" i="24"/>
  <c r="K341" i="24"/>
  <c r="F341" i="24"/>
  <c r="C341" i="24"/>
  <c r="B341" i="24"/>
  <c r="F301" i="24"/>
  <c r="F293" i="24"/>
  <c r="G236" i="24"/>
  <c r="I236" i="24"/>
  <c r="J236" i="24" s="1"/>
  <c r="G234" i="24"/>
  <c r="I234" i="24" s="1"/>
  <c r="J234" i="24" s="1"/>
  <c r="G235" i="24"/>
  <c r="I235" i="24" s="1"/>
  <c r="J235" i="24" s="1"/>
  <c r="F19" i="24"/>
  <c r="C27" i="24"/>
  <c r="B27" i="24"/>
  <c r="F27" i="24"/>
  <c r="E27" i="24"/>
  <c r="G65" i="24"/>
  <c r="I65" i="24" s="1"/>
  <c r="J65" i="24" s="1"/>
  <c r="G66" i="24"/>
  <c r="I66" i="24" s="1"/>
  <c r="J66" i="24" s="1"/>
  <c r="I83" i="24"/>
  <c r="J83" i="24" s="1"/>
  <c r="I84" i="24"/>
  <c r="J84" i="24" s="1"/>
  <c r="G138" i="24"/>
  <c r="I138" i="24" s="1"/>
  <c r="J138" i="24" s="1"/>
  <c r="G139" i="24"/>
  <c r="I139" i="24" s="1"/>
  <c r="J139" i="24" s="1"/>
  <c r="G308" i="24"/>
  <c r="I308" i="24"/>
  <c r="J308" i="24"/>
  <c r="G349" i="24"/>
  <c r="I349" i="24"/>
  <c r="J349" i="24"/>
  <c r="F245" i="24"/>
  <c r="B245" i="24"/>
  <c r="C245" i="24"/>
  <c r="H121" i="24"/>
  <c r="H120" i="24"/>
  <c r="C293" i="24"/>
  <c r="B293" i="24"/>
  <c r="E293" i="24"/>
  <c r="G281" i="24"/>
  <c r="I281" i="24"/>
  <c r="K253" i="24"/>
  <c r="K245" i="24"/>
  <c r="E245" i="24"/>
  <c r="E197" i="24"/>
  <c r="G203" i="24"/>
  <c r="I203" i="24" s="1"/>
  <c r="K27" i="24"/>
  <c r="G34" i="24"/>
  <c r="I34" i="24" s="1"/>
  <c r="J34" i="24" s="1"/>
  <c r="H192" i="24"/>
  <c r="G311" i="24"/>
  <c r="H191" i="24"/>
  <c r="H203" i="24"/>
  <c r="L350" i="24"/>
  <c r="E301" i="24"/>
  <c r="E269" i="24"/>
  <c r="E189" i="24"/>
  <c r="E181" i="24"/>
  <c r="E132" i="24"/>
  <c r="E116" i="24"/>
  <c r="E85" i="24"/>
  <c r="E77" i="24"/>
  <c r="E59" i="24"/>
  <c r="B197" i="24"/>
  <c r="C197" i="24"/>
  <c r="D197" i="24"/>
  <c r="F197" i="24"/>
  <c r="G197" i="24"/>
  <c r="H197" i="24"/>
  <c r="K197" i="24"/>
  <c r="N197" i="24"/>
  <c r="O197" i="24" s="1"/>
  <c r="G198" i="24"/>
  <c r="I198" i="24"/>
  <c r="J198" i="24"/>
  <c r="G199" i="24"/>
  <c r="I199" i="24"/>
  <c r="J199" i="24"/>
  <c r="G200" i="24"/>
  <c r="I200" i="24"/>
  <c r="J200" i="24"/>
  <c r="G201" i="24"/>
  <c r="I201" i="24"/>
  <c r="J201" i="24"/>
  <c r="G202" i="24"/>
  <c r="I202" i="24"/>
  <c r="J202" i="24"/>
  <c r="B189" i="24"/>
  <c r="C189" i="24"/>
  <c r="D189" i="24"/>
  <c r="F189" i="24"/>
  <c r="G189" i="24"/>
  <c r="H189" i="24"/>
  <c r="K189" i="24"/>
  <c r="N189" i="24"/>
  <c r="O189" i="24" s="1"/>
  <c r="G190" i="24"/>
  <c r="I190" i="24"/>
  <c r="J190" i="24"/>
  <c r="G191" i="24"/>
  <c r="I191" i="24"/>
  <c r="J191" i="24"/>
  <c r="G192" i="24"/>
  <c r="I192" i="24"/>
  <c r="J192" i="24"/>
  <c r="G193" i="24"/>
  <c r="I193" i="24"/>
  <c r="J193" i="24"/>
  <c r="G194" i="24"/>
  <c r="I194" i="24"/>
  <c r="J194" i="24"/>
  <c r="B181" i="24"/>
  <c r="C181" i="24"/>
  <c r="D181" i="24"/>
  <c r="F181" i="24"/>
  <c r="G181" i="24"/>
  <c r="H181" i="24"/>
  <c r="K181" i="24"/>
  <c r="N181" i="24"/>
  <c r="O181" i="24"/>
  <c r="G182" i="24"/>
  <c r="I182" i="24"/>
  <c r="J182" i="24"/>
  <c r="G183" i="24"/>
  <c r="I183" i="24"/>
  <c r="J183" i="24"/>
  <c r="G184" i="24"/>
  <c r="I184" i="24"/>
  <c r="J184" i="24"/>
  <c r="G185" i="24"/>
  <c r="I185" i="24"/>
  <c r="J185" i="24"/>
  <c r="G186" i="24"/>
  <c r="I186" i="24"/>
  <c r="J186" i="24"/>
  <c r="B132" i="24"/>
  <c r="C132" i="24"/>
  <c r="D132" i="24"/>
  <c r="F132" i="24"/>
  <c r="G132" i="24"/>
  <c r="K132" i="24"/>
  <c r="O132" i="24"/>
  <c r="G133" i="24"/>
  <c r="I133" i="24"/>
  <c r="J133" i="24"/>
  <c r="G134" i="24"/>
  <c r="I134" i="24"/>
  <c r="J134" i="24"/>
  <c r="G135" i="24"/>
  <c r="I135" i="24"/>
  <c r="J135" i="24"/>
  <c r="G136" i="24"/>
  <c r="I136" i="24" s="1"/>
  <c r="J136" i="24"/>
  <c r="G137" i="24"/>
  <c r="I137" i="24"/>
  <c r="J137" i="24"/>
  <c r="B116" i="24"/>
  <c r="C116" i="24"/>
  <c r="D116" i="24"/>
  <c r="F116" i="24"/>
  <c r="G116" i="24"/>
  <c r="H116" i="24"/>
  <c r="K116" i="24"/>
  <c r="N116" i="24"/>
  <c r="O116" i="24" s="1"/>
  <c r="G117" i="24"/>
  <c r="I117" i="24"/>
  <c r="J117" i="24"/>
  <c r="G118" i="24"/>
  <c r="I118" i="24"/>
  <c r="J118" i="24"/>
  <c r="G119" i="24"/>
  <c r="I119" i="24"/>
  <c r="J119" i="24"/>
  <c r="G120" i="24"/>
  <c r="I120" i="24"/>
  <c r="J120" i="24"/>
  <c r="G121" i="24"/>
  <c r="I121" i="24"/>
  <c r="J121" i="24"/>
  <c r="B77" i="24"/>
  <c r="C77" i="24"/>
  <c r="D77" i="24"/>
  <c r="F77" i="24"/>
  <c r="G77" i="24"/>
  <c r="H77" i="24"/>
  <c r="K77" i="24"/>
  <c r="N77" i="24"/>
  <c r="O77" i="24" s="1"/>
  <c r="G78" i="24"/>
  <c r="I78" i="24"/>
  <c r="J78" i="24"/>
  <c r="G79" i="24"/>
  <c r="I79" i="24"/>
  <c r="J79" i="24"/>
  <c r="G80" i="24"/>
  <c r="I80" i="24"/>
  <c r="J80" i="24"/>
  <c r="G81" i="24"/>
  <c r="I81" i="24" s="1"/>
  <c r="J81" i="24"/>
  <c r="G82" i="24"/>
  <c r="I82" i="24"/>
  <c r="J82" i="24"/>
  <c r="C68" i="24"/>
  <c r="B68" i="24"/>
  <c r="K68" i="24"/>
  <c r="E68" i="24"/>
  <c r="H9" i="24"/>
  <c r="F68" i="24"/>
  <c r="G76" i="24"/>
  <c r="I76" i="24" s="1"/>
  <c r="J76" i="24" s="1"/>
  <c r="H75" i="24"/>
  <c r="B59" i="24"/>
  <c r="C59" i="24"/>
  <c r="D59" i="24"/>
  <c r="F59" i="24"/>
  <c r="G59" i="24"/>
  <c r="K59" i="24"/>
  <c r="O59" i="24"/>
  <c r="G60" i="24"/>
  <c r="I60" i="24"/>
  <c r="J60" i="24"/>
  <c r="G61" i="24"/>
  <c r="I61" i="24"/>
  <c r="J61" i="24"/>
  <c r="G62" i="24"/>
  <c r="I62" i="24"/>
  <c r="J62" i="24"/>
  <c r="G63" i="24"/>
  <c r="I63" i="24"/>
  <c r="J63" i="24"/>
  <c r="G64" i="24"/>
  <c r="I64" i="24"/>
  <c r="J64" i="24"/>
  <c r="D68" i="24"/>
  <c r="G68" i="24"/>
  <c r="O68" i="24"/>
  <c r="G69" i="24"/>
  <c r="I69" i="24"/>
  <c r="J69" i="24"/>
  <c r="G70" i="24"/>
  <c r="I70" i="24"/>
  <c r="J70" i="24"/>
  <c r="G71" i="24"/>
  <c r="I71" i="24" s="1"/>
  <c r="J71" i="24"/>
  <c r="G72" i="24"/>
  <c r="I72" i="24" s="1"/>
  <c r="J72" i="24" s="1"/>
  <c r="G73" i="24"/>
  <c r="I73" i="24" s="1"/>
  <c r="J73" i="24" s="1"/>
  <c r="G74" i="24"/>
  <c r="I74" i="24" s="1"/>
  <c r="H74" i="24"/>
  <c r="H68" i="24" s="1"/>
  <c r="G75" i="24"/>
  <c r="I75" i="24" s="1"/>
  <c r="J75" i="24" s="1"/>
  <c r="G58" i="24"/>
  <c r="H40" i="24"/>
  <c r="G50" i="24"/>
  <c r="F43" i="24"/>
  <c r="H347" i="24"/>
  <c r="H346" i="24"/>
  <c r="H341" i="24" s="1"/>
  <c r="H304" i="24"/>
  <c r="H283" i="24"/>
  <c r="I58" i="24"/>
  <c r="J58" i="24" s="1"/>
  <c r="H281" i="24"/>
  <c r="H264" i="24"/>
  <c r="H226" i="24"/>
  <c r="H225" i="24"/>
  <c r="H224" i="24"/>
  <c r="C19" i="24"/>
  <c r="B19" i="24"/>
  <c r="E19" i="24"/>
  <c r="H260" i="24"/>
  <c r="H259" i="24"/>
  <c r="H258" i="24"/>
  <c r="H256" i="24"/>
  <c r="H257" i="24"/>
  <c r="H273" i="24"/>
  <c r="H272" i="24"/>
  <c r="H288" i="24"/>
  <c r="E317" i="24"/>
  <c r="H299" i="24"/>
  <c r="F317" i="24"/>
  <c r="C317" i="24"/>
  <c r="B317" i="24"/>
  <c r="F325" i="24"/>
  <c r="E325" i="24"/>
  <c r="F333" i="24"/>
  <c r="E333" i="24"/>
  <c r="C333" i="24"/>
  <c r="B333" i="24"/>
  <c r="H297" i="24"/>
  <c r="G220" i="24"/>
  <c r="I220" i="24" s="1"/>
  <c r="J220" i="24" s="1"/>
  <c r="H324" i="24"/>
  <c r="H323" i="24"/>
  <c r="H321" i="24"/>
  <c r="E157" i="24"/>
  <c r="K141" i="24"/>
  <c r="F141" i="24"/>
  <c r="C141" i="24"/>
  <c r="B141" i="24"/>
  <c r="E141" i="24"/>
  <c r="H331" i="24"/>
  <c r="H22" i="24"/>
  <c r="H340" i="24"/>
  <c r="H339" i="24"/>
  <c r="H218" i="24"/>
  <c r="H217" i="24"/>
  <c r="H179" i="24"/>
  <c r="H178" i="24"/>
  <c r="H155" i="24"/>
  <c r="H130" i="24"/>
  <c r="H91" i="24"/>
  <c r="H90" i="24"/>
  <c r="H32" i="24"/>
  <c r="H27" i="24" s="1"/>
  <c r="H23" i="24"/>
  <c r="H25" i="24"/>
  <c r="G23" i="24"/>
  <c r="I23" i="24" s="1"/>
  <c r="J23" i="24" s="1"/>
  <c r="H329" i="24"/>
  <c r="H328" i="24"/>
  <c r="H337" i="24"/>
  <c r="H336" i="24"/>
  <c r="H333" i="24" s="1"/>
  <c r="N152" i="24"/>
  <c r="H145" i="24"/>
  <c r="H141" i="24" s="1"/>
  <c r="H89" i="24"/>
  <c r="H19" i="24"/>
  <c r="N152" i="23"/>
  <c r="N151" i="23"/>
  <c r="H104" i="24"/>
  <c r="H103" i="24"/>
  <c r="H100" i="24" s="1"/>
  <c r="N103" i="24"/>
  <c r="H88" i="24"/>
  <c r="N88" i="24"/>
  <c r="N21" i="24"/>
  <c r="H7" i="24"/>
  <c r="N81" i="23"/>
  <c r="N223" i="23"/>
  <c r="N180" i="23"/>
  <c r="N84" i="23"/>
  <c r="N90" i="23"/>
  <c r="N80" i="23"/>
  <c r="N82" i="23"/>
  <c r="N77" i="23"/>
  <c r="H75" i="23"/>
  <c r="H74" i="23"/>
  <c r="H72" i="23"/>
  <c r="N346" i="23"/>
  <c r="N342" i="23"/>
  <c r="N345" i="23"/>
  <c r="N184" i="23"/>
  <c r="H58" i="23"/>
  <c r="H253" i="24"/>
  <c r="H261" i="24"/>
  <c r="H327" i="24"/>
  <c r="H326" i="24"/>
  <c r="H320" i="24"/>
  <c r="H319" i="24"/>
  <c r="H318" i="24"/>
  <c r="H317" i="24" s="1"/>
  <c r="N280" i="24"/>
  <c r="N277" i="24" s="1"/>
  <c r="O277" i="24" s="1"/>
  <c r="H303" i="24"/>
  <c r="N151" i="24"/>
  <c r="N271" i="24"/>
  <c r="N269" i="24" s="1"/>
  <c r="O269" i="24" s="1"/>
  <c r="N255" i="24"/>
  <c r="N102" i="24"/>
  <c r="N20" i="24"/>
  <c r="N13" i="24"/>
  <c r="N239" i="24"/>
  <c r="N126" i="24"/>
  <c r="N110" i="24"/>
  <c r="N143" i="24"/>
  <c r="N141" i="24" s="1"/>
  <c r="O141" i="24" s="1"/>
  <c r="N295" i="24"/>
  <c r="N287" i="24"/>
  <c r="N327" i="24"/>
  <c r="N319" i="24"/>
  <c r="H180" i="23"/>
  <c r="H179" i="23"/>
  <c r="H76" i="23"/>
  <c r="N101" i="24"/>
  <c r="N125" i="24"/>
  <c r="N286" i="24"/>
  <c r="N310" i="24"/>
  <c r="N309" i="24" s="1"/>
  <c r="O309" i="24" s="1"/>
  <c r="N150" i="24"/>
  <c r="N12" i="24"/>
  <c r="N109" i="24"/>
  <c r="N108" i="24" s="1"/>
  <c r="O108" i="24" s="1"/>
  <c r="N326" i="24"/>
  <c r="N254" i="24"/>
  <c r="N253" i="24" s="1"/>
  <c r="N86" i="24"/>
  <c r="N318" i="24"/>
  <c r="N317" i="24" s="1"/>
  <c r="N246" i="24"/>
  <c r="N238" i="24"/>
  <c r="N158" i="24"/>
  <c r="N157" i="24" s="1"/>
  <c r="O157" i="24" s="1"/>
  <c r="N222" i="24"/>
  <c r="N175" i="24"/>
  <c r="N28" i="24"/>
  <c r="G252" i="24"/>
  <c r="I252" i="24" s="1"/>
  <c r="J252" i="24" s="1"/>
  <c r="G251" i="24"/>
  <c r="I251" i="24" s="1"/>
  <c r="J251" i="24" s="1"/>
  <c r="G250" i="24"/>
  <c r="I250" i="24" s="1"/>
  <c r="J250" i="24" s="1"/>
  <c r="G249" i="24"/>
  <c r="I249" i="24" s="1"/>
  <c r="J249" i="24" s="1"/>
  <c r="G248" i="24"/>
  <c r="I248" i="24" s="1"/>
  <c r="J248" i="24" s="1"/>
  <c r="G247" i="24"/>
  <c r="I247" i="24" s="1"/>
  <c r="J247" i="24" s="1"/>
  <c r="G246" i="24"/>
  <c r="I246" i="24" s="1"/>
  <c r="H245" i="24"/>
  <c r="D245" i="24"/>
  <c r="G260" i="24"/>
  <c r="I260" i="24" s="1"/>
  <c r="J260" i="24" s="1"/>
  <c r="G259" i="24"/>
  <c r="I259" i="24" s="1"/>
  <c r="J259" i="24" s="1"/>
  <c r="G258" i="24"/>
  <c r="I258" i="24" s="1"/>
  <c r="J258" i="24" s="1"/>
  <c r="G257" i="24"/>
  <c r="I257" i="24" s="1"/>
  <c r="J257" i="24" s="1"/>
  <c r="G256" i="24"/>
  <c r="I256" i="24" s="1"/>
  <c r="J256" i="24" s="1"/>
  <c r="G255" i="24"/>
  <c r="I255" i="24" s="1"/>
  <c r="G254" i="24"/>
  <c r="I254" i="24" s="1"/>
  <c r="J254" i="24" s="1"/>
  <c r="D253" i="24"/>
  <c r="D221" i="24"/>
  <c r="H150" i="24"/>
  <c r="H149" i="24" s="1"/>
  <c r="D93" i="24"/>
  <c r="N26" i="23"/>
  <c r="N31" i="23"/>
  <c r="N29" i="23"/>
  <c r="D27" i="24"/>
  <c r="D19" i="24"/>
  <c r="N313" i="23"/>
  <c r="N154" i="23"/>
  <c r="N16" i="23"/>
  <c r="N32" i="23"/>
  <c r="N252" i="23"/>
  <c r="N298" i="23"/>
  <c r="N70" i="23"/>
  <c r="N24" i="23"/>
  <c r="N299" i="23"/>
  <c r="N91" i="23"/>
  <c r="N331" i="23"/>
  <c r="N213" i="23"/>
  <c r="N253" i="23"/>
  <c r="N100" i="23"/>
  <c r="N307" i="23"/>
  <c r="N198" i="23"/>
  <c r="G164" i="24"/>
  <c r="I164" i="24" s="1"/>
  <c r="J164" i="24" s="1"/>
  <c r="G163" i="24"/>
  <c r="I163" i="24" s="1"/>
  <c r="J163" i="24" s="1"/>
  <c r="G162" i="24"/>
  <c r="I162" i="24" s="1"/>
  <c r="J162" i="24" s="1"/>
  <c r="G161" i="24"/>
  <c r="I161" i="24" s="1"/>
  <c r="J161" i="24" s="1"/>
  <c r="G160" i="24"/>
  <c r="I160" i="24" s="1"/>
  <c r="J160" i="24" s="1"/>
  <c r="G159" i="24"/>
  <c r="I159" i="24" s="1"/>
  <c r="J159" i="24" s="1"/>
  <c r="G158" i="24"/>
  <c r="I158" i="24" s="1"/>
  <c r="J158" i="24" s="1"/>
  <c r="K157" i="24"/>
  <c r="H157" i="24"/>
  <c r="F157" i="24"/>
  <c r="D157" i="24"/>
  <c r="C157" i="24"/>
  <c r="B157" i="24"/>
  <c r="G99" i="24"/>
  <c r="I99" i="24" s="1"/>
  <c r="J99" i="24" s="1"/>
  <c r="G98" i="24"/>
  <c r="I98" i="24" s="1"/>
  <c r="J98" i="24" s="1"/>
  <c r="G97" i="24"/>
  <c r="I97" i="24" s="1"/>
  <c r="J97" i="24" s="1"/>
  <c r="G96" i="24"/>
  <c r="I96" i="24" s="1"/>
  <c r="J96" i="24" s="1"/>
  <c r="G95" i="24"/>
  <c r="I95" i="24" s="1"/>
  <c r="J95" i="24" s="1"/>
  <c r="G94" i="24"/>
  <c r="I94" i="24" s="1"/>
  <c r="J94" i="24" s="1"/>
  <c r="O93" i="24"/>
  <c r="K93" i="24"/>
  <c r="H93" i="24"/>
  <c r="F93" i="24"/>
  <c r="E93" i="24"/>
  <c r="C93" i="24"/>
  <c r="B93" i="24"/>
  <c r="G92" i="24"/>
  <c r="I92" i="24" s="1"/>
  <c r="J92" i="24" s="1"/>
  <c r="G91" i="24"/>
  <c r="I91" i="24" s="1"/>
  <c r="J91" i="24" s="1"/>
  <c r="G90" i="24"/>
  <c r="I90" i="24" s="1"/>
  <c r="J90" i="24" s="1"/>
  <c r="G89" i="24"/>
  <c r="I89" i="24" s="1"/>
  <c r="G88" i="24"/>
  <c r="I88" i="24" s="1"/>
  <c r="G87" i="24"/>
  <c r="I87" i="24" s="1"/>
  <c r="J87" i="24" s="1"/>
  <c r="G86" i="24"/>
  <c r="I86" i="24" s="1"/>
  <c r="J86" i="24" s="1"/>
  <c r="K85" i="24"/>
  <c r="D85" i="24"/>
  <c r="C85" i="24"/>
  <c r="B85" i="24"/>
  <c r="G307" i="24"/>
  <c r="I307" i="24" s="1"/>
  <c r="J307" i="24" s="1"/>
  <c r="G306" i="24"/>
  <c r="I306" i="24" s="1"/>
  <c r="J306" i="24" s="1"/>
  <c r="G305" i="24"/>
  <c r="I305" i="24" s="1"/>
  <c r="J305" i="24" s="1"/>
  <c r="G304" i="24"/>
  <c r="I304" i="24" s="1"/>
  <c r="J304" i="24" s="1"/>
  <c r="G303" i="24"/>
  <c r="I303" i="24" s="1"/>
  <c r="G302" i="24"/>
  <c r="I302" i="24" s="1"/>
  <c r="J302" i="24" s="1"/>
  <c r="K301" i="24"/>
  <c r="C301" i="24"/>
  <c r="B301" i="24"/>
  <c r="G42" i="24"/>
  <c r="I42" i="24" s="1"/>
  <c r="J42" i="24" s="1"/>
  <c r="G41" i="24"/>
  <c r="I41" i="24" s="1"/>
  <c r="J41" i="24" s="1"/>
  <c r="G40" i="24"/>
  <c r="I40" i="24" s="1"/>
  <c r="J40" i="24" s="1"/>
  <c r="G39" i="24"/>
  <c r="I39" i="24" s="1"/>
  <c r="J39" i="24" s="1"/>
  <c r="G38" i="24"/>
  <c r="I38" i="24" s="1"/>
  <c r="J38" i="24" s="1"/>
  <c r="G37" i="24"/>
  <c r="I37" i="24" s="1"/>
  <c r="J37" i="24" s="1"/>
  <c r="G36" i="24"/>
  <c r="I36" i="24" s="1"/>
  <c r="J36" i="24" s="1"/>
  <c r="N35" i="24"/>
  <c r="O35" i="24" s="1"/>
  <c r="K35" i="24"/>
  <c r="H35" i="24"/>
  <c r="F35" i="24"/>
  <c r="E35" i="24"/>
  <c r="D35" i="24"/>
  <c r="C35" i="24"/>
  <c r="B35" i="24"/>
  <c r="G348" i="24"/>
  <c r="I348" i="24" s="1"/>
  <c r="J348" i="24" s="1"/>
  <c r="G347" i="24"/>
  <c r="I347" i="24" s="1"/>
  <c r="J347" i="24" s="1"/>
  <c r="G346" i="24"/>
  <c r="I346" i="24" s="1"/>
  <c r="J346" i="24" s="1"/>
  <c r="G345" i="24"/>
  <c r="I345" i="24" s="1"/>
  <c r="J345" i="24" s="1"/>
  <c r="G344" i="24"/>
  <c r="I344" i="24" s="1"/>
  <c r="J344" i="24" s="1"/>
  <c r="G343" i="24"/>
  <c r="I343" i="24" s="1"/>
  <c r="J343" i="24" s="1"/>
  <c r="G342" i="24"/>
  <c r="I342" i="24" s="1"/>
  <c r="O341" i="24"/>
  <c r="E341" i="24"/>
  <c r="D341" i="24"/>
  <c r="G340" i="24"/>
  <c r="I340" i="24" s="1"/>
  <c r="J340" i="24" s="1"/>
  <c r="G339" i="24"/>
  <c r="I339" i="24" s="1"/>
  <c r="J339" i="24" s="1"/>
  <c r="G338" i="24"/>
  <c r="I338" i="24" s="1"/>
  <c r="J338" i="24" s="1"/>
  <c r="G337" i="24"/>
  <c r="I337" i="24" s="1"/>
  <c r="J337" i="24" s="1"/>
  <c r="G336" i="24"/>
  <c r="I336" i="24" s="1"/>
  <c r="J336" i="24" s="1"/>
  <c r="G335" i="24"/>
  <c r="I335" i="24" s="1"/>
  <c r="J335" i="24" s="1"/>
  <c r="G334" i="24"/>
  <c r="I334" i="24" s="1"/>
  <c r="J334" i="24" s="1"/>
  <c r="K333" i="24"/>
  <c r="D333" i="24"/>
  <c r="G333" i="24"/>
  <c r="G332" i="24"/>
  <c r="I332" i="24" s="1"/>
  <c r="J332" i="24" s="1"/>
  <c r="G331" i="24"/>
  <c r="I331" i="24" s="1"/>
  <c r="J331" i="24" s="1"/>
  <c r="G330" i="24"/>
  <c r="I330" i="24" s="1"/>
  <c r="J330" i="24" s="1"/>
  <c r="G329" i="24"/>
  <c r="I329" i="24" s="1"/>
  <c r="G328" i="24"/>
  <c r="I328" i="24" s="1"/>
  <c r="G327" i="24"/>
  <c r="I327" i="24" s="1"/>
  <c r="G326" i="24"/>
  <c r="I326" i="24" s="1"/>
  <c r="K325" i="24"/>
  <c r="D325" i="24"/>
  <c r="C325" i="24"/>
  <c r="B325" i="24"/>
  <c r="G324" i="24"/>
  <c r="I324" i="24" s="1"/>
  <c r="J324" i="24" s="1"/>
  <c r="G323" i="24"/>
  <c r="I323" i="24" s="1"/>
  <c r="J323" i="24" s="1"/>
  <c r="G322" i="24"/>
  <c r="I322" i="24" s="1"/>
  <c r="J322" i="24" s="1"/>
  <c r="G321" i="24"/>
  <c r="I321" i="24" s="1"/>
  <c r="J321" i="24" s="1"/>
  <c r="G320" i="24"/>
  <c r="I320" i="24" s="1"/>
  <c r="G319" i="24"/>
  <c r="I319" i="24" s="1"/>
  <c r="G318" i="24"/>
  <c r="I318" i="24" s="1"/>
  <c r="I317" i="24" s="1"/>
  <c r="K317" i="24"/>
  <c r="D317" i="24"/>
  <c r="G316" i="24"/>
  <c r="I316" i="24" s="1"/>
  <c r="J316" i="24" s="1"/>
  <c r="G315" i="24"/>
  <c r="I315" i="24" s="1"/>
  <c r="J315" i="24" s="1"/>
  <c r="G314" i="24"/>
  <c r="I314" i="24" s="1"/>
  <c r="J314" i="24" s="1"/>
  <c r="G313" i="24"/>
  <c r="I313" i="24" s="1"/>
  <c r="J313" i="24" s="1"/>
  <c r="G312" i="24"/>
  <c r="I312" i="24" s="1"/>
  <c r="J312" i="24" s="1"/>
  <c r="I311" i="24"/>
  <c r="J311" i="24" s="1"/>
  <c r="G310" i="24"/>
  <c r="I310" i="24" s="1"/>
  <c r="J310" i="24" s="1"/>
  <c r="K309" i="24"/>
  <c r="H309" i="24"/>
  <c r="F309" i="24"/>
  <c r="E309" i="24"/>
  <c r="D309" i="24"/>
  <c r="C309" i="24"/>
  <c r="B309" i="24"/>
  <c r="G300" i="24"/>
  <c r="I300" i="24" s="1"/>
  <c r="J300" i="24" s="1"/>
  <c r="G299" i="24"/>
  <c r="I299" i="24" s="1"/>
  <c r="J299" i="24" s="1"/>
  <c r="G298" i="24"/>
  <c r="I298" i="24" s="1"/>
  <c r="J298" i="24" s="1"/>
  <c r="G297" i="24"/>
  <c r="I297" i="24" s="1"/>
  <c r="J297" i="24" s="1"/>
  <c r="G296" i="24"/>
  <c r="I296" i="24" s="1"/>
  <c r="J296" i="24" s="1"/>
  <c r="G295" i="24"/>
  <c r="I295" i="24" s="1"/>
  <c r="J295" i="24" s="1"/>
  <c r="G294" i="24"/>
  <c r="I294" i="24" s="1"/>
  <c r="N293" i="24"/>
  <c r="O293" i="24" s="1"/>
  <c r="K293" i="24"/>
  <c r="H293" i="24"/>
  <c r="G291" i="24"/>
  <c r="I291" i="24" s="1"/>
  <c r="J291" i="24" s="1"/>
  <c r="G290" i="24"/>
  <c r="I290" i="24" s="1"/>
  <c r="J290" i="24" s="1"/>
  <c r="G289" i="24"/>
  <c r="I289" i="24" s="1"/>
  <c r="J289" i="24" s="1"/>
  <c r="G288" i="24"/>
  <c r="I288" i="24" s="1"/>
  <c r="J288" i="24" s="1"/>
  <c r="G287" i="24"/>
  <c r="I287" i="24" s="1"/>
  <c r="J287" i="24" s="1"/>
  <c r="G286" i="24"/>
  <c r="I286" i="24" s="1"/>
  <c r="J286" i="24" s="1"/>
  <c r="K285" i="24"/>
  <c r="H285" i="24"/>
  <c r="F285" i="24"/>
  <c r="E285" i="24"/>
  <c r="D285" i="24"/>
  <c r="C285" i="24"/>
  <c r="B285" i="24"/>
  <c r="G284" i="24"/>
  <c r="I284" i="24" s="1"/>
  <c r="J284" i="24" s="1"/>
  <c r="G283" i="24"/>
  <c r="G282" i="24"/>
  <c r="I282" i="24" s="1"/>
  <c r="J282" i="24" s="1"/>
  <c r="J281" i="24"/>
  <c r="G280" i="24"/>
  <c r="I280" i="24" s="1"/>
  <c r="J280" i="24" s="1"/>
  <c r="G279" i="24"/>
  <c r="I279" i="24" s="1"/>
  <c r="J279" i="24" s="1"/>
  <c r="G278" i="24"/>
  <c r="I278" i="24" s="1"/>
  <c r="J278" i="24" s="1"/>
  <c r="K277" i="24"/>
  <c r="H277" i="24"/>
  <c r="F277" i="24"/>
  <c r="E277" i="24"/>
  <c r="D277" i="24"/>
  <c r="C277" i="24"/>
  <c r="B277" i="24"/>
  <c r="G276" i="24"/>
  <c r="I276" i="24" s="1"/>
  <c r="J276" i="24" s="1"/>
  <c r="G275" i="24"/>
  <c r="I275" i="24" s="1"/>
  <c r="J275" i="24" s="1"/>
  <c r="G274" i="24"/>
  <c r="I274" i="24" s="1"/>
  <c r="J274" i="24" s="1"/>
  <c r="G273" i="24"/>
  <c r="I273" i="24" s="1"/>
  <c r="J273" i="24" s="1"/>
  <c r="G272" i="24"/>
  <c r="I272" i="24" s="1"/>
  <c r="J272" i="24" s="1"/>
  <c r="G271" i="24"/>
  <c r="I271" i="24" s="1"/>
  <c r="J271" i="24" s="1"/>
  <c r="G270" i="24"/>
  <c r="I270" i="24" s="1"/>
  <c r="J270" i="24" s="1"/>
  <c r="K269" i="24"/>
  <c r="H269" i="24"/>
  <c r="F269" i="24"/>
  <c r="D269" i="24"/>
  <c r="C269" i="24"/>
  <c r="B269" i="24"/>
  <c r="G268" i="24"/>
  <c r="I268" i="24" s="1"/>
  <c r="J268" i="24" s="1"/>
  <c r="G267" i="24"/>
  <c r="I267" i="24" s="1"/>
  <c r="J267" i="24" s="1"/>
  <c r="G266" i="24"/>
  <c r="I266" i="24" s="1"/>
  <c r="J266" i="24" s="1"/>
  <c r="G265" i="24"/>
  <c r="I265" i="24" s="1"/>
  <c r="J265" i="24" s="1"/>
  <c r="G264" i="24"/>
  <c r="I264" i="24" s="1"/>
  <c r="G263" i="24"/>
  <c r="I263" i="24" s="1"/>
  <c r="J263" i="24" s="1"/>
  <c r="G262" i="24"/>
  <c r="I262" i="24" s="1"/>
  <c r="J262" i="24" s="1"/>
  <c r="N261" i="24"/>
  <c r="O261" i="24" s="1"/>
  <c r="K261" i="24"/>
  <c r="F261" i="24"/>
  <c r="E261" i="24"/>
  <c r="D261" i="24"/>
  <c r="C261" i="24"/>
  <c r="B261" i="24"/>
  <c r="G244" i="24"/>
  <c r="I244" i="24" s="1"/>
  <c r="J244" i="24" s="1"/>
  <c r="I243" i="24"/>
  <c r="J243" i="24" s="1"/>
  <c r="G242" i="24"/>
  <c r="I242" i="24" s="1"/>
  <c r="J242" i="24" s="1"/>
  <c r="G241" i="24"/>
  <c r="I241" i="24" s="1"/>
  <c r="J241" i="24" s="1"/>
  <c r="G240" i="24"/>
  <c r="I240" i="24" s="1"/>
  <c r="J240" i="24" s="1"/>
  <c r="G239" i="24"/>
  <c r="I239" i="24" s="1"/>
  <c r="J239" i="24" s="1"/>
  <c r="G238" i="24"/>
  <c r="I238" i="24" s="1"/>
  <c r="J238" i="24" s="1"/>
  <c r="K237" i="24"/>
  <c r="H237" i="24"/>
  <c r="F237" i="24"/>
  <c r="E237" i="24"/>
  <c r="D237" i="24"/>
  <c r="C237" i="24"/>
  <c r="B237" i="24"/>
  <c r="G237" i="24" s="1"/>
  <c r="G233" i="24"/>
  <c r="G232" i="24"/>
  <c r="I232" i="24" s="1"/>
  <c r="J232" i="24" s="1"/>
  <c r="G231" i="24"/>
  <c r="I231" i="24" s="1"/>
  <c r="J231" i="24" s="1"/>
  <c r="G230" i="24"/>
  <c r="I230" i="24" s="1"/>
  <c r="J230" i="24" s="1"/>
  <c r="G229" i="24"/>
  <c r="I229" i="24" s="1"/>
  <c r="O228" i="24"/>
  <c r="D228" i="24"/>
  <c r="G227" i="24"/>
  <c r="I227" i="24" s="1"/>
  <c r="J227" i="24" s="1"/>
  <c r="G226" i="24"/>
  <c r="I226" i="24" s="1"/>
  <c r="J226" i="24" s="1"/>
  <c r="G225" i="24"/>
  <c r="I225" i="24" s="1"/>
  <c r="J225" i="24" s="1"/>
  <c r="G224" i="24"/>
  <c r="I224" i="24" s="1"/>
  <c r="J224" i="24" s="1"/>
  <c r="G223" i="24"/>
  <c r="I223" i="24" s="1"/>
  <c r="J223" i="24" s="1"/>
  <c r="G222" i="24"/>
  <c r="I222" i="24" s="1"/>
  <c r="J222" i="24" s="1"/>
  <c r="K221" i="24"/>
  <c r="H221" i="24"/>
  <c r="F221" i="24"/>
  <c r="E221" i="24"/>
  <c r="C221" i="24"/>
  <c r="B221" i="24"/>
  <c r="G219" i="24"/>
  <c r="I219" i="24" s="1"/>
  <c r="J219" i="24" s="1"/>
  <c r="G218" i="24"/>
  <c r="I218" i="24" s="1"/>
  <c r="J218" i="24" s="1"/>
  <c r="G217" i="24"/>
  <c r="I217" i="24" s="1"/>
  <c r="J217" i="24" s="1"/>
  <c r="G216" i="24"/>
  <c r="I216" i="24" s="1"/>
  <c r="J216" i="24" s="1"/>
  <c r="G215" i="24"/>
  <c r="I215" i="24" s="1"/>
  <c r="J215" i="24" s="1"/>
  <c r="G214" i="24"/>
  <c r="I214" i="24" s="1"/>
  <c r="N213" i="24"/>
  <c r="O213" i="24" s="1"/>
  <c r="K213" i="24"/>
  <c r="H213" i="24"/>
  <c r="F213" i="24"/>
  <c r="E213" i="24"/>
  <c r="D213" i="24"/>
  <c r="C213" i="24"/>
  <c r="B213" i="24"/>
  <c r="G212" i="24"/>
  <c r="I212" i="24" s="1"/>
  <c r="J212" i="24" s="1"/>
  <c r="G211" i="24"/>
  <c r="I211" i="24" s="1"/>
  <c r="J211" i="24" s="1"/>
  <c r="G210" i="24"/>
  <c r="I210" i="24" s="1"/>
  <c r="J210" i="24" s="1"/>
  <c r="G209" i="24"/>
  <c r="I209" i="24" s="1"/>
  <c r="J209" i="24" s="1"/>
  <c r="G208" i="24"/>
  <c r="I208" i="24" s="1"/>
  <c r="J208" i="24" s="1"/>
  <c r="G207" i="24"/>
  <c r="I207" i="24" s="1"/>
  <c r="J207" i="24" s="1"/>
  <c r="G206" i="24"/>
  <c r="I206" i="24" s="1"/>
  <c r="J206" i="24" s="1"/>
  <c r="N205" i="24"/>
  <c r="O205" i="24" s="1"/>
  <c r="K205" i="24"/>
  <c r="H205" i="24"/>
  <c r="F205" i="24"/>
  <c r="E205" i="24"/>
  <c r="D205" i="24"/>
  <c r="C205" i="24"/>
  <c r="B205" i="24"/>
  <c r="G180" i="24"/>
  <c r="I180" i="24" s="1"/>
  <c r="J180" i="24" s="1"/>
  <c r="G179" i="24"/>
  <c r="I179" i="24" s="1"/>
  <c r="J179" i="24" s="1"/>
  <c r="G178" i="24"/>
  <c r="I178" i="24" s="1"/>
  <c r="J178" i="24" s="1"/>
  <c r="G177" i="24"/>
  <c r="I177" i="24" s="1"/>
  <c r="J177" i="24" s="1"/>
  <c r="G176" i="24"/>
  <c r="I176" i="24" s="1"/>
  <c r="J176" i="24" s="1"/>
  <c r="G175" i="24"/>
  <c r="I175" i="24" s="1"/>
  <c r="G174" i="24"/>
  <c r="I174" i="24" s="1"/>
  <c r="J174" i="24" s="1"/>
  <c r="N173" i="24"/>
  <c r="O173" i="24" s="1"/>
  <c r="K173" i="24"/>
  <c r="F173" i="24"/>
  <c r="E173" i="24"/>
  <c r="D173" i="24"/>
  <c r="C173" i="24"/>
  <c r="B173" i="24"/>
  <c r="G172" i="24"/>
  <c r="I172" i="24" s="1"/>
  <c r="J172" i="24" s="1"/>
  <c r="G171" i="24"/>
  <c r="I171" i="24" s="1"/>
  <c r="J171" i="24" s="1"/>
  <c r="G170" i="24"/>
  <c r="I170" i="24" s="1"/>
  <c r="J170" i="24" s="1"/>
  <c r="G169" i="24"/>
  <c r="I169" i="24" s="1"/>
  <c r="J169" i="24" s="1"/>
  <c r="G168" i="24"/>
  <c r="I168" i="24" s="1"/>
  <c r="J168" i="24" s="1"/>
  <c r="G167" i="24"/>
  <c r="I167" i="24" s="1"/>
  <c r="J167" i="24" s="1"/>
  <c r="G166" i="24"/>
  <c r="I166" i="24" s="1"/>
  <c r="J166" i="24" s="1"/>
  <c r="N165" i="24"/>
  <c r="O165" i="24" s="1"/>
  <c r="K165" i="24"/>
  <c r="H165" i="24"/>
  <c r="F165" i="24"/>
  <c r="E165" i="24"/>
  <c r="D165" i="24"/>
  <c r="C165" i="24"/>
  <c r="B165" i="24"/>
  <c r="G156" i="24"/>
  <c r="I156" i="24" s="1"/>
  <c r="J156" i="24" s="1"/>
  <c r="G155" i="24"/>
  <c r="I155" i="24" s="1"/>
  <c r="J155" i="24" s="1"/>
  <c r="G154" i="24"/>
  <c r="I154" i="24" s="1"/>
  <c r="J154" i="24" s="1"/>
  <c r="G153" i="24"/>
  <c r="I153" i="24" s="1"/>
  <c r="J153" i="24" s="1"/>
  <c r="G152" i="24"/>
  <c r="I152" i="24" s="1"/>
  <c r="J152" i="24" s="1"/>
  <c r="G151" i="24"/>
  <c r="I151" i="24" s="1"/>
  <c r="J151" i="24" s="1"/>
  <c r="G150" i="24"/>
  <c r="I150" i="24" s="1"/>
  <c r="K149" i="24"/>
  <c r="F149" i="24"/>
  <c r="E149" i="24"/>
  <c r="D149" i="24"/>
  <c r="C149" i="24"/>
  <c r="B149" i="24"/>
  <c r="G149" i="24" s="1"/>
  <c r="G148" i="24"/>
  <c r="I148" i="24" s="1"/>
  <c r="J148" i="24" s="1"/>
  <c r="G147" i="24"/>
  <c r="I147" i="24" s="1"/>
  <c r="J147" i="24" s="1"/>
  <c r="G146" i="24"/>
  <c r="I146" i="24" s="1"/>
  <c r="J146" i="24" s="1"/>
  <c r="G145" i="24"/>
  <c r="I145" i="24" s="1"/>
  <c r="G144" i="24"/>
  <c r="I144" i="24" s="1"/>
  <c r="J144" i="24" s="1"/>
  <c r="G143" i="24"/>
  <c r="I143" i="24" s="1"/>
  <c r="J143" i="24" s="1"/>
  <c r="G142" i="24"/>
  <c r="I142" i="24" s="1"/>
  <c r="D141" i="24"/>
  <c r="G131" i="24"/>
  <c r="I131" i="24" s="1"/>
  <c r="J131" i="24" s="1"/>
  <c r="G130" i="24"/>
  <c r="I130" i="24" s="1"/>
  <c r="J130" i="24" s="1"/>
  <c r="G129" i="24"/>
  <c r="I129" i="24" s="1"/>
  <c r="J129" i="24" s="1"/>
  <c r="G128" i="24"/>
  <c r="I128" i="24" s="1"/>
  <c r="J128" i="24" s="1"/>
  <c r="G127" i="24"/>
  <c r="I127" i="24" s="1"/>
  <c r="J127" i="24" s="1"/>
  <c r="G126" i="24"/>
  <c r="I126" i="24" s="1"/>
  <c r="J126" i="24" s="1"/>
  <c r="G125" i="24"/>
  <c r="I125" i="24" s="1"/>
  <c r="J125" i="24" s="1"/>
  <c r="K124" i="24"/>
  <c r="H124" i="24"/>
  <c r="F124" i="24"/>
  <c r="E124" i="24"/>
  <c r="C124" i="24"/>
  <c r="B124" i="24"/>
  <c r="G115" i="24"/>
  <c r="I115" i="24" s="1"/>
  <c r="J115" i="24" s="1"/>
  <c r="G114" i="24"/>
  <c r="I114" i="24" s="1"/>
  <c r="J114" i="24" s="1"/>
  <c r="G113" i="24"/>
  <c r="I113" i="24" s="1"/>
  <c r="J113" i="24" s="1"/>
  <c r="G112" i="24"/>
  <c r="I112" i="24" s="1"/>
  <c r="J112" i="24" s="1"/>
  <c r="G111" i="24"/>
  <c r="I111" i="24" s="1"/>
  <c r="J111" i="24" s="1"/>
  <c r="G110" i="24"/>
  <c r="I110" i="24" s="1"/>
  <c r="J110" i="24" s="1"/>
  <c r="G109" i="24"/>
  <c r="I109" i="24" s="1"/>
  <c r="J109" i="24" s="1"/>
  <c r="K108" i="24"/>
  <c r="H108" i="24"/>
  <c r="F108" i="24"/>
  <c r="E108" i="24"/>
  <c r="C108" i="24"/>
  <c r="B108" i="24"/>
  <c r="G107" i="24"/>
  <c r="I107" i="24" s="1"/>
  <c r="J107" i="24" s="1"/>
  <c r="G106" i="24"/>
  <c r="I106" i="24" s="1"/>
  <c r="J106" i="24" s="1"/>
  <c r="G105" i="24"/>
  <c r="I105" i="24" s="1"/>
  <c r="J105" i="24" s="1"/>
  <c r="G104" i="24"/>
  <c r="I104" i="24" s="1"/>
  <c r="G103" i="24"/>
  <c r="I103" i="24" s="1"/>
  <c r="G102" i="24"/>
  <c r="I102" i="24" s="1"/>
  <c r="J102" i="24" s="1"/>
  <c r="G101" i="24"/>
  <c r="I101" i="24" s="1"/>
  <c r="J101" i="24" s="1"/>
  <c r="K100" i="24"/>
  <c r="F100" i="24"/>
  <c r="E100" i="24"/>
  <c r="D100" i="24"/>
  <c r="C100" i="24"/>
  <c r="B100" i="24"/>
  <c r="G100" i="24" s="1"/>
  <c r="G57" i="24"/>
  <c r="I57" i="24" s="1"/>
  <c r="J57" i="24" s="1"/>
  <c r="G56" i="24"/>
  <c r="I56" i="24" s="1"/>
  <c r="J56" i="24" s="1"/>
  <c r="G55" i="24"/>
  <c r="I55" i="24" s="1"/>
  <c r="G54" i="24"/>
  <c r="I54" i="24" s="1"/>
  <c r="G53" i="24"/>
  <c r="I53" i="24" s="1"/>
  <c r="J53" i="24" s="1"/>
  <c r="G52" i="24"/>
  <c r="I52" i="24" s="1"/>
  <c r="J52" i="24" s="1"/>
  <c r="N51" i="24"/>
  <c r="O51" i="24" s="1"/>
  <c r="K51" i="24"/>
  <c r="H51" i="24"/>
  <c r="F51" i="24"/>
  <c r="E51" i="24"/>
  <c r="D51" i="24"/>
  <c r="C51" i="24"/>
  <c r="B51" i="24"/>
  <c r="I50" i="24"/>
  <c r="J50" i="24" s="1"/>
  <c r="G49" i="24"/>
  <c r="I49" i="24" s="1"/>
  <c r="J49" i="24" s="1"/>
  <c r="G48" i="24"/>
  <c r="I48" i="24" s="1"/>
  <c r="J48" i="24" s="1"/>
  <c r="G47" i="24"/>
  <c r="I47" i="24" s="1"/>
  <c r="J47" i="24" s="1"/>
  <c r="G46" i="24"/>
  <c r="I46" i="24" s="1"/>
  <c r="J46" i="24" s="1"/>
  <c r="G45" i="24"/>
  <c r="I45" i="24" s="1"/>
  <c r="J45" i="24" s="1"/>
  <c r="G44" i="24"/>
  <c r="I44" i="24" s="1"/>
  <c r="J44" i="24" s="1"/>
  <c r="N43" i="24"/>
  <c r="O43" i="24" s="1"/>
  <c r="K43" i="24"/>
  <c r="H43" i="24"/>
  <c r="E43" i="24"/>
  <c r="D43" i="24"/>
  <c r="C43" i="24"/>
  <c r="B43" i="24"/>
  <c r="G43" i="24" s="1"/>
  <c r="G33" i="24"/>
  <c r="I33" i="24" s="1"/>
  <c r="J33" i="24" s="1"/>
  <c r="G32" i="24"/>
  <c r="I32" i="24" s="1"/>
  <c r="G31" i="24"/>
  <c r="I31" i="24" s="1"/>
  <c r="J31" i="24" s="1"/>
  <c r="G30" i="24"/>
  <c r="I30" i="24" s="1"/>
  <c r="J30" i="24" s="1"/>
  <c r="G29" i="24"/>
  <c r="I29" i="24" s="1"/>
  <c r="J29" i="24" s="1"/>
  <c r="G28" i="24"/>
  <c r="I28" i="24" s="1"/>
  <c r="G25" i="24"/>
  <c r="I25" i="24" s="1"/>
  <c r="J25" i="24" s="1"/>
  <c r="G24" i="24"/>
  <c r="I24" i="24" s="1"/>
  <c r="J24" i="24" s="1"/>
  <c r="G22" i="24"/>
  <c r="I22" i="24" s="1"/>
  <c r="G21" i="24"/>
  <c r="I21" i="24" s="1"/>
  <c r="J21" i="24" s="1"/>
  <c r="G20" i="24"/>
  <c r="I20" i="24" s="1"/>
  <c r="J20" i="24" s="1"/>
  <c r="K19" i="24"/>
  <c r="G19" i="24"/>
  <c r="G18" i="24"/>
  <c r="I18" i="24" s="1"/>
  <c r="J18" i="24" s="1"/>
  <c r="G17" i="24"/>
  <c r="I17" i="24" s="1"/>
  <c r="J17" i="24" s="1"/>
  <c r="G16" i="24"/>
  <c r="I16" i="24" s="1"/>
  <c r="J16" i="24" s="1"/>
  <c r="G15" i="24"/>
  <c r="I15" i="24" s="1"/>
  <c r="J15" i="24" s="1"/>
  <c r="G14" i="24"/>
  <c r="I14" i="24" s="1"/>
  <c r="J14" i="24" s="1"/>
  <c r="G13" i="24"/>
  <c r="I13" i="24" s="1"/>
  <c r="J13" i="24" s="1"/>
  <c r="G12" i="24"/>
  <c r="I12" i="24" s="1"/>
  <c r="J12" i="24" s="1"/>
  <c r="K11" i="24"/>
  <c r="H11" i="24"/>
  <c r="F11" i="24"/>
  <c r="E11" i="24"/>
  <c r="D11" i="24"/>
  <c r="C11" i="24"/>
  <c r="B11" i="24"/>
  <c r="G10" i="24"/>
  <c r="I10" i="24" s="1"/>
  <c r="J10" i="24" s="1"/>
  <c r="G9" i="24"/>
  <c r="I9" i="24" s="1"/>
  <c r="J9" i="24" s="1"/>
  <c r="G8" i="24"/>
  <c r="I8" i="24" s="1"/>
  <c r="J8" i="24" s="1"/>
  <c r="G7" i="24"/>
  <c r="I7" i="24" s="1"/>
  <c r="G6" i="24"/>
  <c r="I6" i="24" s="1"/>
  <c r="J6" i="24" s="1"/>
  <c r="G5" i="24"/>
  <c r="I5" i="24" s="1"/>
  <c r="J5" i="24" s="1"/>
  <c r="G4" i="24"/>
  <c r="I4" i="24" s="1"/>
  <c r="J4" i="24" s="1"/>
  <c r="N3" i="24"/>
  <c r="K3" i="24"/>
  <c r="H3" i="24"/>
  <c r="F3" i="24"/>
  <c r="E3" i="24"/>
  <c r="D3" i="24"/>
  <c r="C3" i="24"/>
  <c r="B3" i="24"/>
  <c r="N275" i="23"/>
  <c r="N324" i="23"/>
  <c r="J324" i="23"/>
  <c r="I324" i="23"/>
  <c r="F324" i="23"/>
  <c r="C324" i="23"/>
  <c r="B324" i="23"/>
  <c r="E324" i="23"/>
  <c r="K300" i="23"/>
  <c r="J300" i="23"/>
  <c r="I300" i="23"/>
  <c r="C300" i="23"/>
  <c r="B300" i="23"/>
  <c r="E300" i="23"/>
  <c r="F300" i="23"/>
  <c r="N284" i="23"/>
  <c r="K284" i="23"/>
  <c r="J284" i="23"/>
  <c r="I284" i="23"/>
  <c r="C284" i="23"/>
  <c r="B284" i="23"/>
  <c r="E284" i="23"/>
  <c r="K25" i="23"/>
  <c r="O324" i="23"/>
  <c r="O284" i="23"/>
  <c r="H291" i="23"/>
  <c r="F292" i="23"/>
  <c r="E292" i="23"/>
  <c r="G211" i="23"/>
  <c r="G212" i="23"/>
  <c r="G213" i="23"/>
  <c r="E261" i="23"/>
  <c r="E222" i="23"/>
  <c r="E206" i="23"/>
  <c r="L356" i="23"/>
  <c r="E316" i="23"/>
  <c r="F316" i="23"/>
  <c r="G302" i="23"/>
  <c r="G273" i="23"/>
  <c r="I273" i="23" s="1"/>
  <c r="E246" i="23"/>
  <c r="N222" i="23"/>
  <c r="O222" i="23" s="1"/>
  <c r="K222" i="23"/>
  <c r="H222" i="23"/>
  <c r="F222" i="23"/>
  <c r="C222" i="23"/>
  <c r="B222" i="23"/>
  <c r="G220" i="23"/>
  <c r="I213" i="23"/>
  <c r="J213" i="23" s="1"/>
  <c r="I212" i="23"/>
  <c r="J212" i="23" s="1"/>
  <c r="N63" i="23"/>
  <c r="N23" i="23"/>
  <c r="N15" i="23"/>
  <c r="N329" i="23"/>
  <c r="N182" i="23"/>
  <c r="N274" i="23"/>
  <c r="N266" i="23"/>
  <c r="N259" i="23"/>
  <c r="N251" i="23"/>
  <c r="N235" i="23"/>
  <c r="N219" i="23"/>
  <c r="N211" i="23"/>
  <c r="N204" i="23"/>
  <c r="N168" i="23"/>
  <c r="N113" i="23"/>
  <c r="N144" i="23"/>
  <c r="N128" i="23"/>
  <c r="N121" i="23"/>
  <c r="N83" i="23"/>
  <c r="N76" i="23"/>
  <c r="N62" i="23"/>
  <c r="N30" i="23"/>
  <c r="N22" i="23"/>
  <c r="N14" i="23"/>
  <c r="N8" i="23"/>
  <c r="H345" i="23"/>
  <c r="G242" i="23"/>
  <c r="G243" i="23"/>
  <c r="I243" i="23" s="1"/>
  <c r="J243" i="23" s="1"/>
  <c r="G244" i="23"/>
  <c r="I244" i="23" s="1"/>
  <c r="J244" i="23" s="1"/>
  <c r="G245" i="23"/>
  <c r="I245" i="23" s="1"/>
  <c r="J245" i="23" s="1"/>
  <c r="G227" i="23"/>
  <c r="I227" i="23" s="1"/>
  <c r="J227" i="23" s="1"/>
  <c r="G228" i="23"/>
  <c r="I228" i="23" s="1"/>
  <c r="J228" i="23" s="1"/>
  <c r="G229" i="23"/>
  <c r="I229" i="23" s="1"/>
  <c r="J229" i="23" s="1"/>
  <c r="H182" i="23"/>
  <c r="G162" i="23"/>
  <c r="I162" i="23"/>
  <c r="J162" i="23"/>
  <c r="H83" i="23"/>
  <c r="E330" i="21"/>
  <c r="E321" i="21"/>
  <c r="E259" i="21"/>
  <c r="E227" i="21"/>
  <c r="E187" i="21"/>
  <c r="E134" i="21"/>
  <c r="E72" i="21"/>
  <c r="E49" i="21"/>
  <c r="E25" i="21"/>
  <c r="E18" i="21"/>
  <c r="H97" i="23"/>
  <c r="G154" i="23"/>
  <c r="I154" i="23" s="1"/>
  <c r="J154" i="23" s="1"/>
  <c r="G153" i="23"/>
  <c r="I153" i="23" s="1"/>
  <c r="J153" i="23" s="1"/>
  <c r="G152" i="23"/>
  <c r="I152" i="23" s="1"/>
  <c r="J152" i="23" s="1"/>
  <c r="G151" i="23"/>
  <c r="I151" i="23" s="1"/>
  <c r="J151" i="23" s="1"/>
  <c r="G150" i="23"/>
  <c r="I150" i="23" s="1"/>
  <c r="J150" i="23" s="1"/>
  <c r="G149" i="23"/>
  <c r="I149" i="23" s="1"/>
  <c r="J149" i="23" s="1"/>
  <c r="G148" i="23"/>
  <c r="I148" i="23" s="1"/>
  <c r="J148" i="23" s="1"/>
  <c r="N147" i="23"/>
  <c r="O147" i="23" s="1"/>
  <c r="K147" i="23"/>
  <c r="J147" i="23"/>
  <c r="M147" i="23" s="1"/>
  <c r="I147" i="23"/>
  <c r="H147" i="23"/>
  <c r="F147" i="23"/>
  <c r="E147" i="23"/>
  <c r="D147" i="23"/>
  <c r="C147" i="23"/>
  <c r="B147" i="23"/>
  <c r="G147" i="23" s="1"/>
  <c r="N167" i="23"/>
  <c r="N120" i="23"/>
  <c r="H173" i="23"/>
  <c r="N112" i="23"/>
  <c r="N288" i="23"/>
  <c r="N328" i="23"/>
  <c r="N304" i="23"/>
  <c r="N312" i="23"/>
  <c r="N280" i="23"/>
  <c r="N210" i="23"/>
  <c r="N143" i="23"/>
  <c r="N112" i="21"/>
  <c r="N116" i="21"/>
  <c r="H288" i="23"/>
  <c r="H284" i="23" s="1"/>
  <c r="N123" i="21"/>
  <c r="N121" i="21"/>
  <c r="H234" i="23"/>
  <c r="N272" i="23"/>
  <c r="N194" i="23"/>
  <c r="N158" i="23"/>
  <c r="N166" i="23"/>
  <c r="N343" i="23"/>
  <c r="N60" i="23"/>
  <c r="H187" i="23"/>
  <c r="N126" i="23"/>
  <c r="N96" i="23"/>
  <c r="N12" i="23"/>
  <c r="N111" i="23"/>
  <c r="N142" i="23"/>
  <c r="N279" i="23"/>
  <c r="N287" i="23"/>
  <c r="N311" i="23"/>
  <c r="G288" i="23"/>
  <c r="G289" i="23"/>
  <c r="G290" i="23"/>
  <c r="I290" i="23" s="1"/>
  <c r="J290" i="23" s="1"/>
  <c r="G291" i="23"/>
  <c r="I291" i="23" s="1"/>
  <c r="J291" i="23" s="1"/>
  <c r="N271" i="21"/>
  <c r="N150" i="21"/>
  <c r="N32" i="21"/>
  <c r="N169" i="21"/>
  <c r="N269" i="21"/>
  <c r="N325" i="21"/>
  <c r="N184" i="21"/>
  <c r="N218" i="21"/>
  <c r="N217" i="21"/>
  <c r="N211" i="21" s="1"/>
  <c r="O211" i="21" s="1"/>
  <c r="K321" i="21"/>
  <c r="J321" i="21"/>
  <c r="J326" i="21"/>
  <c r="J327" i="21"/>
  <c r="J328" i="21"/>
  <c r="I321" i="21"/>
  <c r="F179" i="21"/>
  <c r="K49" i="21"/>
  <c r="J49" i="21"/>
  <c r="I49" i="21"/>
  <c r="K10" i="21"/>
  <c r="J10" i="21"/>
  <c r="I10" i="21"/>
  <c r="E10" i="21"/>
  <c r="N267" i="21"/>
  <c r="N138" i="21"/>
  <c r="N140" i="21"/>
  <c r="N262" i="23"/>
  <c r="N124" i="23"/>
  <c r="N30" i="21"/>
  <c r="N328" i="21"/>
  <c r="N134" i="21"/>
  <c r="O134" i="21" s="1"/>
  <c r="N118" i="21"/>
  <c r="O118" i="21" s="1"/>
  <c r="N111" i="21"/>
  <c r="N72" i="21"/>
  <c r="N57" i="21"/>
  <c r="N10" i="21"/>
  <c r="O10" i="21" s="1"/>
  <c r="J283" i="21"/>
  <c r="I283" i="21"/>
  <c r="H247" i="23"/>
  <c r="G11" i="23"/>
  <c r="I11" i="23"/>
  <c r="J11" i="23"/>
  <c r="G331" i="23"/>
  <c r="I331" i="23" s="1"/>
  <c r="J331" i="23" s="1"/>
  <c r="G330" i="23"/>
  <c r="I330" i="23" s="1"/>
  <c r="J330" i="23" s="1"/>
  <c r="G329" i="23"/>
  <c r="I329" i="23" s="1"/>
  <c r="J329" i="23" s="1"/>
  <c r="G328" i="23"/>
  <c r="I328" i="23" s="1"/>
  <c r="J328" i="23" s="1"/>
  <c r="G327" i="23"/>
  <c r="I327" i="23" s="1"/>
  <c r="J327" i="23" s="1"/>
  <c r="G326" i="23"/>
  <c r="I326" i="23" s="1"/>
  <c r="J326" i="23" s="1"/>
  <c r="G325" i="23"/>
  <c r="I325" i="23" s="1"/>
  <c r="J325" i="23" s="1"/>
  <c r="K324" i="23"/>
  <c r="M324" i="23"/>
  <c r="H324" i="23"/>
  <c r="D324" i="23"/>
  <c r="G324" i="23"/>
  <c r="G299" i="23"/>
  <c r="I299" i="23" s="1"/>
  <c r="J299" i="23" s="1"/>
  <c r="G298" i="23"/>
  <c r="I298" i="23" s="1"/>
  <c r="J298" i="23" s="1"/>
  <c r="G297" i="23"/>
  <c r="I297" i="23" s="1"/>
  <c r="J297" i="23" s="1"/>
  <c r="G296" i="23"/>
  <c r="I296" i="23" s="1"/>
  <c r="J296" i="23" s="1"/>
  <c r="G295" i="23"/>
  <c r="I295" i="23" s="1"/>
  <c r="J295" i="23" s="1"/>
  <c r="G294" i="23"/>
  <c r="I294" i="23" s="1"/>
  <c r="J294" i="23" s="1"/>
  <c r="G293" i="23"/>
  <c r="I293" i="23" s="1"/>
  <c r="J293" i="23" s="1"/>
  <c r="N292" i="23"/>
  <c r="O292" i="23" s="1"/>
  <c r="K292" i="23"/>
  <c r="J292" i="23"/>
  <c r="M292" i="23" s="1"/>
  <c r="I292" i="23"/>
  <c r="H292" i="23"/>
  <c r="D292" i="23"/>
  <c r="C292" i="23"/>
  <c r="B292" i="23"/>
  <c r="G292" i="23" s="1"/>
  <c r="G253" i="23"/>
  <c r="I253" i="23" s="1"/>
  <c r="J253" i="23" s="1"/>
  <c r="G252" i="23"/>
  <c r="I252" i="23" s="1"/>
  <c r="J252" i="23" s="1"/>
  <c r="G251" i="23"/>
  <c r="I251" i="23" s="1"/>
  <c r="J251" i="23" s="1"/>
  <c r="G250" i="23"/>
  <c r="I250" i="23" s="1"/>
  <c r="J250" i="23" s="1"/>
  <c r="G249" i="23"/>
  <c r="I249" i="23" s="1"/>
  <c r="J249" i="23" s="1"/>
  <c r="G248" i="23"/>
  <c r="I248" i="23" s="1"/>
  <c r="J248" i="23" s="1"/>
  <c r="G247" i="23"/>
  <c r="I247" i="23" s="1"/>
  <c r="J247" i="23" s="1"/>
  <c r="N246" i="23"/>
  <c r="O246" i="23" s="1"/>
  <c r="K246" i="23"/>
  <c r="J246" i="23"/>
  <c r="M246" i="23" s="1"/>
  <c r="I246" i="23"/>
  <c r="H246" i="23"/>
  <c r="F246" i="23"/>
  <c r="D246" i="23"/>
  <c r="C246" i="23"/>
  <c r="B246" i="23"/>
  <c r="G246" i="23" s="1"/>
  <c r="G237" i="23"/>
  <c r="I237" i="23" s="1"/>
  <c r="J237" i="23" s="1"/>
  <c r="G236" i="23"/>
  <c r="I236" i="23" s="1"/>
  <c r="J236" i="23" s="1"/>
  <c r="G235" i="23"/>
  <c r="I235" i="23" s="1"/>
  <c r="J235" i="23" s="1"/>
  <c r="G234" i="23"/>
  <c r="I234" i="23" s="1"/>
  <c r="J234" i="23" s="1"/>
  <c r="G233" i="23"/>
  <c r="I233" i="23" s="1"/>
  <c r="J233" i="23" s="1"/>
  <c r="G232" i="23"/>
  <c r="I232" i="23" s="1"/>
  <c r="J232" i="23" s="1"/>
  <c r="G231" i="23"/>
  <c r="I231" i="23" s="1"/>
  <c r="J231" i="23" s="1"/>
  <c r="N230" i="23"/>
  <c r="O230" i="23" s="1"/>
  <c r="K230" i="23"/>
  <c r="J230" i="23"/>
  <c r="M230" i="23" s="1"/>
  <c r="I230" i="23"/>
  <c r="H230" i="23"/>
  <c r="F230" i="23"/>
  <c r="D230" i="23"/>
  <c r="C230" i="23"/>
  <c r="B230" i="23"/>
  <c r="G230" i="23" s="1"/>
  <c r="G226" i="23"/>
  <c r="I226" i="23" s="1"/>
  <c r="J226" i="23" s="1"/>
  <c r="G225" i="23"/>
  <c r="I225" i="23" s="1"/>
  <c r="J225" i="23" s="1"/>
  <c r="G224" i="23"/>
  <c r="I224" i="23" s="1"/>
  <c r="J224" i="23" s="1"/>
  <c r="G223" i="23"/>
  <c r="I223" i="23" s="1"/>
  <c r="D222" i="23"/>
  <c r="G222" i="23"/>
  <c r="I205" i="23"/>
  <c r="J205" i="23" s="1"/>
  <c r="G204" i="23"/>
  <c r="I204" i="23" s="1"/>
  <c r="J204" i="23" s="1"/>
  <c r="G203" i="23"/>
  <c r="I203" i="23" s="1"/>
  <c r="J203" i="23" s="1"/>
  <c r="G202" i="23"/>
  <c r="I202" i="23" s="1"/>
  <c r="J202" i="23" s="1"/>
  <c r="G201" i="23"/>
  <c r="I201" i="23" s="1"/>
  <c r="J201" i="23" s="1"/>
  <c r="G200" i="23"/>
  <c r="I200" i="23" s="1"/>
  <c r="J200" i="23" s="1"/>
  <c r="D199" i="23"/>
  <c r="G190" i="23"/>
  <c r="I190" i="23" s="1"/>
  <c r="J190" i="23" s="1"/>
  <c r="G189" i="23"/>
  <c r="I189" i="23" s="1"/>
  <c r="J189" i="23" s="1"/>
  <c r="G188" i="23"/>
  <c r="I188" i="23" s="1"/>
  <c r="J188" i="23" s="1"/>
  <c r="G187" i="23"/>
  <c r="I187" i="23" s="1"/>
  <c r="J187" i="23" s="1"/>
  <c r="G186" i="23"/>
  <c r="I186" i="23" s="1"/>
  <c r="J186" i="23" s="1"/>
  <c r="G185" i="23"/>
  <c r="I185" i="23" s="1"/>
  <c r="J185" i="23" s="1"/>
  <c r="O184" i="23"/>
  <c r="K184" i="23"/>
  <c r="J184" i="23"/>
  <c r="M184" i="23" s="1"/>
  <c r="I184" i="23"/>
  <c r="H184" i="23"/>
  <c r="F184" i="23"/>
  <c r="E184" i="23"/>
  <c r="D184" i="23"/>
  <c r="C184" i="23"/>
  <c r="B184" i="23"/>
  <c r="G184" i="23" s="1"/>
  <c r="G198" i="23"/>
  <c r="I198" i="23" s="1"/>
  <c r="J198" i="23" s="1"/>
  <c r="G197" i="23"/>
  <c r="I197" i="23" s="1"/>
  <c r="J197" i="23" s="1"/>
  <c r="G196" i="23"/>
  <c r="I196" i="23" s="1"/>
  <c r="J196" i="23" s="1"/>
  <c r="G195" i="23"/>
  <c r="I195" i="23" s="1"/>
  <c r="J195" i="23" s="1"/>
  <c r="G194" i="23"/>
  <c r="I194" i="23" s="1"/>
  <c r="J194" i="23" s="1"/>
  <c r="G193" i="23"/>
  <c r="I193" i="23" s="1"/>
  <c r="J193" i="23" s="1"/>
  <c r="G192" i="23"/>
  <c r="I192" i="23" s="1"/>
  <c r="J192" i="23" s="1"/>
  <c r="N191" i="23"/>
  <c r="O191" i="23" s="1"/>
  <c r="K191" i="23"/>
  <c r="J191" i="23"/>
  <c r="I191" i="23"/>
  <c r="H191" i="23"/>
  <c r="F191" i="23"/>
  <c r="E191" i="23"/>
  <c r="D191" i="23"/>
  <c r="C191" i="23"/>
  <c r="B191" i="23"/>
  <c r="G191" i="23" s="1"/>
  <c r="G84" i="23"/>
  <c r="I84" i="23" s="1"/>
  <c r="J84" i="23" s="1"/>
  <c r="G83" i="23"/>
  <c r="I83" i="23" s="1"/>
  <c r="J83" i="23" s="1"/>
  <c r="G82" i="23"/>
  <c r="I82" i="23" s="1"/>
  <c r="J82" i="23" s="1"/>
  <c r="G81" i="23"/>
  <c r="I81" i="23" s="1"/>
  <c r="J81" i="23" s="1"/>
  <c r="G80" i="23"/>
  <c r="I80" i="23" s="1"/>
  <c r="J80" i="23" s="1"/>
  <c r="G79" i="23"/>
  <c r="I79" i="23" s="1"/>
  <c r="J79" i="23" s="1"/>
  <c r="N78" i="23"/>
  <c r="O78" i="23" s="1"/>
  <c r="K78" i="23"/>
  <c r="J78" i="23"/>
  <c r="M78" i="23" s="1"/>
  <c r="I78" i="23"/>
  <c r="H78" i="23"/>
  <c r="F78" i="23"/>
  <c r="E78" i="23"/>
  <c r="D78" i="23"/>
  <c r="C78" i="23"/>
  <c r="B78" i="23"/>
  <c r="G78" i="23" s="1"/>
  <c r="C96" i="21"/>
  <c r="B96" i="21"/>
  <c r="N104" i="21"/>
  <c r="N142" i="21"/>
  <c r="N156" i="21"/>
  <c r="N164" i="21"/>
  <c r="N227" i="21"/>
  <c r="O227" i="21" s="1"/>
  <c r="N321" i="21"/>
  <c r="O321" i="21"/>
  <c r="N283" i="21"/>
  <c r="O283" i="21"/>
  <c r="N259" i="21"/>
  <c r="O259" i="21"/>
  <c r="N243" i="21"/>
  <c r="O243" i="21" s="1"/>
  <c r="N203" i="21"/>
  <c r="O203" i="21" s="1"/>
  <c r="N187" i="21"/>
  <c r="O187" i="21" s="1"/>
  <c r="N179" i="21"/>
  <c r="O179" i="21" s="1"/>
  <c r="O156" i="21"/>
  <c r="O142" i="21"/>
  <c r="O111" i="21"/>
  <c r="O104" i="21"/>
  <c r="N25" i="21"/>
  <c r="O25" i="21" s="1"/>
  <c r="L330" i="21"/>
  <c r="G325" i="21"/>
  <c r="I325" i="21" s="1"/>
  <c r="G326" i="21"/>
  <c r="I326" i="21" s="1"/>
  <c r="G327" i="21"/>
  <c r="I327" i="21" s="1"/>
  <c r="G328" i="21"/>
  <c r="I328" i="21" s="1"/>
  <c r="G30" i="21"/>
  <c r="I30" i="21" s="1"/>
  <c r="J30" i="21" s="1"/>
  <c r="G31" i="21"/>
  <c r="I31" i="21" s="1"/>
  <c r="J31" i="21" s="1"/>
  <c r="G32" i="21"/>
  <c r="I32" i="21" s="1"/>
  <c r="J32" i="21" s="1"/>
  <c r="G29" i="21"/>
  <c r="I29" i="21" s="1"/>
  <c r="G54" i="21"/>
  <c r="I54" i="21" s="1"/>
  <c r="G55" i="21"/>
  <c r="I55" i="21" s="1"/>
  <c r="J55" i="21" s="1"/>
  <c r="G56" i="21"/>
  <c r="I56" i="21" s="1"/>
  <c r="J56" i="21" s="1"/>
  <c r="G16" i="21"/>
  <c r="G17" i="21"/>
  <c r="I17" i="21"/>
  <c r="J17" i="21"/>
  <c r="G163" i="21"/>
  <c r="I163" i="21" s="1"/>
  <c r="J163" i="21" s="1"/>
  <c r="G162" i="21"/>
  <c r="I162" i="21" s="1"/>
  <c r="J162" i="21" s="1"/>
  <c r="G161" i="21"/>
  <c r="I161" i="21" s="1"/>
  <c r="J161" i="21" s="1"/>
  <c r="G160" i="21"/>
  <c r="I160" i="21" s="1"/>
  <c r="J160" i="21" s="1"/>
  <c r="G159" i="21"/>
  <c r="I159" i="21" s="1"/>
  <c r="J159" i="21" s="1"/>
  <c r="G158" i="21"/>
  <c r="I158" i="21" s="1"/>
  <c r="J158" i="21" s="1"/>
  <c r="G157" i="21"/>
  <c r="I157" i="21" s="1"/>
  <c r="J157" i="21" s="1"/>
  <c r="K156" i="21"/>
  <c r="J156" i="21"/>
  <c r="M156" i="21" s="1"/>
  <c r="I156" i="21"/>
  <c r="H156" i="21"/>
  <c r="F156" i="21"/>
  <c r="E156" i="21"/>
  <c r="D156" i="21"/>
  <c r="C156" i="21"/>
  <c r="B156" i="21"/>
  <c r="G156" i="21" s="1"/>
  <c r="G274" i="21"/>
  <c r="I274" i="21" s="1"/>
  <c r="J274" i="21" s="1"/>
  <c r="G273" i="21"/>
  <c r="I273" i="21" s="1"/>
  <c r="J273" i="21" s="1"/>
  <c r="G272" i="21"/>
  <c r="I272" i="21" s="1"/>
  <c r="J272" i="21" s="1"/>
  <c r="G271" i="21"/>
  <c r="I271" i="21" s="1"/>
  <c r="J271" i="21" s="1"/>
  <c r="G270" i="21"/>
  <c r="I270" i="21" s="1"/>
  <c r="J270" i="21" s="1"/>
  <c r="G269" i="21"/>
  <c r="I269" i="21" s="1"/>
  <c r="J269" i="21" s="1"/>
  <c r="G268" i="21"/>
  <c r="I268" i="21" s="1"/>
  <c r="J268" i="21" s="1"/>
  <c r="K267" i="21"/>
  <c r="J267" i="21"/>
  <c r="M267" i="21" s="1"/>
  <c r="I267" i="21"/>
  <c r="H267" i="21"/>
  <c r="F267" i="21"/>
  <c r="E267" i="21"/>
  <c r="D267" i="21"/>
  <c r="C267" i="21"/>
  <c r="B267" i="21"/>
  <c r="G267" i="21" s="1"/>
  <c r="K259" i="21"/>
  <c r="H259" i="21"/>
  <c r="C259" i="21"/>
  <c r="B259" i="21"/>
  <c r="K227" i="21"/>
  <c r="H227" i="21"/>
  <c r="C227" i="21"/>
  <c r="B227" i="21"/>
  <c r="K187" i="21"/>
  <c r="H187" i="21"/>
  <c r="C187" i="21"/>
  <c r="B187" i="21"/>
  <c r="K179" i="21"/>
  <c r="H179" i="21"/>
  <c r="E179" i="21"/>
  <c r="C179" i="21"/>
  <c r="B179" i="21"/>
  <c r="K171" i="21"/>
  <c r="H171" i="21"/>
  <c r="E171" i="21"/>
  <c r="C171" i="21"/>
  <c r="B171" i="21"/>
  <c r="F134" i="21"/>
  <c r="C134" i="21"/>
  <c r="B134" i="21"/>
  <c r="G87" i="21"/>
  <c r="H72" i="21"/>
  <c r="F72" i="21"/>
  <c r="C72" i="21"/>
  <c r="B72" i="21"/>
  <c r="K72" i="21"/>
  <c r="I87" i="21"/>
  <c r="J87" i="21" s="1"/>
  <c r="G86" i="21"/>
  <c r="I86" i="21" s="1"/>
  <c r="J86" i="21" s="1"/>
  <c r="G85" i="21"/>
  <c r="I85" i="21" s="1"/>
  <c r="J85" i="21" s="1"/>
  <c r="G84" i="21"/>
  <c r="I84" i="21" s="1"/>
  <c r="J84" i="21" s="1"/>
  <c r="G83" i="21"/>
  <c r="I83" i="21" s="1"/>
  <c r="J83" i="21" s="1"/>
  <c r="G82" i="21"/>
  <c r="I82" i="21" s="1"/>
  <c r="J82" i="21" s="1"/>
  <c r="G81" i="21"/>
  <c r="I81" i="21" s="1"/>
  <c r="J81" i="21" s="1"/>
  <c r="N80" i="21"/>
  <c r="O80" i="21" s="1"/>
  <c r="K80" i="21"/>
  <c r="J80" i="21"/>
  <c r="M80" i="21" s="1"/>
  <c r="I80" i="21"/>
  <c r="H80" i="21"/>
  <c r="F80" i="21"/>
  <c r="E80" i="21"/>
  <c r="D80" i="21"/>
  <c r="C80" i="21"/>
  <c r="B80" i="21"/>
  <c r="G80" i="21" s="1"/>
  <c r="G249" i="21"/>
  <c r="G250" i="21"/>
  <c r="I249" i="21"/>
  <c r="I250" i="21"/>
  <c r="G240" i="21"/>
  <c r="I240" i="21" s="1"/>
  <c r="J240" i="21" s="1"/>
  <c r="G241" i="21"/>
  <c r="I241" i="21" s="1"/>
  <c r="J241" i="21" s="1"/>
  <c r="G232" i="21"/>
  <c r="I232" i="21" s="1"/>
  <c r="J232" i="21" s="1"/>
  <c r="G233" i="21"/>
  <c r="I233" i="21" s="1"/>
  <c r="J233" i="21" s="1"/>
  <c r="G234" i="21"/>
  <c r="I234" i="21" s="1"/>
  <c r="J234" i="21" s="1"/>
  <c r="G231" i="21"/>
  <c r="G192" i="21"/>
  <c r="I192" i="21" s="1"/>
  <c r="J192" i="21" s="1"/>
  <c r="G193" i="21"/>
  <c r="I193" i="21" s="1"/>
  <c r="J193" i="21" s="1"/>
  <c r="G194" i="21"/>
  <c r="I194" i="21" s="1"/>
  <c r="J194" i="21" s="1"/>
  <c r="G185" i="21"/>
  <c r="I185" i="21" s="1"/>
  <c r="J185" i="21" s="1"/>
  <c r="G186" i="21"/>
  <c r="I186" i="21" s="1"/>
  <c r="J186" i="21" s="1"/>
  <c r="G176" i="21"/>
  <c r="I176" i="21" s="1"/>
  <c r="J176" i="21" s="1"/>
  <c r="G177" i="21"/>
  <c r="I177" i="21" s="1"/>
  <c r="J177" i="21" s="1"/>
  <c r="G178" i="21"/>
  <c r="I178" i="21" s="1"/>
  <c r="J178" i="21" s="1"/>
  <c r="G174" i="21"/>
  <c r="C118" i="21"/>
  <c r="B118" i="21"/>
  <c r="G78" i="21"/>
  <c r="I78" i="21" s="1"/>
  <c r="J78" i="21" s="1"/>
  <c r="G79" i="21"/>
  <c r="I79" i="21" s="1"/>
  <c r="J79" i="21" s="1"/>
  <c r="H164" i="21"/>
  <c r="F164" i="21"/>
  <c r="E164" i="21"/>
  <c r="C164" i="21"/>
  <c r="B164" i="21"/>
  <c r="E142" i="21"/>
  <c r="C142" i="21"/>
  <c r="B142" i="21"/>
  <c r="H134" i="21"/>
  <c r="K134" i="21"/>
  <c r="G102" i="21"/>
  <c r="G103" i="21"/>
  <c r="H93" i="21"/>
  <c r="G315" i="21"/>
  <c r="G316" i="21"/>
  <c r="G317" i="21"/>
  <c r="G318" i="21"/>
  <c r="G319" i="21"/>
  <c r="G320" i="21"/>
  <c r="K298" i="21"/>
  <c r="H298" i="21"/>
  <c r="F298" i="21"/>
  <c r="E298" i="21"/>
  <c r="D298" i="21"/>
  <c r="C298" i="21"/>
  <c r="B298" i="21"/>
  <c r="G265" i="21"/>
  <c r="G266" i="21"/>
  <c r="I265" i="21"/>
  <c r="H243" i="21"/>
  <c r="F243" i="21"/>
  <c r="E243" i="21"/>
  <c r="C243" i="21"/>
  <c r="B243" i="21"/>
  <c r="K243" i="21"/>
  <c r="G215" i="21"/>
  <c r="I215" i="21" s="1"/>
  <c r="G216" i="21"/>
  <c r="I216" i="21" s="1"/>
  <c r="F187" i="21"/>
  <c r="K164" i="21"/>
  <c r="K142" i="21"/>
  <c r="G7" i="21"/>
  <c r="I7" i="21" s="1"/>
  <c r="J7" i="21" s="1"/>
  <c r="G4" i="21"/>
  <c r="I4" i="21" s="1"/>
  <c r="G92" i="21"/>
  <c r="I92" i="21" s="1"/>
  <c r="N262" i="20"/>
  <c r="N258" i="20"/>
  <c r="N55" i="20"/>
  <c r="N52" i="20"/>
  <c r="N54" i="20"/>
  <c r="N51" i="20" s="1"/>
  <c r="O51" i="20" s="1"/>
  <c r="H279" i="21"/>
  <c r="G53" i="21"/>
  <c r="I53" i="21" s="1"/>
  <c r="N314" i="21"/>
  <c r="N313" i="21" s="1"/>
  <c r="O313" i="21" s="1"/>
  <c r="N278" i="20"/>
  <c r="N177" i="20"/>
  <c r="N175" i="20"/>
  <c r="N326" i="20"/>
  <c r="N323" i="20"/>
  <c r="N324" i="20"/>
  <c r="N112" i="20"/>
  <c r="N45" i="20"/>
  <c r="G168" i="21"/>
  <c r="I168" i="21" s="1"/>
  <c r="J168" i="21" s="1"/>
  <c r="G169" i="21"/>
  <c r="I169" i="21" s="1"/>
  <c r="J169" i="21" s="1"/>
  <c r="G170" i="21"/>
  <c r="I170" i="21" s="1"/>
  <c r="J170" i="21" s="1"/>
  <c r="H91" i="21"/>
  <c r="N198" i="21"/>
  <c r="N195" i="21" s="1"/>
  <c r="O195" i="21" s="1"/>
  <c r="G218" i="21"/>
  <c r="I218" i="21" s="1"/>
  <c r="J218" i="21" s="1"/>
  <c r="G217" i="21"/>
  <c r="I217" i="21" s="1"/>
  <c r="J217" i="21" s="1"/>
  <c r="J216" i="21"/>
  <c r="J215" i="21"/>
  <c r="G214" i="21"/>
  <c r="I214" i="21" s="1"/>
  <c r="J214" i="21" s="1"/>
  <c r="G213" i="21"/>
  <c r="I213" i="21" s="1"/>
  <c r="J213" i="21" s="1"/>
  <c r="G212" i="21"/>
  <c r="I212" i="21" s="1"/>
  <c r="J212" i="21" s="1"/>
  <c r="K211" i="21"/>
  <c r="H211" i="21"/>
  <c r="F211" i="21"/>
  <c r="E211" i="21"/>
  <c r="D211" i="21"/>
  <c r="C211" i="21"/>
  <c r="B211" i="21"/>
  <c r="G211" i="21" s="1"/>
  <c r="G202" i="21"/>
  <c r="I202" i="21" s="1"/>
  <c r="J202" i="21" s="1"/>
  <c r="G201" i="21"/>
  <c r="I201" i="21" s="1"/>
  <c r="J201" i="21" s="1"/>
  <c r="G200" i="21"/>
  <c r="I200" i="21" s="1"/>
  <c r="J200" i="21" s="1"/>
  <c r="G199" i="21"/>
  <c r="I199" i="21" s="1"/>
  <c r="J199" i="21" s="1"/>
  <c r="G198" i="21"/>
  <c r="I198" i="21" s="1"/>
  <c r="J198" i="21" s="1"/>
  <c r="G197" i="21"/>
  <c r="I197" i="21" s="1"/>
  <c r="J197" i="21" s="1"/>
  <c r="G196" i="21"/>
  <c r="I196" i="21" s="1"/>
  <c r="K195" i="21"/>
  <c r="H195" i="21"/>
  <c r="F195" i="21"/>
  <c r="E195" i="21"/>
  <c r="D195" i="21"/>
  <c r="C195" i="21"/>
  <c r="B195" i="21"/>
  <c r="G195" i="21" s="1"/>
  <c r="N291" i="20"/>
  <c r="N294" i="20"/>
  <c r="N255" i="20"/>
  <c r="N264" i="20"/>
  <c r="H90" i="21"/>
  <c r="N215" i="20"/>
  <c r="N213" i="20"/>
  <c r="N188" i="20"/>
  <c r="N150" i="20"/>
  <c r="G184" i="21"/>
  <c r="I184" i="21" s="1"/>
  <c r="J184" i="21" s="1"/>
  <c r="G183" i="21"/>
  <c r="I183" i="21" s="1"/>
  <c r="J183" i="21" s="1"/>
  <c r="G182" i="21"/>
  <c r="I182" i="21" s="1"/>
  <c r="J182" i="21" s="1"/>
  <c r="G181" i="21"/>
  <c r="I181" i="21" s="1"/>
  <c r="J181" i="21" s="1"/>
  <c r="G180" i="21"/>
  <c r="I180" i="21" s="1"/>
  <c r="I179" i="21" s="1"/>
  <c r="D179" i="21"/>
  <c r="G179" i="21"/>
  <c r="N172" i="21"/>
  <c r="N171" i="21" s="1"/>
  <c r="O171" i="21" s="1"/>
  <c r="E49" i="23"/>
  <c r="G55" i="23"/>
  <c r="I55" i="23" s="1"/>
  <c r="J55" i="23" s="1"/>
  <c r="E17" i="23"/>
  <c r="B3" i="23"/>
  <c r="C3" i="23"/>
  <c r="D3" i="23"/>
  <c r="E3" i="23"/>
  <c r="F3" i="23"/>
  <c r="G3" i="23"/>
  <c r="H3" i="23"/>
  <c r="K3" i="23"/>
  <c r="N3" i="23"/>
  <c r="O3" i="23" s="1"/>
  <c r="G4" i="23"/>
  <c r="I4" i="23"/>
  <c r="J4" i="23"/>
  <c r="G5" i="23"/>
  <c r="I5" i="23"/>
  <c r="J5" i="23"/>
  <c r="G6" i="23"/>
  <c r="I6" i="23"/>
  <c r="J6" i="23"/>
  <c r="G7" i="23"/>
  <c r="I7" i="23"/>
  <c r="J7" i="23"/>
  <c r="G8" i="23"/>
  <c r="I8" i="23"/>
  <c r="J8" i="23"/>
  <c r="G9" i="23"/>
  <c r="I9" i="23"/>
  <c r="J9" i="23"/>
  <c r="B10" i="23"/>
  <c r="C10" i="23"/>
  <c r="D10" i="23"/>
  <c r="E10" i="23"/>
  <c r="F10" i="23"/>
  <c r="G10" i="23"/>
  <c r="H10" i="23"/>
  <c r="K10" i="23"/>
  <c r="N10" i="23"/>
  <c r="O10" i="23" s="1"/>
  <c r="G12" i="23"/>
  <c r="I12" i="23"/>
  <c r="J12" i="23"/>
  <c r="G13" i="23"/>
  <c r="I13" i="23"/>
  <c r="J13" i="23"/>
  <c r="G14" i="23"/>
  <c r="I14" i="23"/>
  <c r="J14" i="23"/>
  <c r="G15" i="23"/>
  <c r="I15" i="23"/>
  <c r="J15" i="23"/>
  <c r="G16" i="23"/>
  <c r="I16" i="23"/>
  <c r="J16" i="23"/>
  <c r="B17" i="23"/>
  <c r="C17" i="23"/>
  <c r="D17" i="23"/>
  <c r="F17" i="23"/>
  <c r="G17" i="23"/>
  <c r="H17" i="23"/>
  <c r="K17" i="23"/>
  <c r="N17" i="23"/>
  <c r="O17" i="23" s="1"/>
  <c r="G18" i="23"/>
  <c r="I18" i="23"/>
  <c r="J18" i="23"/>
  <c r="G19" i="23"/>
  <c r="I19" i="23"/>
  <c r="J19" i="23"/>
  <c r="G20" i="23"/>
  <c r="I20" i="23"/>
  <c r="J20" i="23"/>
  <c r="G21" i="23"/>
  <c r="I21" i="23"/>
  <c r="J21" i="23"/>
  <c r="G22" i="23"/>
  <c r="I22" i="23"/>
  <c r="J22" i="23"/>
  <c r="G23" i="23"/>
  <c r="I23" i="23"/>
  <c r="J23" i="23"/>
  <c r="G24" i="23"/>
  <c r="I24" i="23"/>
  <c r="J24" i="23"/>
  <c r="B25" i="23"/>
  <c r="C25" i="23"/>
  <c r="D25" i="23"/>
  <c r="E25" i="23"/>
  <c r="F25" i="23"/>
  <c r="G25" i="23"/>
  <c r="H25" i="23"/>
  <c r="N25" i="23"/>
  <c r="O25" i="23" s="1"/>
  <c r="G26" i="23"/>
  <c r="I26" i="23"/>
  <c r="J26" i="23"/>
  <c r="G27" i="23"/>
  <c r="I27" i="23"/>
  <c r="J27" i="23"/>
  <c r="G28" i="23"/>
  <c r="I28" i="23"/>
  <c r="J28" i="23"/>
  <c r="G29" i="23"/>
  <c r="I29" i="23"/>
  <c r="J29" i="23"/>
  <c r="G30" i="23"/>
  <c r="I30" i="23"/>
  <c r="J30" i="23"/>
  <c r="G31" i="23"/>
  <c r="I31" i="23"/>
  <c r="J31" i="23"/>
  <c r="G32" i="23"/>
  <c r="I32" i="23"/>
  <c r="J32" i="23"/>
  <c r="B33" i="23"/>
  <c r="C33" i="23"/>
  <c r="D33" i="23"/>
  <c r="E33" i="23"/>
  <c r="F33" i="23"/>
  <c r="G33" i="23"/>
  <c r="H33" i="23"/>
  <c r="K33" i="23"/>
  <c r="N33" i="23"/>
  <c r="O33" i="23"/>
  <c r="G34" i="23"/>
  <c r="I34" i="23"/>
  <c r="J34" i="23"/>
  <c r="G35" i="23"/>
  <c r="I35" i="23"/>
  <c r="J35" i="23"/>
  <c r="G36" i="23"/>
  <c r="I36" i="23"/>
  <c r="J36" i="23"/>
  <c r="G37" i="23"/>
  <c r="I37" i="23"/>
  <c r="J37" i="23"/>
  <c r="G38" i="23"/>
  <c r="I38" i="23"/>
  <c r="J38" i="23"/>
  <c r="G39" i="23"/>
  <c r="I39" i="23"/>
  <c r="J39" i="23"/>
  <c r="I40" i="23"/>
  <c r="J40" i="23"/>
  <c r="B41" i="23"/>
  <c r="C41" i="23"/>
  <c r="D41" i="23"/>
  <c r="E41" i="23"/>
  <c r="F41" i="23"/>
  <c r="G41" i="23"/>
  <c r="K41" i="23"/>
  <c r="N41" i="23"/>
  <c r="G42" i="23"/>
  <c r="I42" i="23"/>
  <c r="J42" i="23"/>
  <c r="G43" i="23"/>
  <c r="I43" i="23"/>
  <c r="J43" i="23"/>
  <c r="G44" i="23"/>
  <c r="I44" i="23"/>
  <c r="J44" i="23"/>
  <c r="G45" i="23"/>
  <c r="I45" i="23"/>
  <c r="J45" i="23"/>
  <c r="G46" i="23"/>
  <c r="I46" i="23"/>
  <c r="J46" i="23"/>
  <c r="G47" i="23"/>
  <c r="I47" i="23"/>
  <c r="J47" i="23"/>
  <c r="G48" i="23"/>
  <c r="I48" i="23"/>
  <c r="J48" i="23"/>
  <c r="B49" i="23"/>
  <c r="C49" i="23"/>
  <c r="D49" i="23"/>
  <c r="G49" i="23"/>
  <c r="K49" i="23"/>
  <c r="G50" i="23"/>
  <c r="I50" i="23"/>
  <c r="J50" i="23"/>
  <c r="G51" i="23"/>
  <c r="I51" i="23"/>
  <c r="J51" i="23"/>
  <c r="G52" i="23"/>
  <c r="I52" i="23"/>
  <c r="J52" i="23"/>
  <c r="J53" i="23"/>
  <c r="G54" i="23"/>
  <c r="I54" i="23"/>
  <c r="J54" i="23"/>
  <c r="G56" i="23"/>
  <c r="B57" i="23"/>
  <c r="C57" i="23"/>
  <c r="D57" i="23"/>
  <c r="E57" i="23"/>
  <c r="F57" i="23"/>
  <c r="F49" i="23" s="1"/>
  <c r="G57" i="23"/>
  <c r="H57" i="23"/>
  <c r="K57" i="23"/>
  <c r="N57" i="23"/>
  <c r="O57" i="23" s="1"/>
  <c r="G58" i="23"/>
  <c r="I58" i="23"/>
  <c r="J58" i="23"/>
  <c r="G59" i="23"/>
  <c r="I59" i="23"/>
  <c r="J59" i="23"/>
  <c r="G60" i="23"/>
  <c r="I60" i="23"/>
  <c r="J60" i="23"/>
  <c r="G61" i="23"/>
  <c r="I61" i="23"/>
  <c r="J61" i="23"/>
  <c r="G62" i="23"/>
  <c r="I62" i="23"/>
  <c r="J62" i="23"/>
  <c r="G63" i="23"/>
  <c r="I63" i="23"/>
  <c r="J63" i="23"/>
  <c r="B64" i="23"/>
  <c r="C64" i="23"/>
  <c r="D64" i="23"/>
  <c r="E64" i="23"/>
  <c r="F64" i="23"/>
  <c r="G64" i="23"/>
  <c r="H64" i="23"/>
  <c r="K64" i="23"/>
  <c r="N64" i="23"/>
  <c r="O64" i="23" s="1"/>
  <c r="G65" i="23"/>
  <c r="I65" i="23"/>
  <c r="J65" i="23"/>
  <c r="G66" i="23"/>
  <c r="I66" i="23"/>
  <c r="J66" i="23"/>
  <c r="G67" i="23"/>
  <c r="I67" i="23"/>
  <c r="G68" i="23"/>
  <c r="I68" i="23"/>
  <c r="G69" i="23"/>
  <c r="I69" i="23"/>
  <c r="J69" i="23"/>
  <c r="G70" i="23"/>
  <c r="I70" i="23"/>
  <c r="J70" i="23"/>
  <c r="B71" i="23"/>
  <c r="C71" i="23"/>
  <c r="D71" i="23"/>
  <c r="E71" i="23"/>
  <c r="G71" i="23"/>
  <c r="H71" i="23"/>
  <c r="K71" i="23"/>
  <c r="N71" i="23"/>
  <c r="O71" i="23" s="1"/>
  <c r="G72" i="23"/>
  <c r="I72" i="23"/>
  <c r="J72" i="23"/>
  <c r="G73" i="23"/>
  <c r="I73" i="23"/>
  <c r="J73" i="23"/>
  <c r="G74" i="23"/>
  <c r="I74" i="23"/>
  <c r="J74" i="23"/>
  <c r="G75" i="23"/>
  <c r="I75" i="23"/>
  <c r="J75" i="23"/>
  <c r="G76" i="23"/>
  <c r="I76" i="23"/>
  <c r="J76" i="23"/>
  <c r="G77" i="23"/>
  <c r="I77" i="23"/>
  <c r="J77" i="23"/>
  <c r="B85" i="23"/>
  <c r="C85" i="23"/>
  <c r="D85" i="23"/>
  <c r="E85" i="23"/>
  <c r="F85" i="23"/>
  <c r="G85" i="23"/>
  <c r="H85" i="23"/>
  <c r="K85" i="23"/>
  <c r="N85" i="23"/>
  <c r="O85" i="23" s="1"/>
  <c r="G86" i="23"/>
  <c r="I86" i="23"/>
  <c r="J86" i="23"/>
  <c r="G87" i="23"/>
  <c r="I87" i="23"/>
  <c r="J87" i="23"/>
  <c r="G88" i="23"/>
  <c r="I88" i="23"/>
  <c r="J88" i="23"/>
  <c r="G89" i="23"/>
  <c r="I89" i="23"/>
  <c r="J89" i="23"/>
  <c r="G90" i="23"/>
  <c r="I90" i="23"/>
  <c r="J90" i="23"/>
  <c r="G91" i="23"/>
  <c r="I91" i="23"/>
  <c r="J91" i="23"/>
  <c r="G92" i="23"/>
  <c r="I92" i="23"/>
  <c r="J92" i="23"/>
  <c r="B93" i="23"/>
  <c r="C93" i="23"/>
  <c r="D93" i="23"/>
  <c r="E93" i="23"/>
  <c r="F93" i="23"/>
  <c r="G93" i="23"/>
  <c r="H93" i="23"/>
  <c r="K93" i="23"/>
  <c r="N93" i="23"/>
  <c r="O93" i="23" s="1"/>
  <c r="G94" i="23"/>
  <c r="I94" i="23"/>
  <c r="J94" i="23"/>
  <c r="G95" i="23"/>
  <c r="I95" i="23"/>
  <c r="J95" i="23"/>
  <c r="G96" i="23"/>
  <c r="I96" i="23"/>
  <c r="J96" i="23"/>
  <c r="G97" i="23"/>
  <c r="I97" i="23"/>
  <c r="J97" i="23"/>
  <c r="G98" i="23"/>
  <c r="I98" i="23"/>
  <c r="J98" i="23"/>
  <c r="G99" i="23"/>
  <c r="I99" i="23"/>
  <c r="J99" i="23"/>
  <c r="G100" i="23"/>
  <c r="I100" i="23"/>
  <c r="J100" i="23"/>
  <c r="B101" i="23"/>
  <c r="C101" i="23"/>
  <c r="D101" i="23"/>
  <c r="F101" i="23"/>
  <c r="G101" i="23"/>
  <c r="H101" i="23"/>
  <c r="K101" i="23"/>
  <c r="N101" i="23"/>
  <c r="O101" i="23"/>
  <c r="G102" i="23"/>
  <c r="I102" i="23"/>
  <c r="J102" i="23"/>
  <c r="G103" i="23"/>
  <c r="I103" i="23"/>
  <c r="J103" i="23"/>
  <c r="G104" i="23"/>
  <c r="I104" i="23"/>
  <c r="J104" i="23"/>
  <c r="G105" i="23"/>
  <c r="I105" i="23"/>
  <c r="J105" i="23"/>
  <c r="G106" i="23"/>
  <c r="I106" i="23"/>
  <c r="J106" i="23"/>
  <c r="G107" i="23"/>
  <c r="I107" i="23"/>
  <c r="J107" i="23"/>
  <c r="G108" i="23"/>
  <c r="I108" i="23"/>
  <c r="J108" i="23"/>
  <c r="B109" i="23"/>
  <c r="C109" i="23"/>
  <c r="E109" i="23"/>
  <c r="F109" i="23"/>
  <c r="G109" i="23"/>
  <c r="H109" i="23"/>
  <c r="K109" i="23"/>
  <c r="N109" i="23"/>
  <c r="O109" i="23" s="1"/>
  <c r="G110" i="23"/>
  <c r="I110" i="23"/>
  <c r="J110" i="23"/>
  <c r="G111" i="23"/>
  <c r="I111" i="23"/>
  <c r="J111" i="23"/>
  <c r="G112" i="23"/>
  <c r="I112" i="23"/>
  <c r="J112" i="23"/>
  <c r="G113" i="23"/>
  <c r="I113" i="23"/>
  <c r="J113" i="23"/>
  <c r="G114" i="23"/>
  <c r="I114" i="23"/>
  <c r="J114" i="23"/>
  <c r="G115" i="23"/>
  <c r="I115" i="23"/>
  <c r="J115" i="23"/>
  <c r="B116" i="23"/>
  <c r="C116" i="23"/>
  <c r="E116" i="23"/>
  <c r="F116" i="23"/>
  <c r="G116" i="23"/>
  <c r="H116" i="23"/>
  <c r="K116" i="23"/>
  <c r="N116" i="23"/>
  <c r="O116" i="23" s="1"/>
  <c r="G117" i="23"/>
  <c r="I117" i="23"/>
  <c r="J117" i="23"/>
  <c r="G118" i="23"/>
  <c r="I118" i="23"/>
  <c r="J118" i="23"/>
  <c r="G119" i="23"/>
  <c r="I119" i="23"/>
  <c r="J119" i="23"/>
  <c r="G120" i="23"/>
  <c r="I120" i="23"/>
  <c r="J120" i="23"/>
  <c r="G121" i="23"/>
  <c r="I121" i="23"/>
  <c r="J121" i="23"/>
  <c r="G122" i="23"/>
  <c r="I122" i="23"/>
  <c r="J122" i="23"/>
  <c r="B123" i="23"/>
  <c r="C123" i="23"/>
  <c r="D123" i="23"/>
  <c r="E123" i="23"/>
  <c r="F123" i="23"/>
  <c r="G123" i="23"/>
  <c r="H123" i="23"/>
  <c r="K123" i="23"/>
  <c r="N123" i="23"/>
  <c r="O123" i="23" s="1"/>
  <c r="G124" i="23"/>
  <c r="I124" i="23"/>
  <c r="J124" i="23"/>
  <c r="G125" i="23"/>
  <c r="I125" i="23"/>
  <c r="J125" i="23"/>
  <c r="G126" i="23"/>
  <c r="I126" i="23"/>
  <c r="J126" i="23"/>
  <c r="G127" i="23"/>
  <c r="I127" i="23"/>
  <c r="J127" i="23"/>
  <c r="G128" i="23"/>
  <c r="I128" i="23"/>
  <c r="J128" i="23"/>
  <c r="G129" i="23"/>
  <c r="I129" i="23"/>
  <c r="J129" i="23"/>
  <c r="G130" i="23"/>
  <c r="I130" i="23"/>
  <c r="J130" i="23"/>
  <c r="B131" i="23"/>
  <c r="C131" i="23"/>
  <c r="D131" i="23"/>
  <c r="E131" i="23"/>
  <c r="F131" i="23"/>
  <c r="G131" i="23"/>
  <c r="H131" i="23"/>
  <c r="K131" i="23"/>
  <c r="N131" i="23"/>
  <c r="O131" i="23"/>
  <c r="G132" i="23"/>
  <c r="I132" i="23"/>
  <c r="J132" i="23"/>
  <c r="G133" i="23"/>
  <c r="I133" i="23"/>
  <c r="J133" i="23"/>
  <c r="G134" i="23"/>
  <c r="I134" i="23"/>
  <c r="J134" i="23"/>
  <c r="G135" i="23"/>
  <c r="I135" i="23"/>
  <c r="J135" i="23"/>
  <c r="G136" i="23"/>
  <c r="I136" i="23"/>
  <c r="J136" i="23"/>
  <c r="G137" i="23"/>
  <c r="I137" i="23"/>
  <c r="J137" i="23"/>
  <c r="G138" i="23"/>
  <c r="I138" i="23"/>
  <c r="J138" i="23"/>
  <c r="B139" i="23"/>
  <c r="C139" i="23"/>
  <c r="D139" i="23"/>
  <c r="E139" i="23"/>
  <c r="F139" i="23"/>
  <c r="G139" i="23"/>
  <c r="H139" i="23"/>
  <c r="K139" i="23"/>
  <c r="N139" i="23"/>
  <c r="O139" i="23" s="1"/>
  <c r="G140" i="23"/>
  <c r="I140" i="23"/>
  <c r="J140" i="23"/>
  <c r="G141" i="23"/>
  <c r="I141" i="23"/>
  <c r="J141" i="23"/>
  <c r="G142" i="23"/>
  <c r="I142" i="23"/>
  <c r="J142" i="23"/>
  <c r="G143" i="23"/>
  <c r="I143" i="23"/>
  <c r="J143" i="23"/>
  <c r="G144" i="23"/>
  <c r="I144" i="23"/>
  <c r="J144" i="23"/>
  <c r="G145" i="23"/>
  <c r="I145" i="23"/>
  <c r="J145" i="23"/>
  <c r="G146" i="23"/>
  <c r="I146" i="23"/>
  <c r="J146" i="23"/>
  <c r="B155" i="23"/>
  <c r="C155" i="23"/>
  <c r="D155" i="23"/>
  <c r="E155" i="23"/>
  <c r="F155" i="23"/>
  <c r="G155" i="23"/>
  <c r="H155" i="23"/>
  <c r="K155" i="23"/>
  <c r="N155" i="23"/>
  <c r="O155" i="23" s="1"/>
  <c r="G156" i="23"/>
  <c r="I156" i="23"/>
  <c r="J156" i="23"/>
  <c r="G157" i="23"/>
  <c r="I157" i="23"/>
  <c r="J157" i="23"/>
  <c r="G158" i="23"/>
  <c r="I158" i="23"/>
  <c r="J158" i="23"/>
  <c r="G159" i="23"/>
  <c r="I159" i="23"/>
  <c r="J159" i="23"/>
  <c r="G160" i="23"/>
  <c r="I160" i="23"/>
  <c r="J160" i="23"/>
  <c r="G161" i="23"/>
  <c r="I161" i="23"/>
  <c r="J161" i="23"/>
  <c r="B163" i="23"/>
  <c r="C163" i="23"/>
  <c r="D163" i="23"/>
  <c r="E163" i="23"/>
  <c r="F163" i="23"/>
  <c r="G163" i="23"/>
  <c r="H163" i="23"/>
  <c r="K163" i="23"/>
  <c r="N163" i="23"/>
  <c r="O163" i="23" s="1"/>
  <c r="G164" i="23"/>
  <c r="I164" i="23"/>
  <c r="J164" i="23"/>
  <c r="G165" i="23"/>
  <c r="I165" i="23"/>
  <c r="J165" i="23"/>
  <c r="G166" i="23"/>
  <c r="I166" i="23"/>
  <c r="J166" i="23"/>
  <c r="G167" i="23"/>
  <c r="I167" i="23"/>
  <c r="J167" i="23"/>
  <c r="G168" i="23"/>
  <c r="I168" i="23"/>
  <c r="J168" i="23"/>
  <c r="G169" i="23"/>
  <c r="I169" i="23"/>
  <c r="J169" i="23"/>
  <c r="B170" i="23"/>
  <c r="C170" i="23"/>
  <c r="D170" i="23"/>
  <c r="E170" i="23"/>
  <c r="F170" i="23"/>
  <c r="G170" i="23"/>
  <c r="H170" i="23"/>
  <c r="K170" i="23"/>
  <c r="N170" i="23"/>
  <c r="O170" i="23" s="1"/>
  <c r="G171" i="23"/>
  <c r="I171" i="23"/>
  <c r="J171" i="23"/>
  <c r="G172" i="23"/>
  <c r="I172" i="23"/>
  <c r="J172" i="23"/>
  <c r="G173" i="23"/>
  <c r="I173" i="23"/>
  <c r="J173" i="23"/>
  <c r="G174" i="23"/>
  <c r="I174" i="23"/>
  <c r="J174" i="23"/>
  <c r="G175" i="23"/>
  <c r="I175" i="23"/>
  <c r="J175" i="23"/>
  <c r="G176" i="23"/>
  <c r="I176" i="23"/>
  <c r="J176" i="23"/>
  <c r="B177" i="23"/>
  <c r="C177" i="23"/>
  <c r="D177" i="23"/>
  <c r="E177" i="23"/>
  <c r="F177" i="23"/>
  <c r="G177" i="23"/>
  <c r="H177" i="23"/>
  <c r="K177" i="23"/>
  <c r="N177" i="23"/>
  <c r="O177" i="23" s="1"/>
  <c r="G178" i="23"/>
  <c r="I178" i="23"/>
  <c r="J178" i="23"/>
  <c r="G179" i="23"/>
  <c r="I179" i="23"/>
  <c r="J179" i="23"/>
  <c r="G180" i="23"/>
  <c r="I180" i="23"/>
  <c r="J180" i="23"/>
  <c r="G181" i="23"/>
  <c r="I181" i="23"/>
  <c r="J181" i="23" s="1"/>
  <c r="G182" i="23"/>
  <c r="I182" i="23"/>
  <c r="J182" i="23"/>
  <c r="G183" i="23"/>
  <c r="I183" i="23"/>
  <c r="J183" i="23"/>
  <c r="B206" i="23"/>
  <c r="C206" i="23"/>
  <c r="D206" i="23"/>
  <c r="F206" i="23"/>
  <c r="G206" i="23"/>
  <c r="H206" i="23"/>
  <c r="K206" i="23"/>
  <c r="N206" i="23"/>
  <c r="O206" i="23" s="1"/>
  <c r="G207" i="23"/>
  <c r="I207" i="23"/>
  <c r="J207" i="23"/>
  <c r="G208" i="23"/>
  <c r="I208" i="23"/>
  <c r="J208" i="23"/>
  <c r="G209" i="23"/>
  <c r="I209" i="23"/>
  <c r="J209" i="23"/>
  <c r="G210" i="23"/>
  <c r="I210" i="23"/>
  <c r="J210" i="23"/>
  <c r="I211" i="23"/>
  <c r="J211" i="23"/>
  <c r="B214" i="23"/>
  <c r="C214" i="23"/>
  <c r="D214" i="23"/>
  <c r="E214" i="23"/>
  <c r="F214" i="23"/>
  <c r="G214" i="23"/>
  <c r="H214" i="23"/>
  <c r="K214" i="23"/>
  <c r="N214" i="23"/>
  <c r="O214" i="23" s="1"/>
  <c r="G215" i="23"/>
  <c r="I215" i="23"/>
  <c r="J215" i="23"/>
  <c r="G216" i="23"/>
  <c r="I216" i="23"/>
  <c r="J216" i="23"/>
  <c r="G217" i="23"/>
  <c r="I217" i="23"/>
  <c r="J217" i="23"/>
  <c r="G218" i="23"/>
  <c r="I218" i="23"/>
  <c r="J218" i="23"/>
  <c r="G219" i="23"/>
  <c r="I219" i="23"/>
  <c r="J219" i="23"/>
  <c r="I220" i="23"/>
  <c r="J220" i="23"/>
  <c r="G221" i="23"/>
  <c r="I221" i="23"/>
  <c r="J221" i="23"/>
  <c r="B238" i="23"/>
  <c r="C238" i="23"/>
  <c r="D238" i="23"/>
  <c r="E238" i="23"/>
  <c r="E230" i="23" s="1"/>
  <c r="F238" i="23"/>
  <c r="G238" i="23"/>
  <c r="H238" i="23"/>
  <c r="K238" i="23"/>
  <c r="N238" i="23"/>
  <c r="G239" i="23"/>
  <c r="I239" i="23"/>
  <c r="J239" i="23"/>
  <c r="G240" i="23"/>
  <c r="I240" i="23"/>
  <c r="J240" i="23"/>
  <c r="G241" i="23"/>
  <c r="I241" i="23"/>
  <c r="J241" i="23"/>
  <c r="I242" i="23"/>
  <c r="J242" i="23" s="1"/>
  <c r="B254" i="23"/>
  <c r="C254" i="23"/>
  <c r="D254" i="23"/>
  <c r="E254" i="23"/>
  <c r="F254" i="23"/>
  <c r="G254" i="23"/>
  <c r="H254" i="23"/>
  <c r="K254" i="23"/>
  <c r="N254" i="23"/>
  <c r="O254" i="23" s="1"/>
  <c r="G255" i="23"/>
  <c r="I255" i="23"/>
  <c r="J255" i="23"/>
  <c r="G256" i="23"/>
  <c r="I256" i="23"/>
  <c r="J256" i="23"/>
  <c r="G257" i="23"/>
  <c r="I257" i="23"/>
  <c r="J257" i="23"/>
  <c r="G258" i="23"/>
  <c r="I258" i="23"/>
  <c r="J258" i="23"/>
  <c r="G259" i="23"/>
  <c r="I259" i="23"/>
  <c r="J259" i="23"/>
  <c r="G260" i="23"/>
  <c r="I260" i="23"/>
  <c r="J260" i="23"/>
  <c r="B261" i="23"/>
  <c r="C261" i="23"/>
  <c r="D261" i="23"/>
  <c r="F261" i="23"/>
  <c r="G261" i="23"/>
  <c r="H261" i="23"/>
  <c r="K261" i="23"/>
  <c r="N261" i="23"/>
  <c r="O261" i="23" s="1"/>
  <c r="G262" i="23"/>
  <c r="I262" i="23"/>
  <c r="J262" i="23"/>
  <c r="G263" i="23"/>
  <c r="I263" i="23"/>
  <c r="J263" i="23"/>
  <c r="G264" i="23"/>
  <c r="I264" i="23"/>
  <c r="J264" i="23"/>
  <c r="G265" i="23"/>
  <c r="I265" i="23"/>
  <c r="J265" i="23"/>
  <c r="G266" i="23"/>
  <c r="I266" i="23"/>
  <c r="J266" i="23"/>
  <c r="G267" i="23"/>
  <c r="I267" i="23"/>
  <c r="J267" i="23"/>
  <c r="G268" i="23"/>
  <c r="I268" i="23"/>
  <c r="J268" i="23"/>
  <c r="B269" i="23"/>
  <c r="C269" i="23"/>
  <c r="D269" i="23"/>
  <c r="E269" i="23"/>
  <c r="F269" i="23"/>
  <c r="G269" i="23"/>
  <c r="H269" i="23"/>
  <c r="K269" i="23"/>
  <c r="N269" i="23"/>
  <c r="O269" i="23" s="1"/>
  <c r="G270" i="23"/>
  <c r="I270" i="23"/>
  <c r="J270" i="23"/>
  <c r="G271" i="23"/>
  <c r="I271" i="23"/>
  <c r="J271" i="23"/>
  <c r="G272" i="23"/>
  <c r="I272" i="23"/>
  <c r="J272" i="23"/>
  <c r="J273" i="23"/>
  <c r="G274" i="23"/>
  <c r="I274" i="23" s="1"/>
  <c r="J274" i="23"/>
  <c r="G275" i="23"/>
  <c r="I275" i="23"/>
  <c r="J275" i="23"/>
  <c r="B276" i="23"/>
  <c r="C276" i="23"/>
  <c r="D276" i="23"/>
  <c r="E276" i="23"/>
  <c r="F276" i="23"/>
  <c r="G276" i="23"/>
  <c r="H276" i="23"/>
  <c r="K276" i="23"/>
  <c r="O276" i="23"/>
  <c r="G277" i="23"/>
  <c r="I277" i="23"/>
  <c r="J277" i="23"/>
  <c r="G278" i="23"/>
  <c r="I278" i="23"/>
  <c r="J278" i="23"/>
  <c r="G279" i="23"/>
  <c r="I279" i="23"/>
  <c r="J279" i="23"/>
  <c r="G280" i="23"/>
  <c r="I280" i="23"/>
  <c r="J280" i="23"/>
  <c r="G281" i="23"/>
  <c r="I281" i="23"/>
  <c r="J281" i="23"/>
  <c r="G282" i="23"/>
  <c r="I282" i="23"/>
  <c r="J282" i="23"/>
  <c r="F284" i="23"/>
  <c r="G284" i="23"/>
  <c r="G285" i="23"/>
  <c r="I285" i="23"/>
  <c r="J285" i="23"/>
  <c r="G286" i="23"/>
  <c r="I286" i="23"/>
  <c r="J286" i="23"/>
  <c r="G287" i="23"/>
  <c r="I287" i="23"/>
  <c r="J287" i="23"/>
  <c r="I288" i="23"/>
  <c r="J288" i="23"/>
  <c r="I289" i="23"/>
  <c r="J289" i="23"/>
  <c r="D300" i="23"/>
  <c r="G300" i="23"/>
  <c r="H300" i="23"/>
  <c r="N300" i="23"/>
  <c r="O300" i="23" s="1"/>
  <c r="G301" i="23"/>
  <c r="I301" i="23"/>
  <c r="J301" i="23"/>
  <c r="I302" i="23"/>
  <c r="J302" i="23"/>
  <c r="G303" i="23"/>
  <c r="I303" i="23"/>
  <c r="J303" i="23"/>
  <c r="G304" i="23"/>
  <c r="I304" i="23"/>
  <c r="J304" i="23"/>
  <c r="G305" i="23"/>
  <c r="I305" i="23"/>
  <c r="J305" i="23"/>
  <c r="G306" i="23"/>
  <c r="I306" i="23"/>
  <c r="J306" i="23"/>
  <c r="G307" i="23"/>
  <c r="I307" i="23"/>
  <c r="J307" i="23"/>
  <c r="B308" i="23"/>
  <c r="C308" i="23"/>
  <c r="D308" i="23"/>
  <c r="E308" i="23"/>
  <c r="F308" i="23"/>
  <c r="G308" i="23"/>
  <c r="H308" i="23"/>
  <c r="K308" i="23"/>
  <c r="N308" i="23"/>
  <c r="O308" i="23" s="1"/>
  <c r="G309" i="23"/>
  <c r="I309" i="23"/>
  <c r="J309" i="23"/>
  <c r="G310" i="23"/>
  <c r="I310" i="23"/>
  <c r="J310" i="23"/>
  <c r="G311" i="23"/>
  <c r="I311" i="23"/>
  <c r="J311" i="23"/>
  <c r="G312" i="23"/>
  <c r="I312" i="23"/>
  <c r="J312" i="23"/>
  <c r="G313" i="23"/>
  <c r="I313" i="23"/>
  <c r="J313" i="23"/>
  <c r="G314" i="23"/>
  <c r="I314" i="23"/>
  <c r="J314" i="23"/>
  <c r="G315" i="23"/>
  <c r="I315" i="23"/>
  <c r="J315" i="23"/>
  <c r="D316" i="23"/>
  <c r="G316" i="23"/>
  <c r="K316" i="23"/>
  <c r="G317" i="23"/>
  <c r="I317" i="23"/>
  <c r="J317" i="23"/>
  <c r="G318" i="23"/>
  <c r="I318" i="23"/>
  <c r="J318" i="23"/>
  <c r="G319" i="23"/>
  <c r="I319" i="23"/>
  <c r="J319" i="23"/>
  <c r="G320" i="23"/>
  <c r="I320" i="23"/>
  <c r="J320" i="23"/>
  <c r="G321" i="23"/>
  <c r="I321" i="23"/>
  <c r="J321" i="23"/>
  <c r="G322" i="23"/>
  <c r="I322" i="23"/>
  <c r="J322" i="23"/>
  <c r="B332" i="23"/>
  <c r="C332" i="23"/>
  <c r="D332" i="23"/>
  <c r="E332" i="23"/>
  <c r="F332" i="23"/>
  <c r="G332" i="23"/>
  <c r="H332" i="23"/>
  <c r="K332" i="23"/>
  <c r="N332" i="23"/>
  <c r="O332" i="23"/>
  <c r="G333" i="23"/>
  <c r="I333" i="23"/>
  <c r="J333" i="23"/>
  <c r="G334" i="23"/>
  <c r="I334" i="23"/>
  <c r="J334" i="23"/>
  <c r="G335" i="23"/>
  <c r="I335" i="23"/>
  <c r="J335" i="23"/>
  <c r="G336" i="23"/>
  <c r="I336" i="23"/>
  <c r="J336" i="23"/>
  <c r="G337" i="23"/>
  <c r="I337" i="23"/>
  <c r="J337" i="23"/>
  <c r="G338" i="23"/>
  <c r="I338" i="23"/>
  <c r="J338" i="23"/>
  <c r="G339" i="23"/>
  <c r="I339" i="23"/>
  <c r="J339" i="23"/>
  <c r="B340" i="23"/>
  <c r="C340" i="23"/>
  <c r="D340" i="23"/>
  <c r="E340" i="23"/>
  <c r="F340" i="23"/>
  <c r="G340" i="23"/>
  <c r="H340" i="23"/>
  <c r="K340" i="23"/>
  <c r="N340" i="23"/>
  <c r="O340" i="23" s="1"/>
  <c r="G341" i="23"/>
  <c r="I341" i="23"/>
  <c r="J341" i="23"/>
  <c r="G342" i="23"/>
  <c r="I342" i="23"/>
  <c r="J342" i="23"/>
  <c r="G343" i="23"/>
  <c r="I343" i="23"/>
  <c r="J343" i="23"/>
  <c r="G344" i="23"/>
  <c r="I344" i="23"/>
  <c r="J344" i="23"/>
  <c r="G345" i="23"/>
  <c r="I345" i="23"/>
  <c r="J345" i="23"/>
  <c r="G346" i="23"/>
  <c r="I346" i="23"/>
  <c r="J346" i="23"/>
  <c r="B347" i="23"/>
  <c r="C347" i="23"/>
  <c r="D347" i="23"/>
  <c r="E347" i="23"/>
  <c r="F347" i="23"/>
  <c r="G347" i="23"/>
  <c r="H347" i="23"/>
  <c r="K347" i="23"/>
  <c r="N347" i="23"/>
  <c r="O347" i="23"/>
  <c r="G348" i="23"/>
  <c r="I348" i="23"/>
  <c r="J348" i="23"/>
  <c r="G349" i="23"/>
  <c r="I349" i="23"/>
  <c r="J349" i="23"/>
  <c r="G350" i="23"/>
  <c r="I350" i="23"/>
  <c r="J350" i="23"/>
  <c r="G351" i="23"/>
  <c r="I351" i="23"/>
  <c r="J351" i="23"/>
  <c r="G352" i="23"/>
  <c r="I352" i="23"/>
  <c r="J352" i="23"/>
  <c r="G353" i="23"/>
  <c r="I353" i="23"/>
  <c r="J353" i="23"/>
  <c r="G354" i="23"/>
  <c r="I354" i="23"/>
  <c r="J354" i="23"/>
  <c r="O3" i="18"/>
  <c r="O11" i="18"/>
  <c r="O19" i="18"/>
  <c r="O27" i="18"/>
  <c r="O35" i="18"/>
  <c r="O58" i="18"/>
  <c r="O66" i="18"/>
  <c r="O74" i="18"/>
  <c r="O82" i="18"/>
  <c r="O90" i="18"/>
  <c r="O98" i="18"/>
  <c r="O106" i="18"/>
  <c r="O114" i="18"/>
  <c r="O122" i="18"/>
  <c r="O130" i="18"/>
  <c r="I320" i="21"/>
  <c r="J320" i="21" s="1"/>
  <c r="O138" i="18"/>
  <c r="O146" i="18"/>
  <c r="O154" i="18"/>
  <c r="O162" i="18"/>
  <c r="O170" i="18"/>
  <c r="O178" i="18"/>
  <c r="O186" i="18"/>
  <c r="O194" i="18"/>
  <c r="O210" i="18"/>
  <c r="O218" i="18"/>
  <c r="O226" i="18"/>
  <c r="O234" i="18"/>
  <c r="O242" i="18"/>
  <c r="O250" i="18"/>
  <c r="O258" i="18"/>
  <c r="O266" i="18"/>
  <c r="O274" i="18"/>
  <c r="O290" i="18"/>
  <c r="H290" i="18"/>
  <c r="H282" i="18"/>
  <c r="H274" i="18"/>
  <c r="H266" i="18"/>
  <c r="H258" i="18"/>
  <c r="H250" i="18"/>
  <c r="H242" i="18"/>
  <c r="H234" i="18"/>
  <c r="H226" i="18"/>
  <c r="H218" i="18"/>
  <c r="H210" i="18"/>
  <c r="H202" i="18"/>
  <c r="H194" i="18"/>
  <c r="H186" i="18"/>
  <c r="H178" i="18"/>
  <c r="H170" i="18"/>
  <c r="H162" i="18"/>
  <c r="H154" i="18"/>
  <c r="H146" i="18"/>
  <c r="H138" i="18"/>
  <c r="H130" i="18"/>
  <c r="H122" i="18"/>
  <c r="H114" i="18"/>
  <c r="H106" i="18"/>
  <c r="H98" i="18"/>
  <c r="H90" i="18"/>
  <c r="H82" i="18"/>
  <c r="H66" i="18"/>
  <c r="H58" i="18"/>
  <c r="H35" i="18"/>
  <c r="H27" i="18"/>
  <c r="H19" i="18"/>
  <c r="H11" i="18"/>
  <c r="H3" i="18"/>
  <c r="L338" i="22"/>
  <c r="B3" i="22"/>
  <c r="C3" i="22"/>
  <c r="D3" i="22"/>
  <c r="E3" i="22"/>
  <c r="F3" i="22"/>
  <c r="G3" i="22"/>
  <c r="H3" i="22"/>
  <c r="K3" i="22"/>
  <c r="G4" i="22"/>
  <c r="I4" i="22"/>
  <c r="J4" i="22"/>
  <c r="N4" i="22"/>
  <c r="G5" i="22"/>
  <c r="I5" i="22"/>
  <c r="J5" i="22"/>
  <c r="G6" i="22"/>
  <c r="I6" i="22"/>
  <c r="J6" i="22"/>
  <c r="N6" i="22"/>
  <c r="G7" i="22"/>
  <c r="I7" i="22"/>
  <c r="J7" i="22"/>
  <c r="N7" i="22"/>
  <c r="G8" i="22"/>
  <c r="I8" i="22"/>
  <c r="J8" i="22"/>
  <c r="G9" i="22"/>
  <c r="I9" i="22"/>
  <c r="J9" i="22"/>
  <c r="G10" i="22"/>
  <c r="I10" i="22"/>
  <c r="J10" i="22"/>
  <c r="B11" i="22"/>
  <c r="C11" i="22"/>
  <c r="D11" i="22"/>
  <c r="E11" i="22"/>
  <c r="F11" i="22"/>
  <c r="G11" i="22"/>
  <c r="H11" i="22"/>
  <c r="K11" i="22"/>
  <c r="G12" i="22"/>
  <c r="I12" i="22"/>
  <c r="J12" i="22"/>
  <c r="N12" i="22"/>
  <c r="G13" i="22"/>
  <c r="I13" i="22"/>
  <c r="J13" i="22"/>
  <c r="G14" i="22"/>
  <c r="I14" i="22"/>
  <c r="J14" i="22"/>
  <c r="G15" i="22"/>
  <c r="I15" i="22"/>
  <c r="J15" i="22"/>
  <c r="N15" i="22"/>
  <c r="G16" i="22"/>
  <c r="I16" i="22"/>
  <c r="J16" i="22"/>
  <c r="N16" i="22"/>
  <c r="G17" i="22"/>
  <c r="I17" i="22"/>
  <c r="J17" i="22"/>
  <c r="G18" i="22"/>
  <c r="I18" i="22"/>
  <c r="J18" i="22"/>
  <c r="B19" i="22"/>
  <c r="C19" i="22"/>
  <c r="D19" i="22"/>
  <c r="E19" i="22"/>
  <c r="F19" i="22"/>
  <c r="G19" i="22"/>
  <c r="H19" i="22"/>
  <c r="K19" i="22"/>
  <c r="N19" i="22"/>
  <c r="O19" i="22"/>
  <c r="G20" i="22"/>
  <c r="I20" i="22"/>
  <c r="J20" i="22"/>
  <c r="G21" i="22"/>
  <c r="I21" i="22"/>
  <c r="J21" i="22"/>
  <c r="G22" i="22"/>
  <c r="I22" i="22"/>
  <c r="J22" i="22"/>
  <c r="G23" i="22"/>
  <c r="I23" i="22"/>
  <c r="J23" i="22"/>
  <c r="G24" i="22"/>
  <c r="I24" i="22"/>
  <c r="J24" i="22"/>
  <c r="G25" i="22"/>
  <c r="I25" i="22"/>
  <c r="J25" i="22"/>
  <c r="G26" i="22"/>
  <c r="I26" i="22"/>
  <c r="J26" i="22"/>
  <c r="B27" i="22"/>
  <c r="C27" i="22"/>
  <c r="D27" i="22"/>
  <c r="F27" i="22"/>
  <c r="G27" i="22"/>
  <c r="H27" i="22"/>
  <c r="K27" i="22"/>
  <c r="G28" i="22"/>
  <c r="I28" i="22"/>
  <c r="J28" i="22"/>
  <c r="G29" i="22"/>
  <c r="I29" i="22"/>
  <c r="J29" i="22"/>
  <c r="G30" i="22"/>
  <c r="I30" i="22"/>
  <c r="J30" i="22"/>
  <c r="N30" i="22"/>
  <c r="N27" i="22" s="1"/>
  <c r="O27" i="22" s="1"/>
  <c r="G31" i="22"/>
  <c r="I31" i="22"/>
  <c r="J31" i="22"/>
  <c r="G32" i="22"/>
  <c r="I32" i="22"/>
  <c r="J32" i="22"/>
  <c r="G33" i="22"/>
  <c r="I33" i="22"/>
  <c r="J33" i="22"/>
  <c r="G34" i="22"/>
  <c r="I34" i="22"/>
  <c r="J34" i="22"/>
  <c r="B35" i="22"/>
  <c r="C35" i="22"/>
  <c r="D35" i="22"/>
  <c r="E35" i="22"/>
  <c r="F35" i="22"/>
  <c r="G35" i="22"/>
  <c r="K35" i="22"/>
  <c r="G36" i="22"/>
  <c r="I36" i="22"/>
  <c r="J36" i="22"/>
  <c r="N36" i="22"/>
  <c r="G37" i="22"/>
  <c r="I37" i="22"/>
  <c r="J37" i="22"/>
  <c r="N37" i="22"/>
  <c r="G38" i="22"/>
  <c r="H38" i="22"/>
  <c r="H35" i="22" s="1"/>
  <c r="I38" i="22"/>
  <c r="J38" i="22"/>
  <c r="N38" i="22"/>
  <c r="G39" i="22"/>
  <c r="I39" i="22"/>
  <c r="J39" i="22"/>
  <c r="G40" i="22"/>
  <c r="I40" i="22"/>
  <c r="J40" i="22"/>
  <c r="G41" i="22"/>
  <c r="I41" i="22"/>
  <c r="J41" i="22"/>
  <c r="G42" i="22"/>
  <c r="I42" i="22"/>
  <c r="J42" i="22"/>
  <c r="B43" i="22"/>
  <c r="C43" i="22"/>
  <c r="D43" i="22"/>
  <c r="E43" i="22"/>
  <c r="F43" i="22"/>
  <c r="G43" i="22"/>
  <c r="H43" i="22"/>
  <c r="K43" i="22"/>
  <c r="G44" i="22"/>
  <c r="I44" i="22"/>
  <c r="J44" i="22"/>
  <c r="G45" i="22"/>
  <c r="I45" i="22"/>
  <c r="J45" i="22"/>
  <c r="G46" i="22"/>
  <c r="I46" i="22"/>
  <c r="J46" i="22"/>
  <c r="N46" i="22"/>
  <c r="N43" i="22" s="1"/>
  <c r="O43" i="22" s="1"/>
  <c r="G47" i="22"/>
  <c r="I47" i="22"/>
  <c r="J47" i="22"/>
  <c r="G48" i="22"/>
  <c r="I48" i="22"/>
  <c r="J48" i="22"/>
  <c r="G49" i="22"/>
  <c r="I49" i="22"/>
  <c r="J49" i="22"/>
  <c r="I50" i="22"/>
  <c r="J50" i="22"/>
  <c r="B51" i="22"/>
  <c r="C51" i="22"/>
  <c r="D51" i="22"/>
  <c r="E51" i="22"/>
  <c r="F51" i="22"/>
  <c r="G51" i="22"/>
  <c r="H51" i="22"/>
  <c r="K51" i="22"/>
  <c r="G52" i="22"/>
  <c r="I52" i="22"/>
  <c r="J52" i="22"/>
  <c r="N52" i="22"/>
  <c r="G53" i="22"/>
  <c r="I53" i="22"/>
  <c r="J53" i="22"/>
  <c r="G54" i="22"/>
  <c r="I54" i="22"/>
  <c r="J54" i="22"/>
  <c r="N54" i="22"/>
  <c r="G55" i="22"/>
  <c r="I55" i="22"/>
  <c r="J55" i="22"/>
  <c r="N55" i="22"/>
  <c r="G56" i="22"/>
  <c r="I56" i="22"/>
  <c r="J56" i="22"/>
  <c r="G57" i="22"/>
  <c r="I57" i="22"/>
  <c r="J57" i="22"/>
  <c r="G58" i="22"/>
  <c r="I58" i="22"/>
  <c r="J58" i="22"/>
  <c r="B59" i="22"/>
  <c r="C59" i="22"/>
  <c r="D59" i="22"/>
  <c r="E59" i="22"/>
  <c r="F59" i="22"/>
  <c r="G59" i="22"/>
  <c r="H59" i="22"/>
  <c r="K59" i="22"/>
  <c r="N59" i="22"/>
  <c r="O59" i="22"/>
  <c r="G60" i="22"/>
  <c r="I60" i="22"/>
  <c r="J60" i="22"/>
  <c r="G61" i="22"/>
  <c r="I61" i="22"/>
  <c r="J61" i="22"/>
  <c r="G62" i="22"/>
  <c r="I62" i="22"/>
  <c r="J62" i="22"/>
  <c r="J63" i="22"/>
  <c r="G64" i="22"/>
  <c r="I64" i="22"/>
  <c r="J64" i="22"/>
  <c r="G65" i="22"/>
  <c r="I65" i="22"/>
  <c r="J65" i="22"/>
  <c r="G66" i="22"/>
  <c r="I66" i="22"/>
  <c r="J66" i="22"/>
  <c r="B67" i="22"/>
  <c r="C67" i="22"/>
  <c r="D67" i="22"/>
  <c r="E67" i="22"/>
  <c r="F67" i="22"/>
  <c r="G67" i="22"/>
  <c r="H67" i="22"/>
  <c r="K67" i="22"/>
  <c r="G68" i="22"/>
  <c r="I68" i="22"/>
  <c r="J68" i="22"/>
  <c r="G69" i="22"/>
  <c r="I69" i="22"/>
  <c r="J69" i="22"/>
  <c r="G70" i="22"/>
  <c r="I70" i="22"/>
  <c r="J70" i="22"/>
  <c r="N70" i="22"/>
  <c r="G71" i="22"/>
  <c r="I71" i="22"/>
  <c r="J71" i="22"/>
  <c r="N71" i="22"/>
  <c r="G72" i="22"/>
  <c r="I72" i="22"/>
  <c r="J72" i="22"/>
  <c r="G73" i="22"/>
  <c r="I73" i="22"/>
  <c r="J73" i="22"/>
  <c r="G74" i="22"/>
  <c r="I74" i="22"/>
  <c r="B75" i="22"/>
  <c r="C75" i="22"/>
  <c r="D75" i="22"/>
  <c r="E75" i="22"/>
  <c r="F75" i="22"/>
  <c r="G75" i="22"/>
  <c r="H75" i="22"/>
  <c r="K75" i="22"/>
  <c r="G76" i="22"/>
  <c r="I76" i="22"/>
  <c r="J76" i="22"/>
  <c r="N76" i="22"/>
  <c r="N75" i="22" s="1"/>
  <c r="O75" i="22" s="1"/>
  <c r="G77" i="22"/>
  <c r="I77" i="22"/>
  <c r="J77" i="22"/>
  <c r="G78" i="22"/>
  <c r="I78" i="22"/>
  <c r="G79" i="22"/>
  <c r="I79" i="22"/>
  <c r="G80" i="22"/>
  <c r="I80" i="22"/>
  <c r="J80" i="22"/>
  <c r="G81" i="22"/>
  <c r="I81" i="22"/>
  <c r="D83" i="22"/>
  <c r="E83" i="22"/>
  <c r="H83" i="22"/>
  <c r="K83" i="22"/>
  <c r="G84" i="22"/>
  <c r="I84" i="22"/>
  <c r="J84" i="22"/>
  <c r="N84" i="22"/>
  <c r="G85" i="22"/>
  <c r="I85" i="22"/>
  <c r="J85" i="22"/>
  <c r="N85" i="22"/>
  <c r="G86" i="22"/>
  <c r="I86" i="22"/>
  <c r="J86" i="22"/>
  <c r="N86" i="22"/>
  <c r="G87" i="22"/>
  <c r="I87" i="22"/>
  <c r="J87" i="22"/>
  <c r="N87" i="22"/>
  <c r="G88" i="22"/>
  <c r="I88" i="22"/>
  <c r="J88" i="22"/>
  <c r="G89" i="22"/>
  <c r="I89" i="22"/>
  <c r="J89" i="22"/>
  <c r="G90" i="22"/>
  <c r="I90" i="22"/>
  <c r="J90" i="22"/>
  <c r="B91" i="22"/>
  <c r="B83" i="22" s="1"/>
  <c r="C91" i="22"/>
  <c r="C83" i="22" s="1"/>
  <c r="D91" i="22"/>
  <c r="E91" i="22"/>
  <c r="F91" i="22"/>
  <c r="F83" i="22" s="1"/>
  <c r="G91" i="22"/>
  <c r="H91" i="22"/>
  <c r="K91" i="22"/>
  <c r="G92" i="22"/>
  <c r="I92" i="22"/>
  <c r="J92" i="22"/>
  <c r="N92" i="22"/>
  <c r="G93" i="22"/>
  <c r="I93" i="22"/>
  <c r="J93" i="22"/>
  <c r="G94" i="22"/>
  <c r="I94" i="22"/>
  <c r="J94" i="22"/>
  <c r="N94" i="22"/>
  <c r="G95" i="22"/>
  <c r="I95" i="22"/>
  <c r="J95" i="22"/>
  <c r="N95" i="22"/>
  <c r="G96" i="22"/>
  <c r="I96" i="22"/>
  <c r="J96" i="22"/>
  <c r="G97" i="22"/>
  <c r="G98" i="22"/>
  <c r="I98" i="22"/>
  <c r="J98" i="22"/>
  <c r="B99" i="22"/>
  <c r="C99" i="22"/>
  <c r="E99" i="22"/>
  <c r="F99" i="22"/>
  <c r="G99" i="22"/>
  <c r="H99" i="22"/>
  <c r="K99" i="22"/>
  <c r="G100" i="22"/>
  <c r="I100" i="22"/>
  <c r="J100" i="22"/>
  <c r="N100" i="22"/>
  <c r="G101" i="22"/>
  <c r="I101" i="22"/>
  <c r="J101" i="22"/>
  <c r="N101" i="22"/>
  <c r="G102" i="22"/>
  <c r="I102" i="22"/>
  <c r="J102" i="22"/>
  <c r="G103" i="22"/>
  <c r="I103" i="22"/>
  <c r="J103" i="22"/>
  <c r="N103" i="22"/>
  <c r="G104" i="22"/>
  <c r="I104" i="22"/>
  <c r="J104" i="22"/>
  <c r="G105" i="22"/>
  <c r="I105" i="22"/>
  <c r="J105" i="22"/>
  <c r="G106" i="22"/>
  <c r="I106" i="22"/>
  <c r="J106" i="22"/>
  <c r="B107" i="22"/>
  <c r="C107" i="22"/>
  <c r="E107" i="22"/>
  <c r="F107" i="22"/>
  <c r="G107" i="22"/>
  <c r="H107" i="22"/>
  <c r="K107" i="22"/>
  <c r="G108" i="22"/>
  <c r="I108" i="22"/>
  <c r="J108" i="22"/>
  <c r="G109" i="22"/>
  <c r="I109" i="22"/>
  <c r="J109" i="22"/>
  <c r="N109" i="22"/>
  <c r="G110" i="22"/>
  <c r="I110" i="22"/>
  <c r="J110" i="22"/>
  <c r="N110" i="22"/>
  <c r="G111" i="22"/>
  <c r="I111" i="22"/>
  <c r="J111" i="22"/>
  <c r="N111" i="22"/>
  <c r="G112" i="22"/>
  <c r="I112" i="22"/>
  <c r="J112" i="22"/>
  <c r="G113" i="22"/>
  <c r="I113" i="22"/>
  <c r="J113" i="22"/>
  <c r="G114" i="22"/>
  <c r="I114" i="22"/>
  <c r="J114" i="22"/>
  <c r="B115" i="22"/>
  <c r="C115" i="22"/>
  <c r="D115" i="22"/>
  <c r="E115" i="22"/>
  <c r="F115" i="22"/>
  <c r="G115" i="22"/>
  <c r="H115" i="22"/>
  <c r="K115" i="22"/>
  <c r="N115" i="22"/>
  <c r="O115" i="22"/>
  <c r="G116" i="22"/>
  <c r="I116" i="22"/>
  <c r="J116" i="22"/>
  <c r="G117" i="22"/>
  <c r="I117" i="22"/>
  <c r="J117" i="22"/>
  <c r="G118" i="22"/>
  <c r="I118" i="22"/>
  <c r="J118" i="22"/>
  <c r="G119" i="22"/>
  <c r="I119" i="22"/>
  <c r="J119" i="22"/>
  <c r="G120" i="22"/>
  <c r="I120" i="22"/>
  <c r="J120" i="22"/>
  <c r="G121" i="22"/>
  <c r="I121" i="22"/>
  <c r="J121" i="22"/>
  <c r="G122" i="22"/>
  <c r="I122" i="22"/>
  <c r="J122" i="22"/>
  <c r="B123" i="22"/>
  <c r="C123" i="22"/>
  <c r="D123" i="22"/>
  <c r="E123" i="22"/>
  <c r="F123" i="22"/>
  <c r="G123" i="22"/>
  <c r="H123" i="22"/>
  <c r="K123" i="22"/>
  <c r="G124" i="22"/>
  <c r="I124" i="22"/>
  <c r="J124" i="22"/>
  <c r="N124" i="22"/>
  <c r="G125" i="22"/>
  <c r="I125" i="22"/>
  <c r="J125" i="22"/>
  <c r="N125" i="22"/>
  <c r="G126" i="22"/>
  <c r="I126" i="22"/>
  <c r="J126" i="22"/>
  <c r="N126" i="22"/>
  <c r="G127" i="22"/>
  <c r="I127" i="22"/>
  <c r="J127" i="22"/>
  <c r="G128" i="22"/>
  <c r="I128" i="22"/>
  <c r="J128" i="22"/>
  <c r="G129" i="22"/>
  <c r="I129" i="22"/>
  <c r="J129" i="22"/>
  <c r="G130" i="22"/>
  <c r="I130" i="22"/>
  <c r="J130" i="22"/>
  <c r="B131" i="22"/>
  <c r="C131" i="22"/>
  <c r="D131" i="22"/>
  <c r="E131" i="22"/>
  <c r="F131" i="22"/>
  <c r="G131" i="22"/>
  <c r="H131" i="22"/>
  <c r="K131" i="22"/>
  <c r="N131" i="22"/>
  <c r="G132" i="22"/>
  <c r="I132" i="22"/>
  <c r="J132" i="22"/>
  <c r="G133" i="22"/>
  <c r="I133" i="22"/>
  <c r="J133" i="22"/>
  <c r="G134" i="22"/>
  <c r="I134" i="22"/>
  <c r="J134" i="22"/>
  <c r="G135" i="22"/>
  <c r="I135" i="22"/>
  <c r="J135" i="22"/>
  <c r="G136" i="22"/>
  <c r="I136" i="22"/>
  <c r="J136" i="22"/>
  <c r="G137" i="22"/>
  <c r="I137" i="22"/>
  <c r="J137" i="22"/>
  <c r="G138" i="22"/>
  <c r="I138" i="22"/>
  <c r="J138" i="22"/>
  <c r="B139" i="22"/>
  <c r="C139" i="22"/>
  <c r="D139" i="22"/>
  <c r="E139" i="22"/>
  <c r="F139" i="22"/>
  <c r="G139" i="22"/>
  <c r="H139" i="22"/>
  <c r="K139" i="22"/>
  <c r="G140" i="22"/>
  <c r="I140" i="22"/>
  <c r="J140" i="22"/>
  <c r="N140" i="22"/>
  <c r="G141" i="22"/>
  <c r="I141" i="22"/>
  <c r="J141" i="22"/>
  <c r="N141" i="22"/>
  <c r="G142" i="22"/>
  <c r="I142" i="22"/>
  <c r="J142" i="22"/>
  <c r="N142" i="22"/>
  <c r="G143" i="22"/>
  <c r="I143" i="22"/>
  <c r="J143" i="22"/>
  <c r="N143" i="22"/>
  <c r="G144" i="22"/>
  <c r="I144" i="22"/>
  <c r="J144" i="22"/>
  <c r="G145" i="22"/>
  <c r="I145" i="22"/>
  <c r="J145" i="22"/>
  <c r="N145" i="22"/>
  <c r="G146" i="22"/>
  <c r="I146" i="22"/>
  <c r="J146" i="22"/>
  <c r="B147" i="22"/>
  <c r="C147" i="22"/>
  <c r="D147" i="22"/>
  <c r="E147" i="22"/>
  <c r="F147" i="22"/>
  <c r="G147" i="22"/>
  <c r="H147" i="22"/>
  <c r="K147" i="22"/>
  <c r="G148" i="22"/>
  <c r="I148" i="22"/>
  <c r="J148" i="22"/>
  <c r="G149" i="22"/>
  <c r="I149" i="22"/>
  <c r="J149" i="22"/>
  <c r="G150" i="22"/>
  <c r="I150" i="22"/>
  <c r="J150" i="22"/>
  <c r="N150" i="22"/>
  <c r="G151" i="22"/>
  <c r="I151" i="22"/>
  <c r="J151" i="22"/>
  <c r="N151" i="22"/>
  <c r="G152" i="22"/>
  <c r="I152" i="22"/>
  <c r="J152" i="22"/>
  <c r="G153" i="22"/>
  <c r="I153" i="22"/>
  <c r="J153" i="22"/>
  <c r="G154" i="22"/>
  <c r="I154" i="22"/>
  <c r="J154" i="22"/>
  <c r="B155" i="22"/>
  <c r="C155" i="22"/>
  <c r="D155" i="22"/>
  <c r="E155" i="22"/>
  <c r="F155" i="22"/>
  <c r="G155" i="22"/>
  <c r="H155" i="22"/>
  <c r="K155" i="22"/>
  <c r="G156" i="22"/>
  <c r="I156" i="22"/>
  <c r="J156" i="22"/>
  <c r="G157" i="22"/>
  <c r="I157" i="22"/>
  <c r="J157" i="22"/>
  <c r="G158" i="22"/>
  <c r="I158" i="22"/>
  <c r="J158" i="22"/>
  <c r="N158" i="22"/>
  <c r="G159" i="22"/>
  <c r="I159" i="22"/>
  <c r="J159" i="22"/>
  <c r="N159" i="22"/>
  <c r="G160" i="22"/>
  <c r="I160" i="22"/>
  <c r="J160" i="22"/>
  <c r="G161" i="22"/>
  <c r="I161" i="22"/>
  <c r="J161" i="22"/>
  <c r="G162" i="22"/>
  <c r="I162" i="22"/>
  <c r="J162" i="22"/>
  <c r="B163" i="22"/>
  <c r="C163" i="22"/>
  <c r="D163" i="22"/>
  <c r="E163" i="22"/>
  <c r="F163" i="22"/>
  <c r="G163" i="22"/>
  <c r="H163" i="22"/>
  <c r="K163" i="22"/>
  <c r="N163" i="22"/>
  <c r="O163" i="22"/>
  <c r="G164" i="22"/>
  <c r="I164" i="22"/>
  <c r="J164" i="22"/>
  <c r="G165" i="22"/>
  <c r="I165" i="22"/>
  <c r="J165" i="22"/>
  <c r="G166" i="22"/>
  <c r="I166" i="22"/>
  <c r="J166" i="22"/>
  <c r="G167" i="22"/>
  <c r="I167" i="22"/>
  <c r="J167" i="22"/>
  <c r="G168" i="22"/>
  <c r="I168" i="22"/>
  <c r="J168" i="22"/>
  <c r="G169" i="22"/>
  <c r="I169" i="22"/>
  <c r="J169" i="22"/>
  <c r="G170" i="22"/>
  <c r="I170" i="22"/>
  <c r="J170" i="22"/>
  <c r="B171" i="22"/>
  <c r="C171" i="22"/>
  <c r="D171" i="22"/>
  <c r="E171" i="22"/>
  <c r="F171" i="22"/>
  <c r="G171" i="22"/>
  <c r="H171" i="22"/>
  <c r="K171" i="22"/>
  <c r="G172" i="22"/>
  <c r="I172" i="22"/>
  <c r="J172" i="22"/>
  <c r="N172" i="22"/>
  <c r="G173" i="22"/>
  <c r="I173" i="22"/>
  <c r="J173" i="22"/>
  <c r="N173" i="22"/>
  <c r="G174" i="22"/>
  <c r="I174" i="22"/>
  <c r="J174" i="22"/>
  <c r="G175" i="22"/>
  <c r="I175" i="22"/>
  <c r="J175" i="22"/>
  <c r="N175" i="22"/>
  <c r="G176" i="22"/>
  <c r="I176" i="22"/>
  <c r="J176" i="22"/>
  <c r="N176" i="22"/>
  <c r="G177" i="22"/>
  <c r="I177" i="22"/>
  <c r="J177" i="22"/>
  <c r="B178" i="22"/>
  <c r="C178" i="22"/>
  <c r="D178" i="22"/>
  <c r="E178" i="22"/>
  <c r="F178" i="22"/>
  <c r="G178" i="22"/>
  <c r="H178" i="22"/>
  <c r="K178" i="22"/>
  <c r="G179" i="22"/>
  <c r="I179" i="22"/>
  <c r="J179" i="22"/>
  <c r="N179" i="22"/>
  <c r="N178" i="22" s="1"/>
  <c r="O178" i="22" s="1"/>
  <c r="G180" i="22"/>
  <c r="I180" i="22"/>
  <c r="J180" i="22"/>
  <c r="G181" i="22"/>
  <c r="J181" i="22"/>
  <c r="G182" i="22"/>
  <c r="I182" i="22"/>
  <c r="G183" i="22"/>
  <c r="I183" i="22"/>
  <c r="J183" i="22"/>
  <c r="G184" i="22"/>
  <c r="I184" i="22"/>
  <c r="J184" i="22"/>
  <c r="G185" i="22"/>
  <c r="I185" i="22"/>
  <c r="J185" i="22"/>
  <c r="B186" i="22"/>
  <c r="C186" i="22"/>
  <c r="D186" i="22"/>
  <c r="E186" i="22"/>
  <c r="F186" i="22"/>
  <c r="G186" i="22"/>
  <c r="H186" i="22"/>
  <c r="K186" i="22"/>
  <c r="G187" i="22"/>
  <c r="I187" i="22"/>
  <c r="J187" i="22"/>
  <c r="N187" i="22"/>
  <c r="G188" i="22"/>
  <c r="I188" i="22"/>
  <c r="J188" i="22"/>
  <c r="N188" i="22"/>
  <c r="G189" i="22"/>
  <c r="I189" i="22"/>
  <c r="J189" i="22"/>
  <c r="N189" i="22"/>
  <c r="G190" i="22"/>
  <c r="I190" i="22"/>
  <c r="J190" i="22"/>
  <c r="N190" i="22"/>
  <c r="G191" i="22"/>
  <c r="I191" i="22"/>
  <c r="J191" i="22"/>
  <c r="G192" i="22"/>
  <c r="I192" i="22"/>
  <c r="J192" i="22"/>
  <c r="G193" i="22"/>
  <c r="I193" i="22"/>
  <c r="J193" i="22"/>
  <c r="B194" i="22"/>
  <c r="C194" i="22"/>
  <c r="D194" i="22"/>
  <c r="E194" i="22"/>
  <c r="F194" i="22"/>
  <c r="G194" i="22"/>
  <c r="H194" i="22"/>
  <c r="K194" i="22"/>
  <c r="N194" i="22"/>
  <c r="O194" i="22"/>
  <c r="G195" i="22"/>
  <c r="I195" i="22"/>
  <c r="J195" i="22"/>
  <c r="G196" i="22"/>
  <c r="I196" i="22"/>
  <c r="J196" i="22"/>
  <c r="G197" i="22"/>
  <c r="I197" i="22"/>
  <c r="J197" i="22"/>
  <c r="G198" i="22"/>
  <c r="I198" i="22"/>
  <c r="J198" i="22"/>
  <c r="G199" i="22"/>
  <c r="I199" i="22"/>
  <c r="J199" i="22"/>
  <c r="G200" i="22"/>
  <c r="I200" i="22"/>
  <c r="J200" i="22"/>
  <c r="G201" i="22"/>
  <c r="I201" i="22"/>
  <c r="J201" i="22"/>
  <c r="B202" i="22"/>
  <c r="C202" i="22"/>
  <c r="D202" i="22"/>
  <c r="E202" i="22"/>
  <c r="F202" i="22"/>
  <c r="G202" i="22"/>
  <c r="H202" i="22"/>
  <c r="K202" i="22"/>
  <c r="N202" i="22"/>
  <c r="O202" i="22"/>
  <c r="G203" i="22"/>
  <c r="I203" i="22"/>
  <c r="J203" i="22"/>
  <c r="G204" i="22"/>
  <c r="I204" i="22"/>
  <c r="J204" i="22"/>
  <c r="G205" i="22"/>
  <c r="I205" i="22"/>
  <c r="J205" i="22"/>
  <c r="G206" i="22"/>
  <c r="I206" i="22"/>
  <c r="J206" i="22"/>
  <c r="G207" i="22"/>
  <c r="I207" i="22"/>
  <c r="J207" i="22"/>
  <c r="G208" i="22"/>
  <c r="I208" i="22"/>
  <c r="J208" i="22"/>
  <c r="G209" i="22"/>
  <c r="I209" i="22"/>
  <c r="J209" i="22"/>
  <c r="B210" i="22"/>
  <c r="C210" i="22"/>
  <c r="D210" i="22"/>
  <c r="E210" i="22"/>
  <c r="F210" i="22"/>
  <c r="G210" i="22"/>
  <c r="H210" i="22"/>
  <c r="K210" i="22"/>
  <c r="G211" i="22"/>
  <c r="I211" i="22"/>
  <c r="J211" i="22"/>
  <c r="G212" i="22"/>
  <c r="I212" i="22"/>
  <c r="J212" i="22"/>
  <c r="N212" i="22"/>
  <c r="G213" i="22"/>
  <c r="I213" i="22"/>
  <c r="J213" i="22"/>
  <c r="N213" i="22"/>
  <c r="G214" i="22"/>
  <c r="I214" i="22"/>
  <c r="J214" i="22"/>
  <c r="N214" i="22"/>
  <c r="G215" i="22"/>
  <c r="I215" i="22"/>
  <c r="J215" i="22"/>
  <c r="G216" i="22"/>
  <c r="I216" i="22"/>
  <c r="J216" i="22"/>
  <c r="G217" i="22"/>
  <c r="I217" i="22"/>
  <c r="J217" i="22"/>
  <c r="B218" i="22"/>
  <c r="C218" i="22"/>
  <c r="D218" i="22"/>
  <c r="F218" i="22"/>
  <c r="G218" i="22"/>
  <c r="H218" i="22"/>
  <c r="K218" i="22"/>
  <c r="G219" i="22"/>
  <c r="I219" i="22"/>
  <c r="J219" i="22"/>
  <c r="G220" i="22"/>
  <c r="I220" i="22"/>
  <c r="J220" i="22"/>
  <c r="N220" i="22"/>
  <c r="G221" i="22"/>
  <c r="I221" i="22"/>
  <c r="J221" i="22"/>
  <c r="N221" i="22"/>
  <c r="G222" i="22"/>
  <c r="I222" i="22"/>
  <c r="J222" i="22"/>
  <c r="N222" i="22"/>
  <c r="G223" i="22"/>
  <c r="I223" i="22"/>
  <c r="J223" i="22"/>
  <c r="G224" i="22"/>
  <c r="I224" i="22"/>
  <c r="J224" i="22"/>
  <c r="I225" i="22"/>
  <c r="J225" i="22"/>
  <c r="B226" i="22"/>
  <c r="C226" i="22"/>
  <c r="D226" i="22"/>
  <c r="E226" i="22"/>
  <c r="F226" i="22"/>
  <c r="G226" i="22"/>
  <c r="H226" i="22"/>
  <c r="K226" i="22"/>
  <c r="G227" i="22"/>
  <c r="I227" i="22"/>
  <c r="J227" i="22"/>
  <c r="G228" i="22"/>
  <c r="I228" i="22"/>
  <c r="J228" i="22"/>
  <c r="N228" i="22"/>
  <c r="G229" i="22"/>
  <c r="I229" i="22"/>
  <c r="J229" i="22"/>
  <c r="N229" i="22"/>
  <c r="G230" i="22"/>
  <c r="I230" i="22"/>
  <c r="J230" i="22"/>
  <c r="G231" i="22"/>
  <c r="I231" i="22"/>
  <c r="J231" i="22"/>
  <c r="B233" i="22"/>
  <c r="C233" i="22"/>
  <c r="D233" i="22"/>
  <c r="E233" i="22"/>
  <c r="F233" i="22"/>
  <c r="G233" i="22"/>
  <c r="H233" i="22"/>
  <c r="K233" i="22"/>
  <c r="G234" i="22"/>
  <c r="I234" i="22"/>
  <c r="J234" i="22"/>
  <c r="G235" i="22"/>
  <c r="I235" i="22"/>
  <c r="J235" i="22"/>
  <c r="N235" i="22"/>
  <c r="G236" i="22"/>
  <c r="I236" i="22"/>
  <c r="J236" i="22"/>
  <c r="N236" i="22"/>
  <c r="G237" i="22"/>
  <c r="I237" i="22"/>
  <c r="J237" i="22"/>
  <c r="G238" i="22"/>
  <c r="I238" i="22"/>
  <c r="J238" i="22"/>
  <c r="G240" i="22"/>
  <c r="I240" i="22"/>
  <c r="J240" i="22"/>
  <c r="B241" i="22"/>
  <c r="C241" i="22"/>
  <c r="D241" i="22"/>
  <c r="E241" i="22"/>
  <c r="F241" i="22"/>
  <c r="G241" i="22"/>
  <c r="H241" i="22"/>
  <c r="K241" i="22"/>
  <c r="G242" i="22"/>
  <c r="I242" i="22"/>
  <c r="J242" i="22"/>
  <c r="G243" i="22"/>
  <c r="I243" i="22"/>
  <c r="J243" i="22"/>
  <c r="G244" i="22"/>
  <c r="I244" i="22"/>
  <c r="J244" i="22"/>
  <c r="N244" i="22"/>
  <c r="N241" i="22" s="1"/>
  <c r="O241" i="22" s="1"/>
  <c r="G245" i="22"/>
  <c r="I245" i="22"/>
  <c r="J245" i="22"/>
  <c r="G246" i="22"/>
  <c r="I246" i="22"/>
  <c r="J246" i="22"/>
  <c r="G247" i="22"/>
  <c r="I247" i="22"/>
  <c r="J247" i="22"/>
  <c r="G248" i="22"/>
  <c r="I248" i="22"/>
  <c r="J248" i="22"/>
  <c r="B249" i="22"/>
  <c r="C249" i="22"/>
  <c r="D249" i="22"/>
  <c r="E249" i="22"/>
  <c r="F249" i="22"/>
  <c r="G249" i="22"/>
  <c r="H249" i="22"/>
  <c r="K249" i="22"/>
  <c r="G250" i="22"/>
  <c r="I250" i="22"/>
  <c r="J250" i="22"/>
  <c r="N250" i="22"/>
  <c r="G251" i="22"/>
  <c r="I251" i="22"/>
  <c r="J251" i="22"/>
  <c r="N251" i="22"/>
  <c r="G252" i="22"/>
  <c r="I252" i="22"/>
  <c r="J252" i="22"/>
  <c r="G253" i="22"/>
  <c r="I253" i="22"/>
  <c r="J253" i="22"/>
  <c r="N253" i="22"/>
  <c r="G254" i="22"/>
  <c r="I254" i="22"/>
  <c r="J254" i="22"/>
  <c r="G255" i="22"/>
  <c r="I255" i="22"/>
  <c r="J255" i="22"/>
  <c r="N255" i="22"/>
  <c r="G256" i="22"/>
  <c r="I256" i="22"/>
  <c r="J256" i="22"/>
  <c r="B257" i="22"/>
  <c r="C257" i="22"/>
  <c r="D257" i="22"/>
  <c r="E257" i="22"/>
  <c r="F257" i="22"/>
  <c r="G257" i="22"/>
  <c r="H257" i="22"/>
  <c r="K257" i="22"/>
  <c r="G258" i="22"/>
  <c r="I258" i="22"/>
  <c r="J258" i="22"/>
  <c r="N258" i="22"/>
  <c r="G259" i="22"/>
  <c r="I259" i="22"/>
  <c r="J259" i="22"/>
  <c r="N259" i="22"/>
  <c r="G260" i="22"/>
  <c r="I260" i="22"/>
  <c r="J260" i="22"/>
  <c r="N260" i="22"/>
  <c r="G261" i="22"/>
  <c r="I261" i="22"/>
  <c r="J261" i="22"/>
  <c r="G262" i="22"/>
  <c r="I262" i="22"/>
  <c r="J262" i="22"/>
  <c r="G264" i="22"/>
  <c r="I264" i="22"/>
  <c r="J264" i="22"/>
  <c r="B265" i="22"/>
  <c r="C265" i="22"/>
  <c r="D265" i="22"/>
  <c r="E265" i="22"/>
  <c r="F265" i="22"/>
  <c r="G265" i="22"/>
  <c r="H265" i="22"/>
  <c r="K265" i="22"/>
  <c r="N265" i="22"/>
  <c r="O265" i="22"/>
  <c r="G266" i="22"/>
  <c r="I266" i="22"/>
  <c r="J266" i="22"/>
  <c r="G267" i="22"/>
  <c r="I267" i="22"/>
  <c r="J267" i="22"/>
  <c r="G268" i="22"/>
  <c r="I268" i="22"/>
  <c r="J268" i="22"/>
  <c r="G269" i="22"/>
  <c r="I269" i="22"/>
  <c r="J269" i="22"/>
  <c r="G270" i="22"/>
  <c r="I270" i="22"/>
  <c r="J270" i="22"/>
  <c r="G271" i="22"/>
  <c r="I271" i="22"/>
  <c r="J271" i="22"/>
  <c r="G272" i="22"/>
  <c r="I272" i="22"/>
  <c r="J272" i="22"/>
  <c r="B273" i="22"/>
  <c r="C273" i="22"/>
  <c r="D273" i="22"/>
  <c r="E273" i="22"/>
  <c r="F273" i="22"/>
  <c r="G273" i="22"/>
  <c r="K273" i="22"/>
  <c r="G274" i="22"/>
  <c r="I274" i="22"/>
  <c r="J274" i="22"/>
  <c r="G275" i="22"/>
  <c r="I275" i="22"/>
  <c r="J275" i="22"/>
  <c r="N275" i="22"/>
  <c r="G276" i="22"/>
  <c r="H276" i="22"/>
  <c r="H273" i="22" s="1"/>
  <c r="I276" i="22"/>
  <c r="J276" i="22"/>
  <c r="N276" i="22"/>
  <c r="G277" i="22"/>
  <c r="I277" i="22"/>
  <c r="J277" i="22"/>
  <c r="G278" i="22"/>
  <c r="I278" i="22"/>
  <c r="J278" i="22"/>
  <c r="N278" i="22"/>
  <c r="G279" i="22"/>
  <c r="I279" i="22"/>
  <c r="J279" i="22"/>
  <c r="G280" i="22"/>
  <c r="I280" i="22"/>
  <c r="J280" i="22"/>
  <c r="B281" i="22"/>
  <c r="C281" i="22"/>
  <c r="D281" i="22"/>
  <c r="E281" i="22"/>
  <c r="F281" i="22"/>
  <c r="G281" i="22"/>
  <c r="H281" i="22"/>
  <c r="K281" i="22"/>
  <c r="G282" i="22"/>
  <c r="I282" i="22"/>
  <c r="J282" i="22"/>
  <c r="N282" i="22"/>
  <c r="G283" i="22"/>
  <c r="I283" i="22"/>
  <c r="J283" i="22"/>
  <c r="N283" i="22"/>
  <c r="G284" i="22"/>
  <c r="I284" i="22"/>
  <c r="J284" i="22"/>
  <c r="G285" i="22"/>
  <c r="I285" i="22"/>
  <c r="J285" i="22"/>
  <c r="G286" i="22"/>
  <c r="I286" i="22"/>
  <c r="J286" i="22"/>
  <c r="G288" i="22"/>
  <c r="I288" i="22"/>
  <c r="J288" i="22"/>
  <c r="B289" i="22"/>
  <c r="C289" i="22"/>
  <c r="D289" i="22"/>
  <c r="E289" i="22"/>
  <c r="F289" i="22"/>
  <c r="G289" i="22"/>
  <c r="H289" i="22"/>
  <c r="K289" i="22"/>
  <c r="N289" i="22"/>
  <c r="O289" i="22"/>
  <c r="G290" i="22"/>
  <c r="I290" i="22"/>
  <c r="J290" i="22"/>
  <c r="G291" i="22"/>
  <c r="I291" i="22"/>
  <c r="J291" i="22"/>
  <c r="G292" i="22"/>
  <c r="I292" i="22"/>
  <c r="J292" i="22"/>
  <c r="G293" i="22"/>
  <c r="I293" i="22"/>
  <c r="J293" i="22"/>
  <c r="G294" i="22"/>
  <c r="I294" i="22"/>
  <c r="J294" i="22"/>
  <c r="G295" i="22"/>
  <c r="I295" i="22"/>
  <c r="J295" i="22"/>
  <c r="G296" i="22"/>
  <c r="I296" i="22"/>
  <c r="J296" i="22"/>
  <c r="B297" i="22"/>
  <c r="C297" i="22"/>
  <c r="D297" i="22"/>
  <c r="E297" i="22"/>
  <c r="F297" i="22"/>
  <c r="G297" i="22"/>
  <c r="H297" i="22"/>
  <c r="K297" i="22"/>
  <c r="N297" i="22"/>
  <c r="O297" i="22"/>
  <c r="G298" i="22"/>
  <c r="I298" i="22"/>
  <c r="J298" i="22"/>
  <c r="G299" i="22"/>
  <c r="I299" i="22"/>
  <c r="J299" i="22"/>
  <c r="G300" i="22"/>
  <c r="I300" i="22"/>
  <c r="J300" i="22"/>
  <c r="G301" i="22"/>
  <c r="I301" i="22"/>
  <c r="J301" i="22"/>
  <c r="G302" i="22"/>
  <c r="I302" i="22"/>
  <c r="J302" i="22"/>
  <c r="I303" i="22"/>
  <c r="J303" i="22"/>
  <c r="I304" i="22"/>
  <c r="J304" i="22"/>
  <c r="B305" i="22"/>
  <c r="C305" i="22"/>
  <c r="D305" i="22"/>
  <c r="E305" i="22"/>
  <c r="F305" i="22"/>
  <c r="G305" i="22"/>
  <c r="H305" i="22"/>
  <c r="K305" i="22"/>
  <c r="N305" i="22"/>
  <c r="O305" i="22"/>
  <c r="G306" i="22"/>
  <c r="I306" i="22"/>
  <c r="J306" i="22"/>
  <c r="G307" i="22"/>
  <c r="I307" i="22"/>
  <c r="J307" i="22"/>
  <c r="G308" i="22"/>
  <c r="I308" i="22"/>
  <c r="J308" i="22"/>
  <c r="G309" i="22"/>
  <c r="I309" i="22"/>
  <c r="J309" i="22"/>
  <c r="G310" i="22"/>
  <c r="I310" i="22"/>
  <c r="J310" i="22"/>
  <c r="G311" i="22"/>
  <c r="I311" i="22"/>
  <c r="J311" i="22"/>
  <c r="G312" i="22"/>
  <c r="I312" i="22"/>
  <c r="J312" i="22"/>
  <c r="B313" i="22"/>
  <c r="C313" i="22"/>
  <c r="D313" i="22"/>
  <c r="E313" i="22"/>
  <c r="F313" i="22"/>
  <c r="G313" i="22"/>
  <c r="H313" i="22"/>
  <c r="K313" i="22"/>
  <c r="G314" i="22"/>
  <c r="I314" i="22"/>
  <c r="J314" i="22"/>
  <c r="N314" i="22"/>
  <c r="G315" i="22"/>
  <c r="I315" i="22"/>
  <c r="J315" i="22"/>
  <c r="N315" i="22"/>
  <c r="G316" i="22"/>
  <c r="I316" i="22"/>
  <c r="J316" i="22"/>
  <c r="N316" i="22"/>
  <c r="G317" i="22"/>
  <c r="I317" i="22"/>
  <c r="J317" i="22"/>
  <c r="G318" i="22"/>
  <c r="I318" i="22"/>
  <c r="J318" i="22"/>
  <c r="G319" i="22"/>
  <c r="I319" i="22"/>
  <c r="J319" i="22"/>
  <c r="G320" i="22"/>
  <c r="I320" i="22"/>
  <c r="J320" i="22"/>
  <c r="B321" i="22"/>
  <c r="C321" i="22"/>
  <c r="D321" i="22"/>
  <c r="E321" i="22"/>
  <c r="F321" i="22"/>
  <c r="G321" i="22"/>
  <c r="H321" i="22"/>
  <c r="K321" i="22"/>
  <c r="G322" i="22"/>
  <c r="I322" i="22"/>
  <c r="J322" i="22"/>
  <c r="G323" i="22"/>
  <c r="I323" i="22"/>
  <c r="J323" i="22"/>
  <c r="N323" i="22"/>
  <c r="G324" i="22"/>
  <c r="I324" i="22"/>
  <c r="J324" i="22"/>
  <c r="N324" i="22"/>
  <c r="G325" i="22"/>
  <c r="I325" i="22"/>
  <c r="J325" i="22"/>
  <c r="G326" i="22"/>
  <c r="I326" i="22"/>
  <c r="J326" i="22"/>
  <c r="G327" i="22"/>
  <c r="I327" i="22"/>
  <c r="J327" i="22"/>
  <c r="G328" i="22"/>
  <c r="I328" i="22"/>
  <c r="J328" i="22"/>
  <c r="B329" i="22"/>
  <c r="C329" i="22"/>
  <c r="D329" i="22"/>
  <c r="E329" i="22"/>
  <c r="F329" i="22"/>
  <c r="G329" i="22"/>
  <c r="H329" i="22"/>
  <c r="K329" i="22"/>
  <c r="G330" i="22"/>
  <c r="I330" i="22"/>
  <c r="J330" i="22"/>
  <c r="G331" i="22"/>
  <c r="I331" i="22"/>
  <c r="J331" i="22"/>
  <c r="N331" i="22"/>
  <c r="G332" i="22"/>
  <c r="I332" i="22"/>
  <c r="J332" i="22"/>
  <c r="N332" i="22"/>
  <c r="G333" i="22"/>
  <c r="I333" i="22"/>
  <c r="J333" i="22"/>
  <c r="G334" i="22"/>
  <c r="I334" i="22"/>
  <c r="J334" i="22"/>
  <c r="G335" i="22"/>
  <c r="I335" i="22"/>
  <c r="J335" i="22"/>
  <c r="G336" i="22"/>
  <c r="I336" i="22"/>
  <c r="J336" i="22"/>
  <c r="J250" i="21"/>
  <c r="N16" i="20"/>
  <c r="N250" i="20"/>
  <c r="N176" i="20"/>
  <c r="N171" i="20"/>
  <c r="O19" i="20"/>
  <c r="N19" i="20"/>
  <c r="I209" i="21"/>
  <c r="J209" i="21" s="1"/>
  <c r="N37" i="20"/>
  <c r="N38" i="20"/>
  <c r="N145" i="20"/>
  <c r="D171" i="21"/>
  <c r="F171" i="21"/>
  <c r="O164" i="21"/>
  <c r="E203" i="21"/>
  <c r="F203" i="21"/>
  <c r="H203" i="21"/>
  <c r="K203" i="21"/>
  <c r="G259" i="21"/>
  <c r="D259" i="21"/>
  <c r="F259" i="21"/>
  <c r="G260" i="21"/>
  <c r="I260" i="21" s="1"/>
  <c r="G261" i="21"/>
  <c r="I261" i="21" s="1"/>
  <c r="J261" i="21" s="1"/>
  <c r="G262" i="21"/>
  <c r="I262" i="21" s="1"/>
  <c r="J262" i="21" s="1"/>
  <c r="G263" i="21"/>
  <c r="I263" i="21" s="1"/>
  <c r="J263" i="21" s="1"/>
  <c r="G264" i="21"/>
  <c r="I264" i="21"/>
  <c r="J264" i="21" s="1"/>
  <c r="J265" i="21"/>
  <c r="I266" i="21"/>
  <c r="J266" i="21" s="1"/>
  <c r="B305" i="21"/>
  <c r="C305" i="21"/>
  <c r="D305" i="21"/>
  <c r="E305" i="21"/>
  <c r="F305" i="21"/>
  <c r="H305" i="21"/>
  <c r="K305" i="21"/>
  <c r="N305" i="21"/>
  <c r="O305" i="21" s="1"/>
  <c r="G306" i="21"/>
  <c r="I306" i="21" s="1"/>
  <c r="G307" i="21"/>
  <c r="I307" i="21" s="1"/>
  <c r="J307" i="21" s="1"/>
  <c r="G308" i="21"/>
  <c r="I308" i="21" s="1"/>
  <c r="J308" i="21" s="1"/>
  <c r="G309" i="21"/>
  <c r="I309" i="21" s="1"/>
  <c r="J309" i="21" s="1"/>
  <c r="G310" i="21"/>
  <c r="I310" i="21" s="1"/>
  <c r="J310" i="21" s="1"/>
  <c r="G311" i="21"/>
  <c r="I311" i="21" s="1"/>
  <c r="J311" i="21" s="1"/>
  <c r="G312" i="21"/>
  <c r="I312" i="21" s="1"/>
  <c r="J312" i="21" s="1"/>
  <c r="B251" i="21"/>
  <c r="C251" i="21"/>
  <c r="D251" i="21"/>
  <c r="E251" i="21"/>
  <c r="F251" i="21"/>
  <c r="H251" i="21"/>
  <c r="K251" i="21"/>
  <c r="N251" i="21"/>
  <c r="O251" i="21" s="1"/>
  <c r="G252" i="21"/>
  <c r="I252" i="21" s="1"/>
  <c r="G253" i="21"/>
  <c r="I253" i="21" s="1"/>
  <c r="J253" i="21" s="1"/>
  <c r="G254" i="21"/>
  <c r="I254" i="21" s="1"/>
  <c r="J254" i="21" s="1"/>
  <c r="G255" i="21"/>
  <c r="I255" i="21" s="1"/>
  <c r="J255" i="21" s="1"/>
  <c r="G256" i="21"/>
  <c r="I256" i="21" s="1"/>
  <c r="J256" i="21" s="1"/>
  <c r="G258" i="21"/>
  <c r="I258" i="21" s="1"/>
  <c r="J258" i="21" s="1"/>
  <c r="B313" i="21"/>
  <c r="C313" i="21"/>
  <c r="D313" i="21"/>
  <c r="E313" i="21"/>
  <c r="F313" i="21"/>
  <c r="H313" i="21"/>
  <c r="K313" i="21"/>
  <c r="G314" i="21"/>
  <c r="I314" i="21" s="1"/>
  <c r="I315" i="21"/>
  <c r="J315" i="21" s="1"/>
  <c r="I316" i="21"/>
  <c r="J316" i="21" s="1"/>
  <c r="I317" i="21"/>
  <c r="J317" i="21" s="1"/>
  <c r="I318" i="21"/>
  <c r="J318" i="21" s="1"/>
  <c r="I319" i="21"/>
  <c r="J319" i="21" s="1"/>
  <c r="B290" i="21"/>
  <c r="C290" i="21"/>
  <c r="D290" i="21"/>
  <c r="E290" i="21"/>
  <c r="F290" i="21"/>
  <c r="H290" i="21"/>
  <c r="K290" i="21"/>
  <c r="N290" i="21"/>
  <c r="O290" i="21" s="1"/>
  <c r="G291" i="21"/>
  <c r="I291" i="21" s="1"/>
  <c r="G292" i="21"/>
  <c r="I292" i="21" s="1"/>
  <c r="J292" i="21" s="1"/>
  <c r="G293" i="21"/>
  <c r="I293" i="21" s="1"/>
  <c r="J293" i="21" s="1"/>
  <c r="G294" i="21"/>
  <c r="I294" i="21" s="1"/>
  <c r="J294" i="21" s="1"/>
  <c r="G295" i="21"/>
  <c r="I295" i="21" s="1"/>
  <c r="J295" i="21" s="1"/>
  <c r="G296" i="21"/>
  <c r="I296" i="21" s="1"/>
  <c r="J296" i="21" s="1"/>
  <c r="K283" i="21"/>
  <c r="N315" i="20"/>
  <c r="G304" i="21"/>
  <c r="I304" i="21" s="1"/>
  <c r="J304" i="21" s="1"/>
  <c r="B321" i="21"/>
  <c r="C321" i="21"/>
  <c r="D321" i="21"/>
  <c r="F321" i="21"/>
  <c r="H321" i="21"/>
  <c r="G322" i="21"/>
  <c r="I322" i="21" s="1"/>
  <c r="G323" i="21"/>
  <c r="I323" i="21" s="1"/>
  <c r="J323" i="21" s="1"/>
  <c r="G324" i="21"/>
  <c r="I324" i="21" s="1"/>
  <c r="J324" i="21" s="1"/>
  <c r="J325" i="21"/>
  <c r="H305" i="20"/>
  <c r="H273" i="20"/>
  <c r="H265" i="20"/>
  <c r="H139" i="20"/>
  <c r="N273" i="20"/>
  <c r="N265" i="20"/>
  <c r="O202" i="20"/>
  <c r="O163" i="20"/>
  <c r="N139" i="20"/>
  <c r="N123" i="20"/>
  <c r="N3" i="20"/>
  <c r="K273" i="20"/>
  <c r="J273" i="20"/>
  <c r="I273" i="20"/>
  <c r="J265" i="20"/>
  <c r="I265" i="20"/>
  <c r="E321" i="20"/>
  <c r="H297" i="20"/>
  <c r="J279" i="20"/>
  <c r="J280" i="20"/>
  <c r="G279" i="20"/>
  <c r="I279" i="20" s="1"/>
  <c r="G280" i="20"/>
  <c r="I280" i="20" s="1"/>
  <c r="C273" i="20"/>
  <c r="B273" i="20"/>
  <c r="E265" i="20"/>
  <c r="G272" i="20"/>
  <c r="G255" i="20"/>
  <c r="I255" i="20" s="1"/>
  <c r="J255" i="20" s="1"/>
  <c r="G256" i="20"/>
  <c r="I256" i="20" s="1"/>
  <c r="J256" i="20" s="1"/>
  <c r="G247" i="20"/>
  <c r="I247" i="20" s="1"/>
  <c r="J247" i="20" s="1"/>
  <c r="G248" i="20"/>
  <c r="I248" i="20" s="1"/>
  <c r="J248" i="20" s="1"/>
  <c r="I225" i="20"/>
  <c r="J225" i="20" s="1"/>
  <c r="G224" i="20"/>
  <c r="I224" i="20" s="1"/>
  <c r="J224" i="20" s="1"/>
  <c r="G216" i="20"/>
  <c r="I216" i="20" s="1"/>
  <c r="J216" i="20" s="1"/>
  <c r="G217" i="20"/>
  <c r="I217" i="20" s="1"/>
  <c r="J217" i="20" s="1"/>
  <c r="G200" i="20"/>
  <c r="I200" i="20" s="1"/>
  <c r="J200" i="20" s="1"/>
  <c r="G177" i="20"/>
  <c r="I177" i="20"/>
  <c r="J177" i="20" s="1"/>
  <c r="C123" i="20"/>
  <c r="K123" i="20"/>
  <c r="H123" i="20"/>
  <c r="K83" i="20"/>
  <c r="L338" i="20"/>
  <c r="G209" i="20"/>
  <c r="I209" i="20" s="1"/>
  <c r="J209" i="20" s="1"/>
  <c r="G208" i="20"/>
  <c r="I208" i="20" s="1"/>
  <c r="J208" i="20" s="1"/>
  <c r="G207" i="20"/>
  <c r="I207" i="20" s="1"/>
  <c r="J207" i="20" s="1"/>
  <c r="G206" i="20"/>
  <c r="I206" i="20" s="1"/>
  <c r="J206" i="20" s="1"/>
  <c r="G205" i="20"/>
  <c r="I205" i="20" s="1"/>
  <c r="J205" i="20" s="1"/>
  <c r="G204" i="20"/>
  <c r="I204" i="20" s="1"/>
  <c r="J204" i="20" s="1"/>
  <c r="G203" i="20"/>
  <c r="I203" i="20" s="1"/>
  <c r="J203" i="20" s="1"/>
  <c r="N202" i="20"/>
  <c r="K202" i="20"/>
  <c r="J202" i="20"/>
  <c r="M202" i="20" s="1"/>
  <c r="I202" i="20"/>
  <c r="H202" i="20"/>
  <c r="F202" i="20"/>
  <c r="E202" i="20"/>
  <c r="D202" i="20"/>
  <c r="C202" i="20"/>
  <c r="B202" i="20"/>
  <c r="G202" i="20" s="1"/>
  <c r="G170" i="20"/>
  <c r="I170" i="20" s="1"/>
  <c r="J170" i="20" s="1"/>
  <c r="G169" i="20"/>
  <c r="I169" i="20" s="1"/>
  <c r="J169" i="20" s="1"/>
  <c r="G168" i="20"/>
  <c r="I168" i="20" s="1"/>
  <c r="J168" i="20" s="1"/>
  <c r="G167" i="20"/>
  <c r="I167" i="20" s="1"/>
  <c r="J167" i="20" s="1"/>
  <c r="G166" i="20"/>
  <c r="I166" i="20" s="1"/>
  <c r="J166" i="20" s="1"/>
  <c r="G165" i="20"/>
  <c r="I165" i="20" s="1"/>
  <c r="J165" i="20" s="1"/>
  <c r="G164" i="20"/>
  <c r="I164" i="20" s="1"/>
  <c r="J164" i="20" s="1"/>
  <c r="N163" i="20"/>
  <c r="K163" i="20"/>
  <c r="J163" i="20"/>
  <c r="M163" i="20" s="1"/>
  <c r="I163" i="20"/>
  <c r="H163" i="20"/>
  <c r="F163" i="20"/>
  <c r="E163" i="20"/>
  <c r="D163" i="20"/>
  <c r="C163" i="20"/>
  <c r="B163" i="20"/>
  <c r="G163" i="20" s="1"/>
  <c r="G26" i="20"/>
  <c r="I26" i="20" s="1"/>
  <c r="J26" i="20" s="1"/>
  <c r="G25" i="20"/>
  <c r="I25" i="20" s="1"/>
  <c r="J25" i="20" s="1"/>
  <c r="G24" i="20"/>
  <c r="I24" i="20" s="1"/>
  <c r="J24" i="20" s="1"/>
  <c r="G23" i="20"/>
  <c r="I23" i="20" s="1"/>
  <c r="J23" i="20" s="1"/>
  <c r="G22" i="20"/>
  <c r="I22" i="20" s="1"/>
  <c r="J22" i="20" s="1"/>
  <c r="G21" i="20"/>
  <c r="I21" i="20" s="1"/>
  <c r="J21" i="20" s="1"/>
  <c r="G20" i="20"/>
  <c r="I20" i="20" s="1"/>
  <c r="J20" i="20" s="1"/>
  <c r="K19" i="20"/>
  <c r="J19" i="20"/>
  <c r="M19" i="20" s="1"/>
  <c r="I19" i="20"/>
  <c r="H19" i="20"/>
  <c r="F19" i="20"/>
  <c r="E19" i="20"/>
  <c r="D19" i="20"/>
  <c r="C19" i="20"/>
  <c r="B19" i="20"/>
  <c r="G19" i="20" s="1"/>
  <c r="H321" i="20"/>
  <c r="F321" i="20"/>
  <c r="C321" i="20"/>
  <c r="B321" i="20"/>
  <c r="G319" i="20"/>
  <c r="I319" i="20" s="1"/>
  <c r="J319" i="20" s="1"/>
  <c r="G320" i="20"/>
  <c r="F297" i="20"/>
  <c r="E297" i="20"/>
  <c r="C297" i="20"/>
  <c r="B297" i="20"/>
  <c r="G295" i="20"/>
  <c r="I295" i="20" s="1"/>
  <c r="J295" i="20" s="1"/>
  <c r="G296" i="20"/>
  <c r="I296" i="20" s="1"/>
  <c r="J296" i="20" s="1"/>
  <c r="K265" i="20"/>
  <c r="C265" i="20"/>
  <c r="B265" i="20"/>
  <c r="F273" i="20"/>
  <c r="E273" i="20"/>
  <c r="K226" i="20"/>
  <c r="H226" i="20"/>
  <c r="F226" i="20"/>
  <c r="E226" i="20"/>
  <c r="C226" i="20"/>
  <c r="B226" i="20"/>
  <c r="K218" i="20"/>
  <c r="H218" i="20"/>
  <c r="F218" i="20"/>
  <c r="C218" i="20"/>
  <c r="B218" i="20"/>
  <c r="K186" i="20"/>
  <c r="K171" i="20"/>
  <c r="H171" i="20"/>
  <c r="F171" i="20"/>
  <c r="E171" i="20"/>
  <c r="C171" i="20"/>
  <c r="B171" i="20"/>
  <c r="K178" i="20"/>
  <c r="K147" i="20"/>
  <c r="F147" i="20"/>
  <c r="E147" i="20"/>
  <c r="C147" i="20"/>
  <c r="B147" i="20"/>
  <c r="K139" i="20"/>
  <c r="F139" i="20"/>
  <c r="E139" i="20"/>
  <c r="C139" i="20"/>
  <c r="B139" i="20"/>
  <c r="F123" i="20"/>
  <c r="E123" i="20"/>
  <c r="B123" i="20"/>
  <c r="G95" i="20"/>
  <c r="I95" i="20" s="1"/>
  <c r="G96" i="20"/>
  <c r="I96" i="20" s="1"/>
  <c r="H83" i="20"/>
  <c r="G7" i="20"/>
  <c r="G8" i="20"/>
  <c r="I7" i="20"/>
  <c r="J7" i="20" s="1"/>
  <c r="I8" i="20"/>
  <c r="J8" i="20" s="1"/>
  <c r="C3" i="20"/>
  <c r="K321" i="20"/>
  <c r="K305" i="20"/>
  <c r="N305" i="20"/>
  <c r="O305" i="20"/>
  <c r="K297" i="20"/>
  <c r="G208" i="18"/>
  <c r="I208" i="18" s="1"/>
  <c r="J208" i="18" s="1"/>
  <c r="G209" i="18"/>
  <c r="I209" i="18" s="1"/>
  <c r="J209" i="18" s="1"/>
  <c r="N297" i="20"/>
  <c r="N172" i="20"/>
  <c r="N141" i="20"/>
  <c r="N140" i="20"/>
  <c r="I272" i="20"/>
  <c r="J272" i="20" s="1"/>
  <c r="G271" i="20"/>
  <c r="I271" i="20" s="1"/>
  <c r="J271" i="20" s="1"/>
  <c r="G270" i="20"/>
  <c r="I270" i="20" s="1"/>
  <c r="J270" i="20" s="1"/>
  <c r="G269" i="20"/>
  <c r="I269" i="20" s="1"/>
  <c r="J269" i="20" s="1"/>
  <c r="G268" i="20"/>
  <c r="I268" i="20" s="1"/>
  <c r="J268" i="20" s="1"/>
  <c r="G267" i="20"/>
  <c r="I267" i="20" s="1"/>
  <c r="J267" i="20" s="1"/>
  <c r="G266" i="20"/>
  <c r="I266" i="20" s="1"/>
  <c r="J266" i="20" s="1"/>
  <c r="O265" i="20"/>
  <c r="M265" i="20"/>
  <c r="F265" i="20"/>
  <c r="D265" i="20"/>
  <c r="G265" i="20"/>
  <c r="I303" i="20"/>
  <c r="J303" i="20" s="1"/>
  <c r="I304" i="20"/>
  <c r="J304" i="20" s="1"/>
  <c r="G312" i="20"/>
  <c r="I312" i="20" s="1"/>
  <c r="J312" i="20" s="1"/>
  <c r="G311" i="20"/>
  <c r="I311" i="20" s="1"/>
  <c r="J311" i="20" s="1"/>
  <c r="G310" i="20"/>
  <c r="I310" i="20" s="1"/>
  <c r="J310" i="20" s="1"/>
  <c r="G309" i="20"/>
  <c r="I309" i="20" s="1"/>
  <c r="J309" i="20" s="1"/>
  <c r="G308" i="20"/>
  <c r="I308" i="20" s="1"/>
  <c r="J308" i="20" s="1"/>
  <c r="G307" i="20"/>
  <c r="I307" i="20" s="1"/>
  <c r="J307" i="20" s="1"/>
  <c r="G306" i="20"/>
  <c r="I306" i="20" s="1"/>
  <c r="F305" i="20"/>
  <c r="E305" i="20"/>
  <c r="D305" i="20"/>
  <c r="C305" i="20"/>
  <c r="B305" i="20"/>
  <c r="G305" i="20" s="1"/>
  <c r="B186" i="20"/>
  <c r="N253" i="20"/>
  <c r="N222" i="20"/>
  <c r="N214" i="20"/>
  <c r="N190" i="20"/>
  <c r="N111" i="20"/>
  <c r="O171" i="20"/>
  <c r="N159" i="20"/>
  <c r="N151" i="20"/>
  <c r="N143" i="20"/>
  <c r="N103" i="20"/>
  <c r="N95" i="20"/>
  <c r="N87" i="20"/>
  <c r="N71" i="20"/>
  <c r="N15" i="20"/>
  <c r="N7" i="20"/>
  <c r="H38" i="20"/>
  <c r="H276" i="20"/>
  <c r="N110" i="20"/>
  <c r="N229" i="20"/>
  <c r="N236" i="20"/>
  <c r="N189" i="20"/>
  <c r="N187" i="20"/>
  <c r="N147" i="20"/>
  <c r="O147" i="20" s="1"/>
  <c r="N70" i="20"/>
  <c r="N158" i="20"/>
  <c r="N46" i="20"/>
  <c r="N30" i="20"/>
  <c r="N6" i="20"/>
  <c r="G4" i="20"/>
  <c r="I4" i="20" s="1"/>
  <c r="N332" i="20"/>
  <c r="N331" i="20"/>
  <c r="N94" i="20"/>
  <c r="N221" i="20"/>
  <c r="N316" i="20"/>
  <c r="N86" i="20"/>
  <c r="N85" i="20"/>
  <c r="N283" i="20"/>
  <c r="N142" i="20"/>
  <c r="N36" i="20"/>
  <c r="N35" i="20" s="1"/>
  <c r="O35" i="20" s="1"/>
  <c r="N276" i="20"/>
  <c r="N275" i="20"/>
  <c r="O273" i="20" s="1"/>
  <c r="N212" i="20"/>
  <c r="N235" i="20"/>
  <c r="N228" i="20"/>
  <c r="N226" i="20" s="1"/>
  <c r="O226" i="20" s="1"/>
  <c r="N244" i="20"/>
  <c r="N260" i="20"/>
  <c r="N259" i="20"/>
  <c r="N220" i="20"/>
  <c r="N218" i="20" s="1"/>
  <c r="O218" i="20" s="1"/>
  <c r="N126" i="20"/>
  <c r="N179" i="20"/>
  <c r="N178" i="20" s="1"/>
  <c r="O178" i="20" s="1"/>
  <c r="N125" i="20"/>
  <c r="N109" i="20"/>
  <c r="N101" i="20"/>
  <c r="N242" i="18"/>
  <c r="N250" i="18"/>
  <c r="C186" i="20"/>
  <c r="D186" i="20"/>
  <c r="E186" i="20"/>
  <c r="F186" i="20"/>
  <c r="G186" i="20"/>
  <c r="H186" i="20"/>
  <c r="G187" i="20"/>
  <c r="I187" i="20" s="1"/>
  <c r="J187" i="20" s="1"/>
  <c r="G188" i="20"/>
  <c r="I188" i="20"/>
  <c r="J188" i="20"/>
  <c r="G189" i="20"/>
  <c r="I189" i="20" s="1"/>
  <c r="J189" i="20"/>
  <c r="G190" i="20"/>
  <c r="I190" i="20" s="1"/>
  <c r="J190" i="20" s="1"/>
  <c r="G191" i="20"/>
  <c r="I191" i="20" s="1"/>
  <c r="J191" i="20" s="1"/>
  <c r="G192" i="20"/>
  <c r="I192" i="20" s="1"/>
  <c r="J192" i="20" s="1"/>
  <c r="G193" i="20"/>
  <c r="I193" i="20" s="1"/>
  <c r="J193" i="20" s="1"/>
  <c r="N76" i="20"/>
  <c r="N4" i="20"/>
  <c r="N314" i="20"/>
  <c r="N84" i="20"/>
  <c r="N83" i="20" s="1"/>
  <c r="O83" i="20" s="1"/>
  <c r="N92" i="20"/>
  <c r="N100" i="20"/>
  <c r="N124" i="20"/>
  <c r="N282" i="20"/>
  <c r="N12" i="20"/>
  <c r="G327" i="20"/>
  <c r="I327" i="20" s="1"/>
  <c r="J327" i="20" s="1"/>
  <c r="G326" i="20"/>
  <c r="I326" i="20" s="1"/>
  <c r="J326" i="20" s="1"/>
  <c r="G325" i="20"/>
  <c r="I325" i="20" s="1"/>
  <c r="J325" i="20" s="1"/>
  <c r="G324" i="20"/>
  <c r="I324" i="20" s="1"/>
  <c r="J324" i="20" s="1"/>
  <c r="G323" i="20"/>
  <c r="I323" i="20" s="1"/>
  <c r="J323" i="20" s="1"/>
  <c r="G322" i="20"/>
  <c r="I322" i="20" s="1"/>
  <c r="D321" i="20"/>
  <c r="I320" i="20"/>
  <c r="J320" i="20" s="1"/>
  <c r="G318" i="20"/>
  <c r="I318" i="20" s="1"/>
  <c r="J318" i="20" s="1"/>
  <c r="G317" i="20"/>
  <c r="I317" i="20" s="1"/>
  <c r="J317" i="20" s="1"/>
  <c r="G316" i="20"/>
  <c r="I316" i="20" s="1"/>
  <c r="J316" i="20" s="1"/>
  <c r="G315" i="20"/>
  <c r="I315" i="20" s="1"/>
  <c r="J315" i="20" s="1"/>
  <c r="G314" i="20"/>
  <c r="I314" i="20" s="1"/>
  <c r="J314" i="20" s="1"/>
  <c r="N313" i="20"/>
  <c r="O313" i="20" s="1"/>
  <c r="K313" i="20"/>
  <c r="J313" i="20"/>
  <c r="M313" i="20" s="1"/>
  <c r="I313" i="20"/>
  <c r="H313" i="20"/>
  <c r="F313" i="20"/>
  <c r="E313" i="20"/>
  <c r="D313" i="20"/>
  <c r="C313" i="20"/>
  <c r="B313" i="20"/>
  <c r="G313" i="20" s="1"/>
  <c r="G328" i="20"/>
  <c r="I328" i="20"/>
  <c r="J328" i="20"/>
  <c r="B329" i="20"/>
  <c r="C329" i="20"/>
  <c r="D329" i="20"/>
  <c r="E329" i="20"/>
  <c r="F329" i="20"/>
  <c r="G329" i="20"/>
  <c r="H329" i="20"/>
  <c r="K329" i="20"/>
  <c r="N329" i="20"/>
  <c r="O329" i="20" s="1"/>
  <c r="G330" i="20"/>
  <c r="I330" i="20"/>
  <c r="J330" i="20"/>
  <c r="G331" i="20"/>
  <c r="I331" i="20"/>
  <c r="J331" i="20"/>
  <c r="G332" i="20"/>
  <c r="I332" i="20"/>
  <c r="J332" i="20"/>
  <c r="G333" i="20"/>
  <c r="I333" i="20"/>
  <c r="J333" i="20"/>
  <c r="G334" i="20"/>
  <c r="I334" i="20"/>
  <c r="J334" i="20"/>
  <c r="G335" i="20"/>
  <c r="I335" i="20"/>
  <c r="J335" i="20"/>
  <c r="G336" i="20"/>
  <c r="I336" i="20"/>
  <c r="J336" i="20"/>
  <c r="G294" i="20"/>
  <c r="I294" i="20" s="1"/>
  <c r="J294" i="20" s="1"/>
  <c r="G293" i="20"/>
  <c r="I293" i="20" s="1"/>
  <c r="J293" i="20" s="1"/>
  <c r="G292" i="20"/>
  <c r="I292" i="20" s="1"/>
  <c r="J292" i="20" s="1"/>
  <c r="G291" i="20"/>
  <c r="I291" i="20" s="1"/>
  <c r="J291" i="20" s="1"/>
  <c r="G290" i="20"/>
  <c r="I290" i="20" s="1"/>
  <c r="J290" i="20" s="1"/>
  <c r="N289" i="20"/>
  <c r="O289" i="20" s="1"/>
  <c r="K289" i="20"/>
  <c r="J289" i="20"/>
  <c r="M289" i="20" s="1"/>
  <c r="I289" i="20"/>
  <c r="H289" i="20"/>
  <c r="F289" i="20"/>
  <c r="E289" i="20"/>
  <c r="D289" i="20"/>
  <c r="C289" i="20"/>
  <c r="B289" i="20"/>
  <c r="G289" i="20" s="1"/>
  <c r="G288" i="20"/>
  <c r="I288" i="20" s="1"/>
  <c r="J288" i="20" s="1"/>
  <c r="G286" i="20"/>
  <c r="I286" i="20" s="1"/>
  <c r="J286" i="20" s="1"/>
  <c r="G285" i="20"/>
  <c r="I285" i="20" s="1"/>
  <c r="J285" i="20" s="1"/>
  <c r="G284" i="20"/>
  <c r="I284" i="20" s="1"/>
  <c r="J284" i="20" s="1"/>
  <c r="G283" i="20"/>
  <c r="I283" i="20" s="1"/>
  <c r="J283" i="20" s="1"/>
  <c r="G282" i="20"/>
  <c r="I282" i="20" s="1"/>
  <c r="J282" i="20" s="1"/>
  <c r="N281" i="20"/>
  <c r="O281" i="20" s="1"/>
  <c r="K281" i="20"/>
  <c r="J281" i="20"/>
  <c r="M281" i="20" s="1"/>
  <c r="I281" i="20"/>
  <c r="H281" i="20"/>
  <c r="F281" i="20"/>
  <c r="E281" i="20"/>
  <c r="D281" i="20"/>
  <c r="C281" i="20"/>
  <c r="B281" i="20"/>
  <c r="G281" i="20" s="1"/>
  <c r="G278" i="20"/>
  <c r="I278" i="20" s="1"/>
  <c r="J278" i="20" s="1"/>
  <c r="G277" i="20"/>
  <c r="I277" i="20" s="1"/>
  <c r="J277" i="20" s="1"/>
  <c r="G276" i="20"/>
  <c r="I276" i="20" s="1"/>
  <c r="J276" i="20" s="1"/>
  <c r="G275" i="20"/>
  <c r="I275" i="20" s="1"/>
  <c r="J275" i="20" s="1"/>
  <c r="G274" i="20"/>
  <c r="I274" i="20" s="1"/>
  <c r="D273" i="20"/>
  <c r="G273" i="20"/>
  <c r="G254" i="20"/>
  <c r="I254" i="20" s="1"/>
  <c r="J254" i="20" s="1"/>
  <c r="G253" i="20"/>
  <c r="I253" i="20" s="1"/>
  <c r="J253" i="20" s="1"/>
  <c r="G252" i="20"/>
  <c r="I252" i="20" s="1"/>
  <c r="J252" i="20" s="1"/>
  <c r="G251" i="20"/>
  <c r="I251" i="20" s="1"/>
  <c r="J251" i="20" s="1"/>
  <c r="G250" i="20"/>
  <c r="I250" i="20" s="1"/>
  <c r="J250" i="20" s="1"/>
  <c r="N249" i="20"/>
  <c r="O249" i="20" s="1"/>
  <c r="K249" i="20"/>
  <c r="J249" i="20"/>
  <c r="M249" i="20" s="1"/>
  <c r="I249" i="20"/>
  <c r="H249" i="20"/>
  <c r="F249" i="20"/>
  <c r="E249" i="20"/>
  <c r="D249" i="20"/>
  <c r="C249" i="20"/>
  <c r="B249" i="20"/>
  <c r="G249" i="20" s="1"/>
  <c r="G240" i="20"/>
  <c r="I240" i="20" s="1"/>
  <c r="J240" i="20" s="1"/>
  <c r="G238" i="20"/>
  <c r="I238" i="20" s="1"/>
  <c r="J238" i="20" s="1"/>
  <c r="G237" i="20"/>
  <c r="I237" i="20" s="1"/>
  <c r="J237" i="20" s="1"/>
  <c r="G236" i="20"/>
  <c r="I236" i="20" s="1"/>
  <c r="J236" i="20" s="1"/>
  <c r="G235" i="20"/>
  <c r="I235" i="20" s="1"/>
  <c r="J235" i="20" s="1"/>
  <c r="G234" i="20"/>
  <c r="I234" i="20" s="1"/>
  <c r="J234" i="20" s="1"/>
  <c r="N233" i="20"/>
  <c r="O233" i="20" s="1"/>
  <c r="K233" i="20"/>
  <c r="J233" i="20"/>
  <c r="M233" i="20" s="1"/>
  <c r="I233" i="20"/>
  <c r="H233" i="20"/>
  <c r="F233" i="20"/>
  <c r="E233" i="20"/>
  <c r="D233" i="20"/>
  <c r="C233" i="20"/>
  <c r="B233" i="20"/>
  <c r="G233" i="20" s="1"/>
  <c r="G246" i="20"/>
  <c r="I246" i="20" s="1"/>
  <c r="J246" i="20" s="1"/>
  <c r="G245" i="20"/>
  <c r="I245" i="20" s="1"/>
  <c r="J245" i="20" s="1"/>
  <c r="G244" i="20"/>
  <c r="I244" i="20" s="1"/>
  <c r="J244" i="20" s="1"/>
  <c r="G243" i="20"/>
  <c r="I243" i="20" s="1"/>
  <c r="J243" i="20" s="1"/>
  <c r="G242" i="20"/>
  <c r="I242" i="20" s="1"/>
  <c r="J242" i="20" s="1"/>
  <c r="N241" i="20"/>
  <c r="O241" i="20" s="1"/>
  <c r="K241" i="20"/>
  <c r="J241" i="20"/>
  <c r="M241" i="20" s="1"/>
  <c r="I241" i="20"/>
  <c r="H241" i="20"/>
  <c r="F241" i="20"/>
  <c r="E241" i="20"/>
  <c r="D241" i="20"/>
  <c r="C241" i="20"/>
  <c r="B241" i="20"/>
  <c r="G241" i="20" s="1"/>
  <c r="D257" i="20"/>
  <c r="G258" i="20"/>
  <c r="I258" i="20"/>
  <c r="J258" i="20"/>
  <c r="G259" i="20"/>
  <c r="I259" i="20"/>
  <c r="J259" i="20"/>
  <c r="G260" i="20"/>
  <c r="I260" i="20"/>
  <c r="J260" i="20"/>
  <c r="G261" i="20"/>
  <c r="I261" i="20"/>
  <c r="J261" i="20"/>
  <c r="G262" i="20"/>
  <c r="I262" i="20"/>
  <c r="J262" i="20"/>
  <c r="G264" i="20"/>
  <c r="I264" i="20"/>
  <c r="J264" i="20"/>
  <c r="G257" i="18"/>
  <c r="I257" i="18" s="1"/>
  <c r="J257" i="18" s="1"/>
  <c r="G160" i="18"/>
  <c r="I160" i="18" s="1"/>
  <c r="J160" i="18" s="1"/>
  <c r="G184" i="18"/>
  <c r="I184" i="18" s="1"/>
  <c r="J184" i="18" s="1"/>
  <c r="G185" i="18"/>
  <c r="G216" i="18"/>
  <c r="I216" i="18" s="1"/>
  <c r="J216" i="18" s="1"/>
  <c r="G224" i="18"/>
  <c r="I224" i="18" s="1"/>
  <c r="J224" i="18" s="1"/>
  <c r="G225" i="18"/>
  <c r="I225" i="18" s="1"/>
  <c r="J225" i="18" s="1"/>
  <c r="G249" i="18"/>
  <c r="I249" i="18" s="1"/>
  <c r="J249" i="18" s="1"/>
  <c r="K274" i="18"/>
  <c r="G288" i="18"/>
  <c r="I288" i="18" s="1"/>
  <c r="J288" i="18" s="1"/>
  <c r="G280" i="18"/>
  <c r="G281" i="18"/>
  <c r="G273" i="18"/>
  <c r="I273" i="18" s="1"/>
  <c r="J273" i="18" s="1"/>
  <c r="I280" i="18"/>
  <c r="J280" i="18" s="1"/>
  <c r="I281" i="18"/>
  <c r="J281" i="18" s="1"/>
  <c r="K242" i="18"/>
  <c r="B3" i="21"/>
  <c r="C3" i="21"/>
  <c r="D3" i="21"/>
  <c r="E3" i="21"/>
  <c r="F3" i="21"/>
  <c r="H3" i="21"/>
  <c r="K3" i="21"/>
  <c r="N3" i="21"/>
  <c r="O3" i="21" s="1"/>
  <c r="J4" i="21"/>
  <c r="G5" i="21"/>
  <c r="I5" i="21" s="1"/>
  <c r="G6" i="21"/>
  <c r="I6" i="21" s="1"/>
  <c r="J6" i="21" s="1"/>
  <c r="G8" i="21"/>
  <c r="I8" i="21" s="1"/>
  <c r="J8" i="21" s="1"/>
  <c r="G9" i="21"/>
  <c r="I9" i="21" s="1"/>
  <c r="J9" i="21" s="1"/>
  <c r="B10" i="21"/>
  <c r="C10" i="21"/>
  <c r="D10" i="21"/>
  <c r="F10" i="21"/>
  <c r="H10" i="21"/>
  <c r="G11" i="21"/>
  <c r="I11" i="21" s="1"/>
  <c r="G12" i="21"/>
  <c r="I12" i="21" s="1"/>
  <c r="J12" i="21" s="1"/>
  <c r="G13" i="21"/>
  <c r="I13" i="21" s="1"/>
  <c r="J13" i="21" s="1"/>
  <c r="G14" i="21"/>
  <c r="I14" i="21" s="1"/>
  <c r="J14" i="21" s="1"/>
  <c r="G15" i="21"/>
  <c r="I15" i="21" s="1"/>
  <c r="J15" i="21" s="1"/>
  <c r="I16" i="21"/>
  <c r="J16" i="21" s="1"/>
  <c r="B18" i="21"/>
  <c r="C18" i="21"/>
  <c r="D18" i="21"/>
  <c r="F18" i="21"/>
  <c r="H18" i="21"/>
  <c r="K18" i="21"/>
  <c r="N18" i="21"/>
  <c r="O18" i="21" s="1"/>
  <c r="G19" i="21"/>
  <c r="I19" i="21" s="1"/>
  <c r="J19" i="21" s="1"/>
  <c r="G20" i="21"/>
  <c r="I20" i="21" s="1"/>
  <c r="G21" i="21"/>
  <c r="I21" i="21" s="1"/>
  <c r="J21" i="21" s="1"/>
  <c r="G22" i="21"/>
  <c r="I22" i="21" s="1"/>
  <c r="J22" i="21" s="1"/>
  <c r="G23" i="21"/>
  <c r="I23" i="21" s="1"/>
  <c r="J23" i="21" s="1"/>
  <c r="G24" i="21"/>
  <c r="I24" i="21" s="1"/>
  <c r="J24" i="21" s="1"/>
  <c r="B25" i="21"/>
  <c r="C25" i="21"/>
  <c r="D25" i="21"/>
  <c r="F25" i="21"/>
  <c r="H25" i="21"/>
  <c r="K25" i="21"/>
  <c r="G26" i="21"/>
  <c r="I26" i="21" s="1"/>
  <c r="G27" i="21"/>
  <c r="I27" i="21" s="1"/>
  <c r="J27" i="21" s="1"/>
  <c r="G28" i="21"/>
  <c r="I28" i="21" s="1"/>
  <c r="J28" i="21" s="1"/>
  <c r="J29" i="21"/>
  <c r="B33" i="21"/>
  <c r="C33" i="21"/>
  <c r="D33" i="21"/>
  <c r="E33" i="21"/>
  <c r="F33" i="21"/>
  <c r="H33" i="21"/>
  <c r="K33" i="21"/>
  <c r="N33" i="21"/>
  <c r="G34" i="21"/>
  <c r="I34" i="21" s="1"/>
  <c r="J34" i="21" s="1"/>
  <c r="G35" i="21"/>
  <c r="I35" i="21" s="1"/>
  <c r="J35" i="21" s="1"/>
  <c r="G36" i="21"/>
  <c r="I36" i="21" s="1"/>
  <c r="J36" i="21" s="1"/>
  <c r="G37" i="21"/>
  <c r="I37" i="21" s="1"/>
  <c r="J37" i="21" s="1"/>
  <c r="G38" i="21"/>
  <c r="I38" i="21" s="1"/>
  <c r="J38" i="21" s="1"/>
  <c r="G39" i="21"/>
  <c r="I39" i="21" s="1"/>
  <c r="J39" i="21" s="1"/>
  <c r="I40" i="21"/>
  <c r="J40" i="21" s="1"/>
  <c r="B41" i="21"/>
  <c r="C41" i="21"/>
  <c r="D41" i="21"/>
  <c r="E41" i="21"/>
  <c r="F41" i="21"/>
  <c r="H41" i="21"/>
  <c r="K41" i="21"/>
  <c r="N41" i="21"/>
  <c r="O41" i="21" s="1"/>
  <c r="G42" i="21"/>
  <c r="I42" i="21" s="1"/>
  <c r="J42" i="21" s="1"/>
  <c r="G43" i="21"/>
  <c r="I43" i="21" s="1"/>
  <c r="J43" i="21" s="1"/>
  <c r="G44" i="21"/>
  <c r="I44" i="21" s="1"/>
  <c r="J44" i="21" s="1"/>
  <c r="G45" i="21"/>
  <c r="I45" i="21" s="1"/>
  <c r="J45" i="21" s="1"/>
  <c r="G46" i="21"/>
  <c r="I46" i="21" s="1"/>
  <c r="J46" i="21" s="1"/>
  <c r="G47" i="21"/>
  <c r="I47" i="21" s="1"/>
  <c r="J47" i="21" s="1"/>
  <c r="G48" i="21"/>
  <c r="I48" i="21" s="1"/>
  <c r="J48" i="21" s="1"/>
  <c r="B49" i="21"/>
  <c r="C49" i="21"/>
  <c r="D49" i="21"/>
  <c r="F49" i="21"/>
  <c r="H49" i="21"/>
  <c r="N49" i="21"/>
  <c r="O49" i="21" s="1"/>
  <c r="G50" i="21"/>
  <c r="I50" i="21" s="1"/>
  <c r="J50" i="21" s="1"/>
  <c r="G51" i="21"/>
  <c r="I51" i="21" s="1"/>
  <c r="J51" i="21" s="1"/>
  <c r="G52" i="21"/>
  <c r="I52" i="21" s="1"/>
  <c r="J53" i="21"/>
  <c r="J54" i="21"/>
  <c r="B57" i="21"/>
  <c r="C57" i="21"/>
  <c r="D57" i="21"/>
  <c r="E57" i="21"/>
  <c r="F57" i="21"/>
  <c r="H57" i="21"/>
  <c r="K57" i="21"/>
  <c r="O57" i="21"/>
  <c r="G58" i="21"/>
  <c r="I58" i="21" s="1"/>
  <c r="G59" i="21"/>
  <c r="I59" i="21" s="1"/>
  <c r="J59" i="21" s="1"/>
  <c r="G60" i="21"/>
  <c r="I60" i="21" s="1"/>
  <c r="J60" i="21" s="1"/>
  <c r="G61" i="21"/>
  <c r="I61" i="21" s="1"/>
  <c r="J61" i="21" s="1"/>
  <c r="G62" i="21"/>
  <c r="I62" i="21" s="1"/>
  <c r="J62" i="21" s="1"/>
  <c r="G63" i="21"/>
  <c r="I63" i="21" s="1"/>
  <c r="J63" i="21" s="1"/>
  <c r="B64" i="21"/>
  <c r="C64" i="21"/>
  <c r="D64" i="21"/>
  <c r="E64" i="21"/>
  <c r="F64" i="21"/>
  <c r="H64" i="21"/>
  <c r="K64" i="21"/>
  <c r="N64" i="21"/>
  <c r="G65" i="21"/>
  <c r="I65" i="21" s="1"/>
  <c r="J65" i="21" s="1"/>
  <c r="G66" i="21"/>
  <c r="I66" i="21" s="1"/>
  <c r="G67" i="21"/>
  <c r="I67" i="21" s="1"/>
  <c r="G68" i="21"/>
  <c r="I68" i="21" s="1"/>
  <c r="G69" i="21"/>
  <c r="I69" i="21" s="1"/>
  <c r="J69" i="21" s="1"/>
  <c r="G70" i="21"/>
  <c r="I70" i="21" s="1"/>
  <c r="D72" i="21"/>
  <c r="O72" i="21"/>
  <c r="G73" i="21"/>
  <c r="I73" i="21" s="1"/>
  <c r="G74" i="21"/>
  <c r="I74" i="21" s="1"/>
  <c r="J74" i="21" s="1"/>
  <c r="G75" i="21"/>
  <c r="I75" i="21" s="1"/>
  <c r="J75" i="21" s="1"/>
  <c r="G76" i="21"/>
  <c r="I76" i="21" s="1"/>
  <c r="J76" i="21" s="1"/>
  <c r="G77" i="21"/>
  <c r="I77" i="21" s="1"/>
  <c r="J77" i="21" s="1"/>
  <c r="B88" i="21"/>
  <c r="C88" i="21"/>
  <c r="D88" i="21"/>
  <c r="E88" i="21"/>
  <c r="F88" i="21"/>
  <c r="H88" i="21"/>
  <c r="K88" i="21"/>
  <c r="N88" i="21"/>
  <c r="O88" i="21" s="1"/>
  <c r="G89" i="21"/>
  <c r="I89" i="21" s="1"/>
  <c r="G90" i="21"/>
  <c r="I90" i="21" s="1"/>
  <c r="J90" i="21" s="1"/>
  <c r="G91" i="21"/>
  <c r="I91" i="21" s="1"/>
  <c r="J91" i="21" s="1"/>
  <c r="J92" i="21"/>
  <c r="G93" i="21"/>
  <c r="I93" i="21" s="1"/>
  <c r="J93" i="21" s="1"/>
  <c r="G94" i="21"/>
  <c r="I94" i="21" s="1"/>
  <c r="J94" i="21" s="1"/>
  <c r="G95" i="21"/>
  <c r="I95" i="21" s="1"/>
  <c r="J95" i="21" s="1"/>
  <c r="D96" i="21"/>
  <c r="E96" i="21"/>
  <c r="F96" i="21"/>
  <c r="H96" i="21"/>
  <c r="K96" i="21"/>
  <c r="N96" i="21"/>
  <c r="O96" i="21" s="1"/>
  <c r="G97" i="21"/>
  <c r="I97" i="21" s="1"/>
  <c r="G98" i="21"/>
  <c r="I98" i="21" s="1"/>
  <c r="J98" i="21" s="1"/>
  <c r="G99" i="21"/>
  <c r="I99" i="21" s="1"/>
  <c r="J99" i="21" s="1"/>
  <c r="G100" i="21"/>
  <c r="I100" i="21" s="1"/>
  <c r="J100" i="21" s="1"/>
  <c r="G101" i="21"/>
  <c r="I101" i="21" s="1"/>
  <c r="J101" i="21" s="1"/>
  <c r="I102" i="21"/>
  <c r="J102" i="21" s="1"/>
  <c r="B104" i="21"/>
  <c r="C104" i="21"/>
  <c r="E104" i="21"/>
  <c r="F104" i="21"/>
  <c r="H104" i="21"/>
  <c r="K104" i="21"/>
  <c r="G105" i="21"/>
  <c r="I105" i="21" s="1"/>
  <c r="G106" i="21"/>
  <c r="I106" i="21" s="1"/>
  <c r="J106" i="21" s="1"/>
  <c r="G107" i="21"/>
  <c r="I107" i="21" s="1"/>
  <c r="J107" i="21" s="1"/>
  <c r="G108" i="21"/>
  <c r="I108" i="21" s="1"/>
  <c r="J108" i="21" s="1"/>
  <c r="G109" i="21"/>
  <c r="I109" i="21" s="1"/>
  <c r="J109" i="21" s="1"/>
  <c r="G110" i="21"/>
  <c r="I110" i="21" s="1"/>
  <c r="J110" i="21" s="1"/>
  <c r="B111" i="21"/>
  <c r="C111" i="21"/>
  <c r="E111" i="21"/>
  <c r="F111" i="21"/>
  <c r="H111" i="21"/>
  <c r="K111" i="21"/>
  <c r="G112" i="21"/>
  <c r="I112" i="21" s="1"/>
  <c r="G113" i="21"/>
  <c r="I113" i="21" s="1"/>
  <c r="J113" i="21" s="1"/>
  <c r="G114" i="21"/>
  <c r="I114" i="21" s="1"/>
  <c r="J114" i="21" s="1"/>
  <c r="G115" i="21"/>
  <c r="I115" i="21"/>
  <c r="J115" i="21" s="1"/>
  <c r="G116" i="21"/>
  <c r="I116" i="21" s="1"/>
  <c r="J116" i="21" s="1"/>
  <c r="G117" i="21"/>
  <c r="I117" i="21" s="1"/>
  <c r="J117" i="21" s="1"/>
  <c r="D118" i="21"/>
  <c r="E118" i="21"/>
  <c r="F118" i="21"/>
  <c r="H118" i="21"/>
  <c r="K118" i="21"/>
  <c r="G119" i="21"/>
  <c r="I119" i="21"/>
  <c r="G120" i="21"/>
  <c r="I120" i="21" s="1"/>
  <c r="J120" i="21" s="1"/>
  <c r="G121" i="21"/>
  <c r="I121" i="21" s="1"/>
  <c r="J121" i="21" s="1"/>
  <c r="G122" i="21"/>
  <c r="I122" i="21" s="1"/>
  <c r="J122" i="21" s="1"/>
  <c r="G123" i="21"/>
  <c r="I123" i="21" s="1"/>
  <c r="J123" i="21" s="1"/>
  <c r="G124" i="21"/>
  <c r="I124" i="21" s="1"/>
  <c r="J124" i="21" s="1"/>
  <c r="G125" i="21"/>
  <c r="I125" i="21" s="1"/>
  <c r="J125" i="21" s="1"/>
  <c r="B126" i="21"/>
  <c r="C126" i="21"/>
  <c r="D126" i="21"/>
  <c r="E126" i="21"/>
  <c r="F126" i="21"/>
  <c r="H126" i="21"/>
  <c r="K126" i="21"/>
  <c r="N126" i="21"/>
  <c r="G127" i="21"/>
  <c r="I127" i="21" s="1"/>
  <c r="G128" i="21"/>
  <c r="I128" i="21" s="1"/>
  <c r="J128" i="21" s="1"/>
  <c r="G129" i="21"/>
  <c r="I129" i="21" s="1"/>
  <c r="J129" i="21" s="1"/>
  <c r="G130" i="21"/>
  <c r="I130" i="21" s="1"/>
  <c r="J130" i="21" s="1"/>
  <c r="G131" i="21"/>
  <c r="I131" i="21" s="1"/>
  <c r="J131" i="21" s="1"/>
  <c r="G132" i="21"/>
  <c r="I132" i="21" s="1"/>
  <c r="J132" i="21" s="1"/>
  <c r="G133" i="21"/>
  <c r="I133" i="21" s="1"/>
  <c r="J133" i="21" s="1"/>
  <c r="D134" i="21"/>
  <c r="G135" i="21"/>
  <c r="I135" i="21" s="1"/>
  <c r="G136" i="21"/>
  <c r="I136" i="21" s="1"/>
  <c r="J136" i="21" s="1"/>
  <c r="G137" i="21"/>
  <c r="I137" i="21" s="1"/>
  <c r="J137" i="21" s="1"/>
  <c r="G138" i="21"/>
  <c r="I138" i="21" s="1"/>
  <c r="J138" i="21" s="1"/>
  <c r="G139" i="21"/>
  <c r="I139" i="21" s="1"/>
  <c r="J139" i="21" s="1"/>
  <c r="G140" i="21"/>
  <c r="I140" i="21" s="1"/>
  <c r="J140" i="21" s="1"/>
  <c r="G141" i="21"/>
  <c r="I141" i="21" s="1"/>
  <c r="J141" i="21" s="1"/>
  <c r="D142" i="21"/>
  <c r="F142" i="21"/>
  <c r="H142" i="21"/>
  <c r="G143" i="21"/>
  <c r="I143" i="21" s="1"/>
  <c r="G144" i="21"/>
  <c r="I144" i="21" s="1"/>
  <c r="J144" i="21" s="1"/>
  <c r="G145" i="21"/>
  <c r="I145" i="21" s="1"/>
  <c r="J145" i="21" s="1"/>
  <c r="G146" i="21"/>
  <c r="I146" i="21" s="1"/>
  <c r="J146" i="21" s="1"/>
  <c r="G147" i="21"/>
  <c r="I147" i="21" s="1"/>
  <c r="J147" i="21" s="1"/>
  <c r="G148" i="21"/>
  <c r="I148" i="21" s="1"/>
  <c r="J148" i="21" s="1"/>
  <c r="B149" i="21"/>
  <c r="C149" i="21"/>
  <c r="D149" i="21"/>
  <c r="E149" i="21"/>
  <c r="F149" i="21"/>
  <c r="H149" i="21"/>
  <c r="K149" i="21"/>
  <c r="N149" i="21"/>
  <c r="O149" i="21" s="1"/>
  <c r="G150" i="21"/>
  <c r="I150" i="21" s="1"/>
  <c r="G151" i="21"/>
  <c r="I151" i="21" s="1"/>
  <c r="J151" i="21" s="1"/>
  <c r="G152" i="21"/>
  <c r="I152" i="21" s="1"/>
  <c r="J152" i="21" s="1"/>
  <c r="G153" i="21"/>
  <c r="I153" i="21" s="1"/>
  <c r="J153" i="21" s="1"/>
  <c r="G154" i="21"/>
  <c r="I154" i="21" s="1"/>
  <c r="J154" i="21" s="1"/>
  <c r="G155" i="21"/>
  <c r="I155" i="21" s="1"/>
  <c r="J155" i="21" s="1"/>
  <c r="D164" i="21"/>
  <c r="G165" i="21"/>
  <c r="I165" i="21" s="1"/>
  <c r="G166" i="21"/>
  <c r="I166" i="21" s="1"/>
  <c r="J166" i="21" s="1"/>
  <c r="G167" i="21"/>
  <c r="I167" i="21" s="1"/>
  <c r="J167" i="21" s="1"/>
  <c r="G171" i="21"/>
  <c r="G173" i="21"/>
  <c r="I173" i="21" s="1"/>
  <c r="J173" i="21" s="1"/>
  <c r="I174" i="21"/>
  <c r="J174" i="21" s="1"/>
  <c r="G175" i="21"/>
  <c r="I175" i="21" s="1"/>
  <c r="J175" i="21" s="1"/>
  <c r="D187" i="21"/>
  <c r="G188" i="21"/>
  <c r="I188" i="21" s="1"/>
  <c r="G189" i="21"/>
  <c r="I189" i="21" s="1"/>
  <c r="J189" i="21" s="1"/>
  <c r="G190" i="21"/>
  <c r="I190" i="21" s="1"/>
  <c r="J190" i="21" s="1"/>
  <c r="G191" i="21"/>
  <c r="B203" i="21"/>
  <c r="C203" i="21"/>
  <c r="D203" i="21"/>
  <c r="G204" i="21"/>
  <c r="I204" i="21" s="1"/>
  <c r="G205" i="21"/>
  <c r="I205" i="21" s="1"/>
  <c r="J205" i="21" s="1"/>
  <c r="G206" i="21"/>
  <c r="I206" i="21" s="1"/>
  <c r="J206" i="21" s="1"/>
  <c r="G207" i="21"/>
  <c r="I207" i="21" s="1"/>
  <c r="J207" i="21" s="1"/>
  <c r="G208" i="21"/>
  <c r="I208" i="21" s="1"/>
  <c r="J208" i="21" s="1"/>
  <c r="B219" i="21"/>
  <c r="C219" i="21"/>
  <c r="D219" i="21"/>
  <c r="E219" i="21"/>
  <c r="F219" i="21"/>
  <c r="H219" i="21"/>
  <c r="K219" i="21"/>
  <c r="N219" i="21"/>
  <c r="O219" i="21" s="1"/>
  <c r="G220" i="21"/>
  <c r="I220" i="21" s="1"/>
  <c r="G221" i="21"/>
  <c r="I221" i="21" s="1"/>
  <c r="J221" i="21" s="1"/>
  <c r="G222" i="21"/>
  <c r="I222" i="21" s="1"/>
  <c r="J222" i="21" s="1"/>
  <c r="G223" i="21"/>
  <c r="I223" i="21" s="1"/>
  <c r="J223" i="21" s="1"/>
  <c r="G224" i="21"/>
  <c r="I224" i="21" s="1"/>
  <c r="J224" i="21" s="1"/>
  <c r="G226" i="21"/>
  <c r="I226" i="21" s="1"/>
  <c r="J226" i="21" s="1"/>
  <c r="D227" i="21"/>
  <c r="F227" i="21"/>
  <c r="G228" i="21"/>
  <c r="I228" i="21" s="1"/>
  <c r="G229" i="21"/>
  <c r="I229" i="21" s="1"/>
  <c r="J229" i="21" s="1"/>
  <c r="G230" i="21"/>
  <c r="I230" i="21" s="1"/>
  <c r="J230" i="21" s="1"/>
  <c r="I231" i="21"/>
  <c r="J231" i="21" s="1"/>
  <c r="B235" i="21"/>
  <c r="C235" i="21"/>
  <c r="D235" i="21"/>
  <c r="E235" i="21"/>
  <c r="F235" i="21"/>
  <c r="H235" i="21"/>
  <c r="K235" i="21"/>
  <c r="N235" i="21"/>
  <c r="O235" i="21" s="1"/>
  <c r="G236" i="21"/>
  <c r="I236" i="21" s="1"/>
  <c r="G237" i="21"/>
  <c r="I237" i="21" s="1"/>
  <c r="J237" i="21" s="1"/>
  <c r="G238" i="21"/>
  <c r="I238" i="21" s="1"/>
  <c r="J238" i="21" s="1"/>
  <c r="G239" i="21"/>
  <c r="I239" i="21" s="1"/>
  <c r="J239" i="21" s="1"/>
  <c r="G242" i="21"/>
  <c r="I242" i="21" s="1"/>
  <c r="J242" i="21" s="1"/>
  <c r="D243" i="21"/>
  <c r="G244" i="21"/>
  <c r="I244" i="21" s="1"/>
  <c r="G245" i="21"/>
  <c r="I245" i="21" s="1"/>
  <c r="J245" i="21" s="1"/>
  <c r="G246" i="21"/>
  <c r="I246" i="21" s="1"/>
  <c r="J246" i="21" s="1"/>
  <c r="G247" i="21"/>
  <c r="I247" i="21" s="1"/>
  <c r="J247" i="21" s="1"/>
  <c r="G248" i="21"/>
  <c r="I248" i="21" s="1"/>
  <c r="J248" i="21" s="1"/>
  <c r="J249" i="21"/>
  <c r="B275" i="21"/>
  <c r="C275" i="21"/>
  <c r="E275" i="21"/>
  <c r="F275" i="21"/>
  <c r="H275" i="21"/>
  <c r="K275" i="21"/>
  <c r="N275" i="21"/>
  <c r="O275" i="21" s="1"/>
  <c r="G276" i="21"/>
  <c r="I276" i="21" s="1"/>
  <c r="G277" i="21"/>
  <c r="I277" i="21" s="1"/>
  <c r="J277" i="21" s="1"/>
  <c r="G278" i="21"/>
  <c r="I278" i="21" s="1"/>
  <c r="J278" i="21" s="1"/>
  <c r="G279" i="21"/>
  <c r="I279" i="21" s="1"/>
  <c r="J279" i="21" s="1"/>
  <c r="G280" i="21"/>
  <c r="I280" i="21" s="1"/>
  <c r="J280" i="21" s="1"/>
  <c r="G281" i="21"/>
  <c r="I281" i="21" s="1"/>
  <c r="J281" i="21" s="1"/>
  <c r="G282" i="21"/>
  <c r="I282" i="21" s="1"/>
  <c r="J282" i="21" s="1"/>
  <c r="B283" i="21"/>
  <c r="C283" i="21"/>
  <c r="D283" i="21"/>
  <c r="E283" i="21"/>
  <c r="F283" i="21"/>
  <c r="H283" i="21"/>
  <c r="G284" i="21"/>
  <c r="I284" i="21" s="1"/>
  <c r="I285" i="21"/>
  <c r="J285" i="21" s="1"/>
  <c r="G286" i="21"/>
  <c r="I286" i="21" s="1"/>
  <c r="G287" i="21"/>
  <c r="I287" i="21" s="1"/>
  <c r="G288" i="21"/>
  <c r="I288" i="21" s="1"/>
  <c r="J288" i="21" s="1"/>
  <c r="G289" i="21"/>
  <c r="I289" i="21" s="1"/>
  <c r="J289" i="21" s="1"/>
  <c r="G297" i="21"/>
  <c r="I297" i="21" s="1"/>
  <c r="J297" i="21" s="1"/>
  <c r="G299" i="21"/>
  <c r="G300" i="21"/>
  <c r="I300" i="21" s="1"/>
  <c r="J300" i="21" s="1"/>
  <c r="G301" i="21"/>
  <c r="I301" i="21" s="1"/>
  <c r="J301" i="21" s="1"/>
  <c r="G302" i="21"/>
  <c r="I302" i="21" s="1"/>
  <c r="J302" i="21" s="1"/>
  <c r="G303" i="21"/>
  <c r="I303" i="21" s="1"/>
  <c r="J303" i="21" s="1"/>
  <c r="N66" i="18"/>
  <c r="I200" i="18"/>
  <c r="J200" i="18" s="1"/>
  <c r="G96" i="18"/>
  <c r="G152" i="18"/>
  <c r="I152" i="18" s="1"/>
  <c r="G153" i="18"/>
  <c r="I153" i="18" s="1"/>
  <c r="J153" i="18" s="1"/>
  <c r="G60" i="18"/>
  <c r="G61" i="18"/>
  <c r="I61" i="18" s="1"/>
  <c r="J61" i="18" s="1"/>
  <c r="G62" i="18"/>
  <c r="I62" i="18" s="1"/>
  <c r="J62" i="18" s="1"/>
  <c r="N154" i="18"/>
  <c r="K258" i="18"/>
  <c r="K186" i="18"/>
  <c r="G265" i="18"/>
  <c r="I265" i="18"/>
  <c r="J265" i="18" s="1"/>
  <c r="E170" i="18"/>
  <c r="F170" i="18"/>
  <c r="B170" i="18"/>
  <c r="C170" i="18"/>
  <c r="K170" i="18"/>
  <c r="K266" i="18"/>
  <c r="L299" i="18"/>
  <c r="C274" i="18"/>
  <c r="B274" i="18"/>
  <c r="C266" i="18"/>
  <c r="B266" i="18"/>
  <c r="F186" i="18"/>
  <c r="C186" i="18"/>
  <c r="B186" i="18"/>
  <c r="G186" i="18" s="1"/>
  <c r="F218" i="18"/>
  <c r="C218" i="18"/>
  <c r="B218" i="18"/>
  <c r="K218" i="18"/>
  <c r="G161" i="18"/>
  <c r="I161" i="18" s="1"/>
  <c r="J161" i="18" s="1"/>
  <c r="G159" i="18"/>
  <c r="I159" i="18" s="1"/>
  <c r="J159" i="18" s="1"/>
  <c r="G158" i="18"/>
  <c r="I158" i="18" s="1"/>
  <c r="J158" i="18" s="1"/>
  <c r="G157" i="18"/>
  <c r="I157" i="18" s="1"/>
  <c r="J157" i="18" s="1"/>
  <c r="G156" i="18"/>
  <c r="I156" i="18" s="1"/>
  <c r="J156" i="18" s="1"/>
  <c r="G155" i="18"/>
  <c r="I155" i="18" s="1"/>
  <c r="J155" i="18" s="1"/>
  <c r="K154" i="18"/>
  <c r="F154" i="18"/>
  <c r="E154" i="18"/>
  <c r="D154" i="18"/>
  <c r="C154" i="18"/>
  <c r="B154" i="18"/>
  <c r="G151" i="18"/>
  <c r="I151" i="18" s="1"/>
  <c r="J151" i="18" s="1"/>
  <c r="G150" i="18"/>
  <c r="I150" i="18" s="1"/>
  <c r="J150" i="18" s="1"/>
  <c r="G149" i="18"/>
  <c r="I149" i="18" s="1"/>
  <c r="J149" i="18" s="1"/>
  <c r="G148" i="18"/>
  <c r="I148" i="18" s="1"/>
  <c r="J148" i="18" s="1"/>
  <c r="G147" i="18"/>
  <c r="I147" i="18" s="1"/>
  <c r="J147" i="18" s="1"/>
  <c r="K146" i="18"/>
  <c r="F146" i="18"/>
  <c r="E146" i="18"/>
  <c r="D146" i="18"/>
  <c r="C146" i="18"/>
  <c r="B146" i="18"/>
  <c r="G146" i="18" s="1"/>
  <c r="K98" i="18"/>
  <c r="C98" i="18"/>
  <c r="B98" i="18"/>
  <c r="K138" i="18"/>
  <c r="C138" i="18"/>
  <c r="B138" i="18"/>
  <c r="K130" i="18"/>
  <c r="I96" i="18"/>
  <c r="J96" i="18" s="1"/>
  <c r="G94" i="18"/>
  <c r="I94" i="18" s="1"/>
  <c r="G95" i="18"/>
  <c r="I95" i="18" s="1"/>
  <c r="E90" i="18"/>
  <c r="F90" i="18"/>
  <c r="K90" i="18"/>
  <c r="C90" i="18"/>
  <c r="B90" i="18"/>
  <c r="K74" i="18"/>
  <c r="C74" i="18"/>
  <c r="B74" i="18"/>
  <c r="K51" i="18"/>
  <c r="C51" i="18"/>
  <c r="B51" i="18"/>
  <c r="C3" i="18"/>
  <c r="C19" i="18"/>
  <c r="B19" i="18"/>
  <c r="G7" i="18"/>
  <c r="I7" i="18" s="1"/>
  <c r="J7" i="18" s="1"/>
  <c r="G8" i="18"/>
  <c r="G4" i="18"/>
  <c r="I4" i="18" s="1"/>
  <c r="J4" i="18" s="1"/>
  <c r="B58" i="18"/>
  <c r="C58" i="18"/>
  <c r="G58" i="18" s="1"/>
  <c r="D58" i="18"/>
  <c r="E58" i="18"/>
  <c r="F58" i="18"/>
  <c r="F51" i="18" s="1"/>
  <c r="K58" i="18"/>
  <c r="G59" i="18"/>
  <c r="I59" i="18" s="1"/>
  <c r="J59" i="18" s="1"/>
  <c r="I60" i="18"/>
  <c r="J60" i="18" s="1"/>
  <c r="G63" i="18"/>
  <c r="I63" i="18" s="1"/>
  <c r="J63" i="18" s="1"/>
  <c r="G64" i="18"/>
  <c r="I64" i="18" s="1"/>
  <c r="J64" i="18" s="1"/>
  <c r="G65" i="18"/>
  <c r="I65" i="18" s="1"/>
  <c r="J65" i="18" s="1"/>
  <c r="N147" i="19"/>
  <c r="N179" i="19"/>
  <c r="N109" i="17"/>
  <c r="N122" i="19"/>
  <c r="N282" i="18"/>
  <c r="O282" i="18" s="1"/>
  <c r="G289" i="18"/>
  <c r="I289" i="18" s="1"/>
  <c r="J289" i="18" s="1"/>
  <c r="G287" i="18"/>
  <c r="I287" i="18" s="1"/>
  <c r="J287" i="18" s="1"/>
  <c r="G286" i="18"/>
  <c r="I286" i="18" s="1"/>
  <c r="J286" i="18" s="1"/>
  <c r="G285" i="18"/>
  <c r="I285" i="18" s="1"/>
  <c r="J285" i="18" s="1"/>
  <c r="G284" i="18"/>
  <c r="I284" i="18" s="1"/>
  <c r="J284" i="18" s="1"/>
  <c r="G283" i="18"/>
  <c r="I283" i="18" s="1"/>
  <c r="J283" i="18" s="1"/>
  <c r="K282" i="18"/>
  <c r="F282" i="18"/>
  <c r="E282" i="18"/>
  <c r="D282" i="18"/>
  <c r="C282" i="18"/>
  <c r="B282" i="18"/>
  <c r="I293" i="19"/>
  <c r="L293" i="19"/>
  <c r="M293" i="19"/>
  <c r="K293" i="19"/>
  <c r="K75" i="19"/>
  <c r="N194" i="18"/>
  <c r="G201" i="18"/>
  <c r="I201" i="18" s="1"/>
  <c r="J201" i="18" s="1"/>
  <c r="G199" i="18"/>
  <c r="I199" i="18" s="1"/>
  <c r="J199" i="18" s="1"/>
  <c r="G198" i="18"/>
  <c r="I198" i="18" s="1"/>
  <c r="G197" i="18"/>
  <c r="I197" i="18" s="1"/>
  <c r="G196" i="18"/>
  <c r="I196" i="18" s="1"/>
  <c r="J196" i="18" s="1"/>
  <c r="G195" i="18"/>
  <c r="I195" i="18" s="1"/>
  <c r="J195" i="18" s="1"/>
  <c r="K194" i="18"/>
  <c r="F194" i="18"/>
  <c r="E194" i="18"/>
  <c r="D194" i="18"/>
  <c r="C194" i="18"/>
  <c r="B194" i="18"/>
  <c r="G89" i="18"/>
  <c r="I89" i="18" s="1"/>
  <c r="J89" i="18" s="1"/>
  <c r="G88" i="18"/>
  <c r="I88" i="18" s="1"/>
  <c r="J88" i="18" s="1"/>
  <c r="G87" i="18"/>
  <c r="I87" i="18" s="1"/>
  <c r="J87" i="18" s="1"/>
  <c r="G86" i="18"/>
  <c r="I86" i="18" s="1"/>
  <c r="J86" i="18" s="1"/>
  <c r="G85" i="18"/>
  <c r="I85" i="18" s="1"/>
  <c r="J85" i="18" s="1"/>
  <c r="G84" i="18"/>
  <c r="I84" i="18" s="1"/>
  <c r="J84" i="18" s="1"/>
  <c r="G83" i="18"/>
  <c r="I83" i="18" s="1"/>
  <c r="J83" i="18" s="1"/>
  <c r="K82" i="18"/>
  <c r="F82" i="18"/>
  <c r="F74" i="18" s="1"/>
  <c r="E82" i="18"/>
  <c r="D82" i="18"/>
  <c r="C82" i="18"/>
  <c r="B82" i="18"/>
  <c r="N274" i="18"/>
  <c r="G279" i="18"/>
  <c r="I279" i="18" s="1"/>
  <c r="J279" i="18" s="1"/>
  <c r="G278" i="18"/>
  <c r="I278" i="18" s="1"/>
  <c r="J278" i="18" s="1"/>
  <c r="G277" i="18"/>
  <c r="I277" i="18" s="1"/>
  <c r="J277" i="18" s="1"/>
  <c r="G276" i="18"/>
  <c r="I276" i="18" s="1"/>
  <c r="J276" i="18" s="1"/>
  <c r="G275" i="18"/>
  <c r="I275" i="18" s="1"/>
  <c r="F274" i="18"/>
  <c r="F266" i="18" s="1"/>
  <c r="E274" i="18"/>
  <c r="E266" i="18" s="1"/>
  <c r="D274" i="18"/>
  <c r="G274" i="18"/>
  <c r="N283" i="19"/>
  <c r="N128" i="19"/>
  <c r="N129" i="19"/>
  <c r="G233" i="18"/>
  <c r="I233" i="18" s="1"/>
  <c r="J233" i="18" s="1"/>
  <c r="G232" i="18"/>
  <c r="I232" i="18" s="1"/>
  <c r="J232" i="18" s="1"/>
  <c r="G231" i="18"/>
  <c r="I231" i="18" s="1"/>
  <c r="J231" i="18" s="1"/>
  <c r="J230" i="18"/>
  <c r="G229" i="18"/>
  <c r="I229" i="18" s="1"/>
  <c r="J229" i="18" s="1"/>
  <c r="G228" i="18"/>
  <c r="I228" i="18" s="1"/>
  <c r="J228" i="18" s="1"/>
  <c r="G227" i="18"/>
  <c r="I227" i="18" s="1"/>
  <c r="J227" i="18" s="1"/>
  <c r="K226" i="18"/>
  <c r="I226" i="18"/>
  <c r="F226" i="18"/>
  <c r="E226" i="18"/>
  <c r="D226" i="18"/>
  <c r="C226" i="18"/>
  <c r="B226" i="18"/>
  <c r="N221" i="19"/>
  <c r="N266" i="18"/>
  <c r="N90" i="18"/>
  <c r="N11" i="18"/>
  <c r="G34" i="19"/>
  <c r="I34" i="19"/>
  <c r="J34" i="19"/>
  <c r="N108" i="19"/>
  <c r="N109" i="19"/>
  <c r="N113" i="19"/>
  <c r="B3" i="20"/>
  <c r="D3" i="20"/>
  <c r="E3" i="20"/>
  <c r="F3" i="20"/>
  <c r="G3" i="20"/>
  <c r="H3" i="20"/>
  <c r="K3" i="20"/>
  <c r="J4" i="20"/>
  <c r="G5" i="20"/>
  <c r="I5" i="20"/>
  <c r="J5" i="20"/>
  <c r="G6" i="20"/>
  <c r="I6" i="20"/>
  <c r="J6" i="20"/>
  <c r="G9" i="20"/>
  <c r="I9" i="20"/>
  <c r="J9" i="20" s="1"/>
  <c r="G10" i="20"/>
  <c r="I10" i="20"/>
  <c r="J10" i="20" s="1"/>
  <c r="B11" i="20"/>
  <c r="C11" i="20"/>
  <c r="D11" i="20"/>
  <c r="E11" i="20"/>
  <c r="F11" i="20"/>
  <c r="G11" i="20"/>
  <c r="H11" i="20"/>
  <c r="K11" i="20"/>
  <c r="N11" i="20"/>
  <c r="O11" i="20" s="1"/>
  <c r="G12" i="20"/>
  <c r="I12" i="20"/>
  <c r="J12" i="20"/>
  <c r="G13" i="20"/>
  <c r="I13" i="20"/>
  <c r="J13" i="20"/>
  <c r="G14" i="20"/>
  <c r="I14" i="20"/>
  <c r="J14" i="20"/>
  <c r="G15" i="20"/>
  <c r="I15" i="20"/>
  <c r="J15" i="20"/>
  <c r="G16" i="20"/>
  <c r="I16" i="20"/>
  <c r="J16" i="20"/>
  <c r="G17" i="20"/>
  <c r="I17" i="20"/>
  <c r="J17" i="20"/>
  <c r="G18" i="20"/>
  <c r="I18" i="20"/>
  <c r="J18" i="20"/>
  <c r="B27" i="20"/>
  <c r="C27" i="20"/>
  <c r="D27" i="20"/>
  <c r="F27" i="20"/>
  <c r="G27" i="20"/>
  <c r="H27" i="20"/>
  <c r="K27" i="20"/>
  <c r="N27" i="20"/>
  <c r="O27" i="20" s="1"/>
  <c r="G28" i="20"/>
  <c r="I28" i="20"/>
  <c r="J28" i="20"/>
  <c r="G29" i="20"/>
  <c r="I29" i="20"/>
  <c r="J29" i="20"/>
  <c r="G30" i="20"/>
  <c r="I30" i="20"/>
  <c r="J30" i="20"/>
  <c r="G31" i="20"/>
  <c r="I31" i="20"/>
  <c r="J31" i="20"/>
  <c r="G32" i="20"/>
  <c r="I32" i="20"/>
  <c r="J32" i="20"/>
  <c r="G33" i="20"/>
  <c r="I33" i="20"/>
  <c r="J33" i="20"/>
  <c r="G34" i="20"/>
  <c r="I34" i="20"/>
  <c r="J34" i="20"/>
  <c r="B35" i="20"/>
  <c r="C35" i="20"/>
  <c r="D35" i="20"/>
  <c r="E35" i="20"/>
  <c r="F35" i="20"/>
  <c r="G35" i="20"/>
  <c r="H35" i="20"/>
  <c r="K35" i="20"/>
  <c r="G36" i="20"/>
  <c r="I36" i="20"/>
  <c r="J36" i="20"/>
  <c r="G37" i="20"/>
  <c r="I37" i="20"/>
  <c r="J37" i="20"/>
  <c r="G38" i="20"/>
  <c r="I38" i="20"/>
  <c r="J38" i="20"/>
  <c r="G39" i="20"/>
  <c r="I39" i="20"/>
  <c r="J39" i="20"/>
  <c r="G40" i="20"/>
  <c r="I40" i="20"/>
  <c r="J40" i="20"/>
  <c r="G41" i="20"/>
  <c r="I41" i="20"/>
  <c r="J41" i="20"/>
  <c r="G42" i="20"/>
  <c r="I42" i="20"/>
  <c r="J42" i="20"/>
  <c r="B43" i="20"/>
  <c r="C43" i="20"/>
  <c r="D43" i="20"/>
  <c r="E43" i="20"/>
  <c r="F43" i="20"/>
  <c r="G43" i="20"/>
  <c r="H43" i="20"/>
  <c r="K43" i="20"/>
  <c r="N43" i="20"/>
  <c r="O43" i="20" s="1"/>
  <c r="G44" i="20"/>
  <c r="I44" i="20"/>
  <c r="J44" i="20"/>
  <c r="G45" i="20"/>
  <c r="I45" i="20"/>
  <c r="J45" i="20"/>
  <c r="G46" i="20"/>
  <c r="I46" i="20"/>
  <c r="J46" i="20"/>
  <c r="G47" i="20"/>
  <c r="I47" i="20"/>
  <c r="J47" i="20"/>
  <c r="G48" i="20"/>
  <c r="I48" i="20"/>
  <c r="J48" i="20"/>
  <c r="G49" i="20"/>
  <c r="I49" i="20"/>
  <c r="J49" i="20"/>
  <c r="I50" i="20"/>
  <c r="J50" i="20"/>
  <c r="B51" i="20"/>
  <c r="C51" i="20"/>
  <c r="D51" i="20"/>
  <c r="E51" i="20"/>
  <c r="F51" i="20"/>
  <c r="G51" i="20"/>
  <c r="H51" i="20"/>
  <c r="K51" i="20"/>
  <c r="G52" i="20"/>
  <c r="I52" i="20"/>
  <c r="J52" i="20"/>
  <c r="G53" i="20"/>
  <c r="I53" i="20"/>
  <c r="J53" i="20"/>
  <c r="G54" i="20"/>
  <c r="I54" i="20"/>
  <c r="J54" i="20"/>
  <c r="G55" i="20"/>
  <c r="I55" i="20"/>
  <c r="J55" i="20"/>
  <c r="G56" i="20"/>
  <c r="I56" i="20"/>
  <c r="J56" i="20"/>
  <c r="G57" i="20"/>
  <c r="I57" i="20"/>
  <c r="J57" i="20"/>
  <c r="G58" i="20"/>
  <c r="I58" i="20"/>
  <c r="J58" i="20"/>
  <c r="B59" i="20"/>
  <c r="C59" i="20"/>
  <c r="D59" i="20"/>
  <c r="E59" i="20"/>
  <c r="F59" i="20"/>
  <c r="G59" i="20"/>
  <c r="H59" i="20"/>
  <c r="K59" i="20"/>
  <c r="N59" i="20"/>
  <c r="O59" i="20" s="1"/>
  <c r="G60" i="20"/>
  <c r="I60" i="20"/>
  <c r="J60" i="20"/>
  <c r="G61" i="20"/>
  <c r="I61" i="20"/>
  <c r="J61" i="20"/>
  <c r="G62" i="20"/>
  <c r="I62" i="20"/>
  <c r="J62" i="20"/>
  <c r="J63" i="20"/>
  <c r="G64" i="20"/>
  <c r="I64" i="20"/>
  <c r="J64" i="20"/>
  <c r="G65" i="20"/>
  <c r="I65" i="20" s="1"/>
  <c r="J65" i="20" s="1"/>
  <c r="G66" i="20"/>
  <c r="I66" i="20" s="1"/>
  <c r="J66" i="20" s="1"/>
  <c r="B67" i="20"/>
  <c r="C67" i="20"/>
  <c r="D67" i="20"/>
  <c r="E67" i="20"/>
  <c r="F67" i="20"/>
  <c r="H67" i="20"/>
  <c r="K67" i="20"/>
  <c r="N67" i="20"/>
  <c r="O67" i="20" s="1"/>
  <c r="G68" i="20"/>
  <c r="I68" i="20"/>
  <c r="J68" i="20"/>
  <c r="G69" i="20"/>
  <c r="I69" i="20"/>
  <c r="J69" i="20"/>
  <c r="G70" i="20"/>
  <c r="I70" i="20"/>
  <c r="J70" i="20"/>
  <c r="G71" i="20"/>
  <c r="I71" i="20"/>
  <c r="J71" i="20"/>
  <c r="G72" i="20"/>
  <c r="I72" i="20"/>
  <c r="J72" i="20"/>
  <c r="G73" i="20"/>
  <c r="I73" i="20"/>
  <c r="J73" i="20"/>
  <c r="G74" i="20"/>
  <c r="I74" i="20"/>
  <c r="B75" i="20"/>
  <c r="C75" i="20"/>
  <c r="G75" i="20" s="1"/>
  <c r="D75" i="20"/>
  <c r="E75" i="20"/>
  <c r="F75" i="20"/>
  <c r="H75" i="20"/>
  <c r="K75" i="20"/>
  <c r="N75" i="20"/>
  <c r="O75" i="20" s="1"/>
  <c r="G76" i="20"/>
  <c r="I76" i="20" s="1"/>
  <c r="J76" i="20" s="1"/>
  <c r="G77" i="20"/>
  <c r="I77" i="20"/>
  <c r="J77" i="20"/>
  <c r="G78" i="20"/>
  <c r="I78" i="20"/>
  <c r="G79" i="20"/>
  <c r="I79" i="20"/>
  <c r="G80" i="20"/>
  <c r="I80" i="20"/>
  <c r="J80" i="20"/>
  <c r="G81" i="20"/>
  <c r="I81" i="20"/>
  <c r="D83" i="20"/>
  <c r="E83" i="20"/>
  <c r="G84" i="20"/>
  <c r="I84" i="20"/>
  <c r="J84" i="20"/>
  <c r="G85" i="20"/>
  <c r="I85" i="20"/>
  <c r="J85" i="20"/>
  <c r="G86" i="20"/>
  <c r="I86" i="20"/>
  <c r="J86" i="20" s="1"/>
  <c r="G87" i="20"/>
  <c r="I87" i="20"/>
  <c r="J87" i="20" s="1"/>
  <c r="G88" i="20"/>
  <c r="I88" i="20"/>
  <c r="J88" i="20" s="1"/>
  <c r="G89" i="20"/>
  <c r="I89" i="20"/>
  <c r="J89" i="20"/>
  <c r="G90" i="20"/>
  <c r="I90" i="20"/>
  <c r="J90" i="20"/>
  <c r="B91" i="20"/>
  <c r="B83" i="20" s="1"/>
  <c r="C91" i="20"/>
  <c r="C83" i="20" s="1"/>
  <c r="D91" i="20"/>
  <c r="E91" i="20"/>
  <c r="F91" i="20"/>
  <c r="F83" i="20" s="1"/>
  <c r="H91" i="20"/>
  <c r="K91" i="20"/>
  <c r="N91" i="20"/>
  <c r="O91" i="20" s="1"/>
  <c r="G92" i="20"/>
  <c r="I92" i="20"/>
  <c r="J92" i="20"/>
  <c r="G93" i="20"/>
  <c r="I93" i="20"/>
  <c r="J93" i="20"/>
  <c r="G94" i="20"/>
  <c r="I94" i="20"/>
  <c r="J94" i="20"/>
  <c r="J95" i="20"/>
  <c r="J96" i="20"/>
  <c r="G97" i="20"/>
  <c r="G98" i="20"/>
  <c r="I98" i="20"/>
  <c r="J98" i="20"/>
  <c r="B115" i="20"/>
  <c r="C115" i="20"/>
  <c r="D115" i="20"/>
  <c r="E115" i="20"/>
  <c r="F115" i="20"/>
  <c r="G115" i="20"/>
  <c r="H115" i="20"/>
  <c r="K115" i="20"/>
  <c r="N115" i="20"/>
  <c r="O115" i="20"/>
  <c r="G116" i="20"/>
  <c r="I116" i="20"/>
  <c r="J116" i="20"/>
  <c r="G117" i="20"/>
  <c r="I117" i="20"/>
  <c r="J117" i="20"/>
  <c r="G118" i="20"/>
  <c r="I118" i="20"/>
  <c r="J118" i="20"/>
  <c r="G119" i="20"/>
  <c r="I119" i="20"/>
  <c r="J119" i="20"/>
  <c r="G120" i="20"/>
  <c r="I120" i="20"/>
  <c r="J120" i="20"/>
  <c r="G121" i="20"/>
  <c r="I121" i="20"/>
  <c r="J121" i="20"/>
  <c r="G122" i="20"/>
  <c r="I122" i="20"/>
  <c r="J122" i="20"/>
  <c r="B99" i="20"/>
  <c r="C99" i="20"/>
  <c r="E99" i="20"/>
  <c r="F99" i="20"/>
  <c r="G99" i="20"/>
  <c r="H99" i="20"/>
  <c r="K99" i="20"/>
  <c r="N99" i="20"/>
  <c r="O99" i="20" s="1"/>
  <c r="G100" i="20"/>
  <c r="I100" i="20" s="1"/>
  <c r="J100" i="20" s="1"/>
  <c r="G101" i="20"/>
  <c r="I101" i="20"/>
  <c r="J101" i="20"/>
  <c r="G102" i="20"/>
  <c r="I102" i="20"/>
  <c r="J102" i="20"/>
  <c r="G103" i="20"/>
  <c r="I103" i="20"/>
  <c r="J103" i="20"/>
  <c r="G104" i="20"/>
  <c r="I104" i="20"/>
  <c r="J104" i="20"/>
  <c r="G105" i="20"/>
  <c r="I105" i="20"/>
  <c r="J105" i="20"/>
  <c r="G106" i="20"/>
  <c r="I106" i="20"/>
  <c r="J106" i="20"/>
  <c r="B107" i="20"/>
  <c r="C107" i="20"/>
  <c r="E107" i="20"/>
  <c r="F107" i="20"/>
  <c r="H107" i="20"/>
  <c r="K107" i="20"/>
  <c r="N107" i="20"/>
  <c r="O107" i="20" s="1"/>
  <c r="G108" i="20"/>
  <c r="I108" i="20"/>
  <c r="J108" i="20"/>
  <c r="G109" i="20"/>
  <c r="I109" i="20"/>
  <c r="J109" i="20"/>
  <c r="G110" i="20"/>
  <c r="I110" i="20"/>
  <c r="J110" i="20"/>
  <c r="G111" i="20"/>
  <c r="I111" i="20"/>
  <c r="J111" i="20"/>
  <c r="G112" i="20"/>
  <c r="I112" i="20"/>
  <c r="J112" i="20"/>
  <c r="G113" i="20"/>
  <c r="I113" i="20"/>
  <c r="J113" i="20"/>
  <c r="G114" i="20"/>
  <c r="I114" i="20"/>
  <c r="J114" i="20"/>
  <c r="D123" i="20"/>
  <c r="G123" i="20"/>
  <c r="O123" i="20"/>
  <c r="G124" i="20"/>
  <c r="I124" i="20" s="1"/>
  <c r="G125" i="20"/>
  <c r="I125" i="20"/>
  <c r="J125" i="20"/>
  <c r="G126" i="20"/>
  <c r="I126" i="20"/>
  <c r="J126" i="20"/>
  <c r="G127" i="20"/>
  <c r="I127" i="20"/>
  <c r="J127" i="20"/>
  <c r="G128" i="20"/>
  <c r="I128" i="20"/>
  <c r="J128" i="20"/>
  <c r="G129" i="20"/>
  <c r="I129" i="20"/>
  <c r="J129" i="20"/>
  <c r="G130" i="20"/>
  <c r="I130" i="20"/>
  <c r="J130" i="20"/>
  <c r="B131" i="20"/>
  <c r="C131" i="20"/>
  <c r="D131" i="20"/>
  <c r="E131" i="20"/>
  <c r="F131" i="20"/>
  <c r="G131" i="20"/>
  <c r="H131" i="20"/>
  <c r="K131" i="20"/>
  <c r="N131" i="20"/>
  <c r="G132" i="20"/>
  <c r="I132" i="20"/>
  <c r="J132" i="20"/>
  <c r="G133" i="20"/>
  <c r="I133" i="20"/>
  <c r="J133" i="20"/>
  <c r="G134" i="20"/>
  <c r="I134" i="20"/>
  <c r="J134" i="20"/>
  <c r="G135" i="20"/>
  <c r="I135" i="20"/>
  <c r="J135" i="20"/>
  <c r="G136" i="20"/>
  <c r="I136" i="20"/>
  <c r="J136" i="20"/>
  <c r="G137" i="20"/>
  <c r="I137" i="20"/>
  <c r="J137" i="20"/>
  <c r="G138" i="20"/>
  <c r="I138" i="20"/>
  <c r="J138" i="20"/>
  <c r="D139" i="20"/>
  <c r="G139" i="20"/>
  <c r="O139" i="20"/>
  <c r="G140" i="20"/>
  <c r="I140" i="20" s="1"/>
  <c r="G141" i="20"/>
  <c r="I141" i="20"/>
  <c r="J141" i="20"/>
  <c r="G142" i="20"/>
  <c r="I142" i="20"/>
  <c r="J142" i="20"/>
  <c r="G143" i="20"/>
  <c r="I143" i="20"/>
  <c r="J143" i="20"/>
  <c r="G144" i="20"/>
  <c r="I144" i="20"/>
  <c r="J144" i="20"/>
  <c r="G145" i="20"/>
  <c r="I145" i="20"/>
  <c r="J145" i="20"/>
  <c r="G146" i="20"/>
  <c r="I146" i="20"/>
  <c r="J146" i="20"/>
  <c r="D147" i="20"/>
  <c r="H147" i="20"/>
  <c r="G148" i="20"/>
  <c r="I148" i="20"/>
  <c r="J148" i="20"/>
  <c r="G149" i="20"/>
  <c r="I149" i="20"/>
  <c r="J149" i="20"/>
  <c r="G150" i="20"/>
  <c r="I150" i="20"/>
  <c r="J150" i="20"/>
  <c r="G151" i="20"/>
  <c r="I151" i="20"/>
  <c r="J151" i="20"/>
  <c r="G152" i="20"/>
  <c r="I152" i="20"/>
  <c r="J152" i="20"/>
  <c r="G153" i="20"/>
  <c r="I153" i="20"/>
  <c r="J153" i="20"/>
  <c r="G154" i="20"/>
  <c r="I154" i="20"/>
  <c r="J154" i="20"/>
  <c r="B155" i="20"/>
  <c r="C155" i="20"/>
  <c r="D155" i="20"/>
  <c r="E155" i="20"/>
  <c r="F155" i="20"/>
  <c r="H155" i="20"/>
  <c r="K155" i="20"/>
  <c r="N155" i="20"/>
  <c r="O155" i="20" s="1"/>
  <c r="G156" i="20"/>
  <c r="I156" i="20"/>
  <c r="J156" i="20"/>
  <c r="G157" i="20"/>
  <c r="I157" i="20"/>
  <c r="J157" i="20"/>
  <c r="G158" i="20"/>
  <c r="I158" i="20"/>
  <c r="J158" i="20"/>
  <c r="G159" i="20"/>
  <c r="I159" i="20"/>
  <c r="J159" i="20"/>
  <c r="G160" i="20"/>
  <c r="I160" i="20"/>
  <c r="J160" i="20"/>
  <c r="G161" i="20"/>
  <c r="I161" i="20"/>
  <c r="J161" i="20"/>
  <c r="G162" i="20"/>
  <c r="I162" i="20"/>
  <c r="J162" i="20"/>
  <c r="B178" i="20"/>
  <c r="C178" i="20"/>
  <c r="D178" i="20"/>
  <c r="E178" i="20"/>
  <c r="F178" i="20"/>
  <c r="G178" i="20"/>
  <c r="H178" i="20"/>
  <c r="G179" i="20"/>
  <c r="I179" i="20" s="1"/>
  <c r="J179" i="20" s="1"/>
  <c r="G180" i="20"/>
  <c r="I180" i="20"/>
  <c r="J180" i="20"/>
  <c r="G181" i="20"/>
  <c r="J181" i="20"/>
  <c r="G182" i="20"/>
  <c r="I182" i="20"/>
  <c r="G183" i="20"/>
  <c r="I183" i="20"/>
  <c r="J183" i="20"/>
  <c r="G184" i="20"/>
  <c r="I184" i="20"/>
  <c r="J184" i="20"/>
  <c r="G185" i="20"/>
  <c r="I185" i="20"/>
  <c r="J185" i="20"/>
  <c r="D171" i="20"/>
  <c r="G172" i="20"/>
  <c r="I172" i="20" s="1"/>
  <c r="G173" i="20"/>
  <c r="I173" i="20"/>
  <c r="J173" i="20"/>
  <c r="G174" i="20"/>
  <c r="I174" i="20"/>
  <c r="J174" i="20"/>
  <c r="G175" i="20"/>
  <c r="I175" i="20"/>
  <c r="J175" i="20"/>
  <c r="G176" i="20"/>
  <c r="I176" i="20"/>
  <c r="J176" i="20"/>
  <c r="B194" i="20"/>
  <c r="C194" i="20"/>
  <c r="D194" i="20"/>
  <c r="E194" i="20"/>
  <c r="F194" i="20"/>
  <c r="G194" i="20"/>
  <c r="H194" i="20"/>
  <c r="K194" i="20"/>
  <c r="N194" i="20"/>
  <c r="O194" i="20" s="1"/>
  <c r="G195" i="20"/>
  <c r="I195" i="20"/>
  <c r="J195" i="20"/>
  <c r="G196" i="20"/>
  <c r="I196" i="20"/>
  <c r="J196" i="20"/>
  <c r="G197" i="20"/>
  <c r="I197" i="20"/>
  <c r="J197" i="20"/>
  <c r="G198" i="20"/>
  <c r="I198" i="20"/>
  <c r="J198" i="20"/>
  <c r="G199" i="20"/>
  <c r="I199" i="20"/>
  <c r="J199" i="20"/>
  <c r="G201" i="20"/>
  <c r="I201" i="20" s="1"/>
  <c r="J201" i="20" s="1"/>
  <c r="B210" i="20"/>
  <c r="C210" i="20"/>
  <c r="D210" i="20"/>
  <c r="E210" i="20"/>
  <c r="F210" i="20"/>
  <c r="G210" i="20"/>
  <c r="H210" i="20"/>
  <c r="K210" i="20"/>
  <c r="N210" i="20"/>
  <c r="O210" i="20" s="1"/>
  <c r="G211" i="20"/>
  <c r="I211" i="20"/>
  <c r="J211" i="20"/>
  <c r="G212" i="20"/>
  <c r="I212" i="20"/>
  <c r="J212" i="20"/>
  <c r="G213" i="20"/>
  <c r="I213" i="20"/>
  <c r="J213" i="20"/>
  <c r="G214" i="20"/>
  <c r="I214" i="20"/>
  <c r="J214" i="20"/>
  <c r="G215" i="20"/>
  <c r="I215" i="20"/>
  <c r="J215" i="20"/>
  <c r="D218" i="20"/>
  <c r="G219" i="20"/>
  <c r="I219" i="20"/>
  <c r="J219" i="20"/>
  <c r="G220" i="20"/>
  <c r="I220" i="20"/>
  <c r="J220" i="20"/>
  <c r="G221" i="20"/>
  <c r="I221" i="20"/>
  <c r="J221" i="20"/>
  <c r="G222" i="20"/>
  <c r="I222" i="20"/>
  <c r="J222" i="20"/>
  <c r="G223" i="20"/>
  <c r="I223" i="20"/>
  <c r="J223" i="20"/>
  <c r="D226" i="20"/>
  <c r="G226" i="20"/>
  <c r="G227" i="20"/>
  <c r="I227" i="20"/>
  <c r="J227" i="20"/>
  <c r="G228" i="20"/>
  <c r="I228" i="20"/>
  <c r="J228" i="20"/>
  <c r="G229" i="20"/>
  <c r="I229" i="20"/>
  <c r="J229" i="20"/>
  <c r="G230" i="20"/>
  <c r="I230" i="20"/>
  <c r="J230" i="20"/>
  <c r="G231" i="20"/>
  <c r="I231" i="20"/>
  <c r="J231" i="20"/>
  <c r="D297" i="20"/>
  <c r="G298" i="20"/>
  <c r="I298" i="20"/>
  <c r="J298" i="20"/>
  <c r="G299" i="20"/>
  <c r="I299" i="20"/>
  <c r="J299" i="20"/>
  <c r="G300" i="20"/>
  <c r="I300" i="20"/>
  <c r="J300" i="20"/>
  <c r="G301" i="20"/>
  <c r="I301" i="20"/>
  <c r="J301" i="20"/>
  <c r="G302" i="20"/>
  <c r="I302" i="20"/>
  <c r="J302" i="20"/>
  <c r="N78" i="19"/>
  <c r="N77" i="19"/>
  <c r="N269" i="19"/>
  <c r="N274" i="19"/>
  <c r="N273" i="19"/>
  <c r="N79" i="19"/>
  <c r="N97" i="19"/>
  <c r="N137" i="19"/>
  <c r="N134" i="19"/>
  <c r="N133" i="19"/>
  <c r="N112" i="19"/>
  <c r="N34" i="17"/>
  <c r="N29" i="17"/>
  <c r="N30" i="17"/>
  <c r="N6" i="19"/>
  <c r="N26" i="19"/>
  <c r="G73" i="19"/>
  <c r="I73" i="19" s="1"/>
  <c r="J73" i="19" s="1"/>
  <c r="N131" i="19"/>
  <c r="N227" i="19"/>
  <c r="N275" i="19"/>
  <c r="N267" i="19"/>
  <c r="N259" i="19"/>
  <c r="N251" i="19"/>
  <c r="N178" i="19"/>
  <c r="N90" i="19"/>
  <c r="N42" i="19"/>
  <c r="N41" i="19"/>
  <c r="N40" i="19"/>
  <c r="N39" i="19"/>
  <c r="N33" i="19"/>
  <c r="N15" i="19"/>
  <c r="N74" i="19"/>
  <c r="N73" i="19"/>
  <c r="N88" i="19"/>
  <c r="G90" i="19"/>
  <c r="I90" i="19" s="1"/>
  <c r="J90" i="19" s="1"/>
  <c r="G88" i="19"/>
  <c r="I88" i="19" s="1"/>
  <c r="J88" i="19" s="1"/>
  <c r="G87" i="19"/>
  <c r="I87" i="19" s="1"/>
  <c r="J87" i="19" s="1"/>
  <c r="G86" i="19"/>
  <c r="I86" i="19" s="1"/>
  <c r="J86" i="19" s="1"/>
  <c r="G85" i="19"/>
  <c r="I85" i="19" s="1"/>
  <c r="J85" i="19" s="1"/>
  <c r="G84" i="19"/>
  <c r="I84" i="19" s="1"/>
  <c r="J84" i="19" s="1"/>
  <c r="N83" i="19"/>
  <c r="O83" i="19" s="1"/>
  <c r="K83" i="19"/>
  <c r="J83" i="19"/>
  <c r="M83" i="19" s="1"/>
  <c r="I83" i="19"/>
  <c r="H83" i="19"/>
  <c r="F83" i="19"/>
  <c r="E83" i="19"/>
  <c r="D83" i="19"/>
  <c r="C83" i="19"/>
  <c r="B83" i="19"/>
  <c r="G83" i="19" s="1"/>
  <c r="G74" i="19"/>
  <c r="I74" i="19" s="1"/>
  <c r="J74" i="19" s="1"/>
  <c r="G72" i="19"/>
  <c r="I72" i="19" s="1"/>
  <c r="J72" i="19" s="1"/>
  <c r="G71" i="19"/>
  <c r="I71" i="19" s="1"/>
  <c r="J71" i="19" s="1"/>
  <c r="G70" i="19"/>
  <c r="I70" i="19" s="1"/>
  <c r="J70" i="19" s="1"/>
  <c r="G69" i="19"/>
  <c r="I69" i="19" s="1"/>
  <c r="J69" i="19" s="1"/>
  <c r="G68" i="19"/>
  <c r="I68" i="19" s="1"/>
  <c r="J68" i="19" s="1"/>
  <c r="N67" i="19"/>
  <c r="O67" i="19" s="1"/>
  <c r="K67" i="19"/>
  <c r="J67" i="19"/>
  <c r="M67" i="19" s="1"/>
  <c r="I67" i="19"/>
  <c r="H67" i="19"/>
  <c r="F67" i="19"/>
  <c r="E67" i="19"/>
  <c r="D67" i="19"/>
  <c r="C67" i="19"/>
  <c r="B67" i="19"/>
  <c r="G67" i="19" s="1"/>
  <c r="N225" i="19"/>
  <c r="N226" i="19"/>
  <c r="N234" i="19"/>
  <c r="N233" i="19"/>
  <c r="N250" i="19"/>
  <c r="N249" i="19"/>
  <c r="N242" i="19"/>
  <c r="N241" i="19"/>
  <c r="N282" i="19"/>
  <c r="N281" i="19"/>
  <c r="N290" i="19"/>
  <c r="N161" i="19"/>
  <c r="N154" i="19"/>
  <c r="N266" i="19"/>
  <c r="N265" i="19"/>
  <c r="N258" i="19"/>
  <c r="N257" i="19"/>
  <c r="N202" i="19"/>
  <c r="N201" i="19"/>
  <c r="N194" i="19"/>
  <c r="N193" i="19"/>
  <c r="N177" i="19"/>
  <c r="N176" i="19"/>
  <c r="N153" i="19"/>
  <c r="N32" i="19"/>
  <c r="N130" i="19"/>
  <c r="N146" i="19"/>
  <c r="N121" i="19"/>
  <c r="N31" i="19"/>
  <c r="N17" i="19"/>
  <c r="N16" i="19"/>
  <c r="N8" i="19"/>
  <c r="C124" i="19"/>
  <c r="B124" i="19"/>
  <c r="G42" i="19"/>
  <c r="H100" i="19"/>
  <c r="H92" i="19"/>
  <c r="H150" i="19"/>
  <c r="H160" i="19"/>
  <c r="G194" i="19"/>
  <c r="I194" i="19" s="1"/>
  <c r="J194" i="19" s="1"/>
  <c r="G202" i="19"/>
  <c r="I202" i="19" s="1"/>
  <c r="J202" i="19" s="1"/>
  <c r="G203" i="19"/>
  <c r="I203" i="19" s="1"/>
  <c r="J203" i="19" s="1"/>
  <c r="G226" i="19"/>
  <c r="I226" i="19" s="1"/>
  <c r="J226" i="19" s="1"/>
  <c r="G227" i="19"/>
  <c r="I227" i="19" s="1"/>
  <c r="J227" i="19" s="1"/>
  <c r="H225" i="19"/>
  <c r="G225" i="19"/>
  <c r="I225" i="19" s="1"/>
  <c r="J225" i="19" s="1"/>
  <c r="N224" i="19"/>
  <c r="G224" i="19"/>
  <c r="I224" i="19" s="1"/>
  <c r="J224" i="19" s="1"/>
  <c r="N223" i="19"/>
  <c r="G223" i="19"/>
  <c r="I223" i="19" s="1"/>
  <c r="J223" i="19" s="1"/>
  <c r="G222" i="19"/>
  <c r="I222" i="19" s="1"/>
  <c r="J222" i="19" s="1"/>
  <c r="G221" i="19"/>
  <c r="I221" i="19" s="1"/>
  <c r="J221" i="19" s="1"/>
  <c r="N220" i="19"/>
  <c r="O220" i="19" s="1"/>
  <c r="K220" i="19"/>
  <c r="J220" i="19"/>
  <c r="M220" i="19" s="1"/>
  <c r="I220" i="19"/>
  <c r="H220" i="19"/>
  <c r="F220" i="19"/>
  <c r="E220" i="19"/>
  <c r="D220" i="19"/>
  <c r="C220" i="19"/>
  <c r="B220" i="19"/>
  <c r="G220" i="19" s="1"/>
  <c r="H251" i="19"/>
  <c r="H250" i="19"/>
  <c r="H247" i="19"/>
  <c r="H246" i="19"/>
  <c r="G259" i="19"/>
  <c r="I259" i="19" s="1"/>
  <c r="H274" i="19"/>
  <c r="H269" i="19"/>
  <c r="H290" i="19"/>
  <c r="G289" i="19"/>
  <c r="I289" i="19" s="1"/>
  <c r="J289" i="19" s="1"/>
  <c r="G290" i="19"/>
  <c r="I290" i="19" s="1"/>
  <c r="J290" i="19" s="1"/>
  <c r="G291" i="19"/>
  <c r="I291" i="19" s="1"/>
  <c r="J291" i="19" s="1"/>
  <c r="H288" i="19"/>
  <c r="H7" i="19"/>
  <c r="H25" i="19"/>
  <c r="J259" i="19"/>
  <c r="G253" i="19"/>
  <c r="G254" i="19"/>
  <c r="G232" i="19"/>
  <c r="G233" i="19"/>
  <c r="G234" i="19"/>
  <c r="G235" i="19"/>
  <c r="I232" i="19"/>
  <c r="I233" i="19"/>
  <c r="I234" i="19"/>
  <c r="J234" i="19" s="1"/>
  <c r="I235" i="19"/>
  <c r="K172" i="19"/>
  <c r="K148" i="19"/>
  <c r="F148" i="19"/>
  <c r="E148" i="19"/>
  <c r="C148" i="19"/>
  <c r="B148" i="19"/>
  <c r="K140" i="19"/>
  <c r="H140" i="19"/>
  <c r="F140" i="19"/>
  <c r="C140" i="19"/>
  <c r="B140" i="19"/>
  <c r="H132" i="19"/>
  <c r="K132" i="19"/>
  <c r="C132" i="19"/>
  <c r="B132" i="19"/>
  <c r="K124" i="19"/>
  <c r="H124" i="19"/>
  <c r="G94" i="19"/>
  <c r="I94" i="19" s="1"/>
  <c r="G95" i="19"/>
  <c r="I95" i="19" s="1"/>
  <c r="G96" i="19"/>
  <c r="I96" i="19" s="1"/>
  <c r="G97" i="19"/>
  <c r="I97" i="19" s="1"/>
  <c r="J97" i="19" s="1"/>
  <c r="G98" i="19"/>
  <c r="I98" i="19" s="1"/>
  <c r="C75" i="19"/>
  <c r="B75" i="19"/>
  <c r="H75" i="19"/>
  <c r="C19" i="19"/>
  <c r="B19" i="19"/>
  <c r="G7" i="19"/>
  <c r="I7" i="19" s="1"/>
  <c r="J7" i="19" s="1"/>
  <c r="G4" i="19"/>
  <c r="I4" i="19"/>
  <c r="C3" i="19"/>
  <c r="G288" i="19"/>
  <c r="I288" i="19" s="1"/>
  <c r="J288" i="19" s="1"/>
  <c r="G287" i="19"/>
  <c r="I287" i="19" s="1"/>
  <c r="J287" i="19" s="1"/>
  <c r="G286" i="19"/>
  <c r="I286" i="19" s="1"/>
  <c r="J286" i="19" s="1"/>
  <c r="G285" i="19"/>
  <c r="I285" i="19" s="1"/>
  <c r="J285" i="19" s="1"/>
  <c r="N284" i="19"/>
  <c r="O284" i="19" s="1"/>
  <c r="K284" i="19"/>
  <c r="J284" i="19"/>
  <c r="M284" i="19" s="1"/>
  <c r="I284" i="19"/>
  <c r="H284" i="19"/>
  <c r="F284" i="19"/>
  <c r="E284" i="19"/>
  <c r="D284" i="19"/>
  <c r="C284" i="19"/>
  <c r="B284" i="19"/>
  <c r="G284" i="19" s="1"/>
  <c r="N232" i="19"/>
  <c r="N192" i="19"/>
  <c r="N136" i="19"/>
  <c r="N280" i="19"/>
  <c r="N264" i="19"/>
  <c r="N256" i="19"/>
  <c r="N248" i="19"/>
  <c r="N240" i="19"/>
  <c r="N216" i="19"/>
  <c r="N208" i="19"/>
  <c r="N200" i="19"/>
  <c r="N175" i="19"/>
  <c r="N174" i="19"/>
  <c r="N160" i="19"/>
  <c r="N145" i="19"/>
  <c r="N144" i="19"/>
  <c r="N111" i="19"/>
  <c r="N120" i="19"/>
  <c r="N30" i="19"/>
  <c r="N7" i="19"/>
  <c r="F75" i="17"/>
  <c r="C75" i="17"/>
  <c r="B75" i="17"/>
  <c r="C19" i="17"/>
  <c r="B19" i="17"/>
  <c r="K75" i="17"/>
  <c r="K115" i="17"/>
  <c r="K123" i="17"/>
  <c r="I260" i="17"/>
  <c r="J260" i="17"/>
  <c r="K260" i="17"/>
  <c r="L260" i="17"/>
  <c r="M260" i="17"/>
  <c r="H260" i="17"/>
  <c r="O251" i="17"/>
  <c r="O243" i="17"/>
  <c r="O235" i="17"/>
  <c r="O227" i="17"/>
  <c r="O219" i="17"/>
  <c r="O211" i="17"/>
  <c r="O203" i="17"/>
  <c r="O195" i="17"/>
  <c r="O179" i="17"/>
  <c r="O171" i="17"/>
  <c r="N155" i="17"/>
  <c r="O155" i="17"/>
  <c r="O147" i="17"/>
  <c r="K139" i="17"/>
  <c r="O139" i="17"/>
  <c r="N131" i="17"/>
  <c r="O131" i="17"/>
  <c r="N123" i="17"/>
  <c r="O123" i="17"/>
  <c r="N115" i="17"/>
  <c r="O115" i="17"/>
  <c r="O99" i="17"/>
  <c r="O91" i="17"/>
  <c r="O83" i="17"/>
  <c r="N75" i="17"/>
  <c r="O75" i="17"/>
  <c r="O35" i="17"/>
  <c r="O19" i="17"/>
  <c r="O11" i="17"/>
  <c r="O3" i="17"/>
  <c r="G179" i="19"/>
  <c r="G178" i="19"/>
  <c r="G177" i="19"/>
  <c r="G176" i="19"/>
  <c r="I176" i="19" s="1"/>
  <c r="J176" i="19" s="1"/>
  <c r="G175" i="19"/>
  <c r="I175" i="19" s="1"/>
  <c r="J175" i="19" s="1"/>
  <c r="G174" i="19"/>
  <c r="I174" i="19" s="1"/>
  <c r="J174" i="19" s="1"/>
  <c r="G173" i="19"/>
  <c r="I173" i="19" s="1"/>
  <c r="J173" i="19" s="1"/>
  <c r="N172" i="19"/>
  <c r="O172" i="19" s="1"/>
  <c r="H172" i="19"/>
  <c r="F172" i="19"/>
  <c r="E172" i="19"/>
  <c r="D172" i="19"/>
  <c r="C172" i="19"/>
  <c r="B172" i="19"/>
  <c r="G177" i="17"/>
  <c r="G176" i="17"/>
  <c r="N279" i="19"/>
  <c r="N278" i="19"/>
  <c r="N239" i="19"/>
  <c r="N263" i="19"/>
  <c r="N247" i="19"/>
  <c r="N255" i="19"/>
  <c r="N215" i="19"/>
  <c r="G197" i="19"/>
  <c r="I197" i="19"/>
  <c r="J197" i="19"/>
  <c r="G198" i="19"/>
  <c r="I198" i="19"/>
  <c r="J198" i="19"/>
  <c r="N198" i="19"/>
  <c r="G199" i="19"/>
  <c r="I199" i="19"/>
  <c r="J199" i="19"/>
  <c r="N199" i="19"/>
  <c r="G200" i="19"/>
  <c r="I200" i="19" s="1"/>
  <c r="J200" i="19" s="1"/>
  <c r="G201" i="19"/>
  <c r="I201" i="19"/>
  <c r="J201" i="19"/>
  <c r="B204" i="19"/>
  <c r="C204" i="19"/>
  <c r="D204" i="19"/>
  <c r="E204" i="19"/>
  <c r="F204" i="19"/>
  <c r="G204" i="19"/>
  <c r="H204" i="19"/>
  <c r="K204" i="19"/>
  <c r="N191" i="19"/>
  <c r="N127" i="19"/>
  <c r="N159" i="19"/>
  <c r="N152" i="19"/>
  <c r="N143" i="19"/>
  <c r="N135" i="19"/>
  <c r="N110" i="19"/>
  <c r="N29" i="19"/>
  <c r="N27" i="19" s="1"/>
  <c r="O27" i="19" s="1"/>
  <c r="N14" i="19"/>
  <c r="N87" i="17"/>
  <c r="N132" i="19"/>
  <c r="O132" i="19" s="1"/>
  <c r="N227" i="17"/>
  <c r="N234" i="17"/>
  <c r="N254" i="19"/>
  <c r="N252" i="19" s="1"/>
  <c r="O252" i="19" s="1"/>
  <c r="N238" i="19"/>
  <c r="N230" i="19"/>
  <c r="N206" i="19"/>
  <c r="N190" i="19"/>
  <c r="N158" i="19"/>
  <c r="N151" i="19"/>
  <c r="N150" i="19"/>
  <c r="N148" i="19" s="1"/>
  <c r="O148" i="19" s="1"/>
  <c r="N142" i="19"/>
  <c r="N140" i="19" s="1"/>
  <c r="O140" i="19" s="1"/>
  <c r="N126" i="19"/>
  <c r="N124" i="19" s="1"/>
  <c r="O124" i="19" s="1"/>
  <c r="G42" i="17"/>
  <c r="G41" i="17"/>
  <c r="I237" i="17"/>
  <c r="I238" i="17"/>
  <c r="I239" i="17"/>
  <c r="I240" i="17"/>
  <c r="I241" i="17"/>
  <c r="I242" i="17"/>
  <c r="J227" i="17"/>
  <c r="I227" i="17"/>
  <c r="I211" i="17"/>
  <c r="J204" i="17"/>
  <c r="J205" i="17"/>
  <c r="J206" i="17"/>
  <c r="J207" i="17"/>
  <c r="J208" i="17"/>
  <c r="J209" i="17"/>
  <c r="J210" i="17"/>
  <c r="I204" i="17"/>
  <c r="I205" i="17"/>
  <c r="I206" i="17"/>
  <c r="I207" i="17"/>
  <c r="I208" i="17"/>
  <c r="I209" i="17"/>
  <c r="I210" i="17"/>
  <c r="J180" i="17"/>
  <c r="J181" i="17"/>
  <c r="J182" i="17"/>
  <c r="J183" i="17"/>
  <c r="J184" i="17"/>
  <c r="J185" i="17"/>
  <c r="J186" i="17"/>
  <c r="I185" i="17"/>
  <c r="I183" i="17"/>
  <c r="I179" i="17" s="1"/>
  <c r="I177" i="17"/>
  <c r="J177" i="17" s="1"/>
  <c r="H123" i="17"/>
  <c r="J123" i="17"/>
  <c r="I123" i="17"/>
  <c r="J78" i="17"/>
  <c r="I82" i="17"/>
  <c r="I81" i="17"/>
  <c r="I80" i="17"/>
  <c r="I79" i="17"/>
  <c r="I78" i="17"/>
  <c r="I77" i="17"/>
  <c r="H75" i="17"/>
  <c r="J27" i="17"/>
  <c r="I27" i="17"/>
  <c r="H19" i="17"/>
  <c r="J26" i="17"/>
  <c r="J25" i="17"/>
  <c r="J24" i="17"/>
  <c r="J23" i="17"/>
  <c r="J22" i="17"/>
  <c r="I25" i="17"/>
  <c r="I24" i="17"/>
  <c r="I23" i="17"/>
  <c r="I22" i="17"/>
  <c r="I21" i="17"/>
  <c r="J5" i="17"/>
  <c r="J7" i="17"/>
  <c r="J8" i="17"/>
  <c r="J9" i="17"/>
  <c r="J10" i="17"/>
  <c r="N104" i="17"/>
  <c r="N81" i="17"/>
  <c r="N42" i="17"/>
  <c r="N40" i="17"/>
  <c r="N27" i="17"/>
  <c r="N222" i="17"/>
  <c r="N221" i="17"/>
  <c r="B179" i="17"/>
  <c r="G229" i="17"/>
  <c r="G228" i="17"/>
  <c r="I228" i="17" s="1"/>
  <c r="J228" i="17" s="1"/>
  <c r="I229" i="17"/>
  <c r="J230" i="17"/>
  <c r="J231" i="17"/>
  <c r="J234" i="17"/>
  <c r="J233" i="17"/>
  <c r="J232" i="17"/>
  <c r="G234" i="17"/>
  <c r="I234" i="17" s="1"/>
  <c r="G233" i="17"/>
  <c r="B243" i="17"/>
  <c r="N171" i="17"/>
  <c r="H171" i="17"/>
  <c r="F171" i="17"/>
  <c r="D171" i="17"/>
  <c r="B171" i="17"/>
  <c r="N238" i="17"/>
  <c r="N22" i="17"/>
  <c r="N19" i="17" s="1"/>
  <c r="N23" i="17"/>
  <c r="N15" i="17"/>
  <c r="N77" i="17"/>
  <c r="I3" i="17"/>
  <c r="K19" i="17"/>
  <c r="D19" i="17"/>
  <c r="F19" i="17"/>
  <c r="E19" i="17"/>
  <c r="G26" i="17"/>
  <c r="I26" i="17" s="1"/>
  <c r="N92" i="17"/>
  <c r="N179" i="17"/>
  <c r="N175" i="17"/>
  <c r="N255" i="17"/>
  <c r="N246" i="17"/>
  <c r="N239" i="17"/>
  <c r="N231" i="17"/>
  <c r="N207" i="17"/>
  <c r="N198" i="17"/>
  <c r="N197" i="17"/>
  <c r="N196" i="17"/>
  <c r="N191" i="17"/>
  <c r="N135" i="17"/>
  <c r="N127" i="17"/>
  <c r="N119" i="17"/>
  <c r="N102" i="17"/>
  <c r="N39" i="17"/>
  <c r="N7" i="17"/>
  <c r="N173" i="16"/>
  <c r="N178" i="16"/>
  <c r="N254" i="17"/>
  <c r="N251" i="17" s="1"/>
  <c r="N237" i="17"/>
  <c r="N235" i="17" s="1"/>
  <c r="N245" i="17"/>
  <c r="N244" i="17"/>
  <c r="N230" i="17"/>
  <c r="N229" i="17"/>
  <c r="N213" i="17"/>
  <c r="N211" i="17" s="1"/>
  <c r="N206" i="17"/>
  <c r="N203" i="17" s="1"/>
  <c r="N205" i="17"/>
  <c r="N204" i="17"/>
  <c r="N190" i="17"/>
  <c r="N189" i="17"/>
  <c r="N188" i="17"/>
  <c r="N174" i="17"/>
  <c r="N156" i="17"/>
  <c r="N150" i="17"/>
  <c r="N151" i="17"/>
  <c r="N134" i="17"/>
  <c r="N133" i="17"/>
  <c r="N132" i="17"/>
  <c r="N118" i="17"/>
  <c r="N117" i="17"/>
  <c r="N108" i="17"/>
  <c r="N107" i="17" s="1"/>
  <c r="O107" i="17" s="1"/>
  <c r="N101" i="17"/>
  <c r="N100" i="17"/>
  <c r="N90" i="16"/>
  <c r="N10" i="16"/>
  <c r="N66" i="16"/>
  <c r="N84" i="17"/>
  <c r="N6" i="17"/>
  <c r="N5" i="17"/>
  <c r="N3" i="17" s="1"/>
  <c r="N38" i="17"/>
  <c r="N37" i="17"/>
  <c r="G283" i="19"/>
  <c r="I283" i="19" s="1"/>
  <c r="J283" i="19" s="1"/>
  <c r="G282" i="19"/>
  <c r="I282" i="19" s="1"/>
  <c r="J282" i="19" s="1"/>
  <c r="G281" i="19"/>
  <c r="I281" i="19" s="1"/>
  <c r="J281" i="19" s="1"/>
  <c r="G280" i="19"/>
  <c r="I280" i="19" s="1"/>
  <c r="J280" i="19" s="1"/>
  <c r="G279" i="19"/>
  <c r="I279" i="19" s="1"/>
  <c r="G278" i="19"/>
  <c r="I278" i="19" s="1"/>
  <c r="J278" i="19" s="1"/>
  <c r="G277" i="19"/>
  <c r="I277" i="19" s="1"/>
  <c r="J277" i="19" s="1"/>
  <c r="N276" i="19"/>
  <c r="O276" i="19" s="1"/>
  <c r="K276" i="19"/>
  <c r="H276" i="19"/>
  <c r="F276" i="19"/>
  <c r="E276" i="19"/>
  <c r="D276" i="19"/>
  <c r="C276" i="19"/>
  <c r="B276" i="19"/>
  <c r="G275" i="19"/>
  <c r="I275" i="19" s="1"/>
  <c r="J275" i="19" s="1"/>
  <c r="G274" i="19"/>
  <c r="I274" i="19" s="1"/>
  <c r="J274" i="19" s="1"/>
  <c r="G273" i="19"/>
  <c r="I273" i="19" s="1"/>
  <c r="J273" i="19" s="1"/>
  <c r="G272" i="19"/>
  <c r="I272" i="19" s="1"/>
  <c r="J272" i="19" s="1"/>
  <c r="G271" i="19"/>
  <c r="I271" i="19" s="1"/>
  <c r="J271" i="19" s="1"/>
  <c r="G270" i="19"/>
  <c r="I270" i="19" s="1"/>
  <c r="J270" i="19" s="1"/>
  <c r="G269" i="19"/>
  <c r="I269" i="19" s="1"/>
  <c r="N268" i="19"/>
  <c r="O268" i="19" s="1"/>
  <c r="K268" i="19"/>
  <c r="H268" i="19"/>
  <c r="F268" i="19"/>
  <c r="E268" i="19"/>
  <c r="D268" i="19"/>
  <c r="C268" i="19"/>
  <c r="B268" i="19"/>
  <c r="G267" i="19"/>
  <c r="I267" i="19" s="1"/>
  <c r="J267" i="19" s="1"/>
  <c r="G266" i="19"/>
  <c r="I266" i="19" s="1"/>
  <c r="J266" i="19" s="1"/>
  <c r="G265" i="19"/>
  <c r="I265" i="19" s="1"/>
  <c r="J265" i="19" s="1"/>
  <c r="G264" i="19"/>
  <c r="I264" i="19" s="1"/>
  <c r="J264" i="19" s="1"/>
  <c r="G263" i="19"/>
  <c r="I263" i="19" s="1"/>
  <c r="J263" i="19" s="1"/>
  <c r="G262" i="19"/>
  <c r="I262" i="19" s="1"/>
  <c r="J262" i="19" s="1"/>
  <c r="G261" i="19"/>
  <c r="I261" i="19" s="1"/>
  <c r="N260" i="19"/>
  <c r="O260" i="19" s="1"/>
  <c r="K260" i="19"/>
  <c r="H260" i="19"/>
  <c r="F260" i="19"/>
  <c r="E260" i="19"/>
  <c r="D260" i="19"/>
  <c r="C260" i="19"/>
  <c r="B260" i="19"/>
  <c r="G258" i="19"/>
  <c r="I258" i="19" s="1"/>
  <c r="J258" i="19" s="1"/>
  <c r="G257" i="19"/>
  <c r="I257" i="19" s="1"/>
  <c r="J257" i="19" s="1"/>
  <c r="G256" i="19"/>
  <c r="I256" i="19" s="1"/>
  <c r="J256" i="19" s="1"/>
  <c r="G255" i="19"/>
  <c r="I255" i="19" s="1"/>
  <c r="J255" i="19" s="1"/>
  <c r="I254" i="19"/>
  <c r="J254" i="19" s="1"/>
  <c r="I253" i="19"/>
  <c r="I252" i="19" s="1"/>
  <c r="K252" i="19"/>
  <c r="H252" i="19"/>
  <c r="F252" i="19"/>
  <c r="E252" i="19"/>
  <c r="D252" i="19"/>
  <c r="C252" i="19"/>
  <c r="B252" i="19"/>
  <c r="G251" i="19"/>
  <c r="I251" i="19" s="1"/>
  <c r="J251" i="19" s="1"/>
  <c r="G250" i="19"/>
  <c r="I250" i="19" s="1"/>
  <c r="J250" i="19" s="1"/>
  <c r="G249" i="19"/>
  <c r="I249" i="19" s="1"/>
  <c r="J249" i="19" s="1"/>
  <c r="G248" i="19"/>
  <c r="I248" i="19" s="1"/>
  <c r="J248" i="19" s="1"/>
  <c r="G247" i="19"/>
  <c r="I247" i="19" s="1"/>
  <c r="J247" i="19" s="1"/>
  <c r="G246" i="19"/>
  <c r="I246" i="19" s="1"/>
  <c r="J246" i="19" s="1"/>
  <c r="G245" i="19"/>
  <c r="I245" i="19" s="1"/>
  <c r="N244" i="19"/>
  <c r="O244" i="19" s="1"/>
  <c r="K244" i="19"/>
  <c r="H244" i="19"/>
  <c r="F244" i="19"/>
  <c r="E244" i="19"/>
  <c r="C244" i="19"/>
  <c r="B244" i="19"/>
  <c r="G243" i="19"/>
  <c r="I243" i="19" s="1"/>
  <c r="J243" i="19" s="1"/>
  <c r="G242" i="19"/>
  <c r="I242" i="19" s="1"/>
  <c r="J242" i="19" s="1"/>
  <c r="G241" i="19"/>
  <c r="I241" i="19" s="1"/>
  <c r="J241" i="19" s="1"/>
  <c r="G240" i="19"/>
  <c r="I240" i="19" s="1"/>
  <c r="J240" i="19" s="1"/>
  <c r="G239" i="19"/>
  <c r="I239" i="19" s="1"/>
  <c r="J239" i="19" s="1"/>
  <c r="G238" i="19"/>
  <c r="I238" i="19" s="1"/>
  <c r="G237" i="19"/>
  <c r="I237" i="19" s="1"/>
  <c r="J237" i="19" s="1"/>
  <c r="N236" i="19"/>
  <c r="O236" i="19" s="1"/>
  <c r="K236" i="19"/>
  <c r="H236" i="19"/>
  <c r="F236" i="19"/>
  <c r="E236" i="19"/>
  <c r="D236" i="19"/>
  <c r="C236" i="19"/>
  <c r="B236" i="19"/>
  <c r="J235" i="19"/>
  <c r="J233" i="19"/>
  <c r="J232" i="19"/>
  <c r="G231" i="19"/>
  <c r="G230" i="19"/>
  <c r="I230" i="19" s="1"/>
  <c r="G229" i="19"/>
  <c r="I229" i="19" s="1"/>
  <c r="J229" i="19" s="1"/>
  <c r="N228" i="19"/>
  <c r="K228" i="19"/>
  <c r="H228" i="19"/>
  <c r="F228" i="19"/>
  <c r="E228" i="19"/>
  <c r="D228" i="19"/>
  <c r="C228" i="19"/>
  <c r="B228" i="19"/>
  <c r="G219" i="19"/>
  <c r="I219" i="19" s="1"/>
  <c r="J219" i="19" s="1"/>
  <c r="G217" i="19"/>
  <c r="I217" i="19" s="1"/>
  <c r="J217" i="19" s="1"/>
  <c r="G216" i="19"/>
  <c r="I216" i="19" s="1"/>
  <c r="J216" i="19" s="1"/>
  <c r="G215" i="19"/>
  <c r="I215" i="19" s="1"/>
  <c r="J215" i="19" s="1"/>
  <c r="G214" i="19"/>
  <c r="I214" i="19" s="1"/>
  <c r="G213" i="19"/>
  <c r="I213" i="19" s="1"/>
  <c r="J213" i="19" s="1"/>
  <c r="N212" i="19"/>
  <c r="O212" i="19" s="1"/>
  <c r="K212" i="19"/>
  <c r="H212" i="19"/>
  <c r="F212" i="19"/>
  <c r="E212" i="19"/>
  <c r="D212" i="19"/>
  <c r="C212" i="19"/>
  <c r="B212" i="19"/>
  <c r="G212" i="19" s="1"/>
  <c r="G211" i="19"/>
  <c r="I211" i="19" s="1"/>
  <c r="J211" i="19" s="1"/>
  <c r="G209" i="19"/>
  <c r="I209" i="19" s="1"/>
  <c r="J209" i="19" s="1"/>
  <c r="G208" i="19"/>
  <c r="I208" i="19" s="1"/>
  <c r="J208" i="19" s="1"/>
  <c r="G207" i="19"/>
  <c r="I207" i="19" s="1"/>
  <c r="J207" i="19" s="1"/>
  <c r="G206" i="19"/>
  <c r="I206" i="19" s="1"/>
  <c r="G205" i="19"/>
  <c r="I205" i="19" s="1"/>
  <c r="K196" i="19"/>
  <c r="H196" i="19"/>
  <c r="F196" i="19"/>
  <c r="E196" i="19"/>
  <c r="D196" i="19"/>
  <c r="C196" i="19"/>
  <c r="B196" i="19"/>
  <c r="G195" i="19"/>
  <c r="I195" i="19" s="1"/>
  <c r="J195" i="19" s="1"/>
  <c r="G193" i="19"/>
  <c r="I193" i="19" s="1"/>
  <c r="J193" i="19" s="1"/>
  <c r="G192" i="19"/>
  <c r="I192" i="19" s="1"/>
  <c r="J192" i="19" s="1"/>
  <c r="G191" i="19"/>
  <c r="I191" i="19" s="1"/>
  <c r="J191" i="19" s="1"/>
  <c r="G190" i="19"/>
  <c r="I190" i="19" s="1"/>
  <c r="G189" i="19"/>
  <c r="I189" i="19" s="1"/>
  <c r="J189" i="19" s="1"/>
  <c r="N188" i="19"/>
  <c r="O188" i="19" s="1"/>
  <c r="K188" i="19"/>
  <c r="H188" i="19"/>
  <c r="F188" i="19"/>
  <c r="E188" i="19"/>
  <c r="D188" i="19"/>
  <c r="C188" i="19"/>
  <c r="B188" i="19"/>
  <c r="G187" i="19"/>
  <c r="I187" i="19" s="1"/>
  <c r="J187" i="19" s="1"/>
  <c r="G185" i="19"/>
  <c r="I185" i="19" s="1"/>
  <c r="J185" i="19" s="1"/>
  <c r="G184" i="19"/>
  <c r="I184" i="19" s="1"/>
  <c r="J184" i="19" s="1"/>
  <c r="G183" i="19"/>
  <c r="I183" i="19" s="1"/>
  <c r="J183" i="19" s="1"/>
  <c r="G182" i="19"/>
  <c r="I182" i="19" s="1"/>
  <c r="G181" i="19"/>
  <c r="I181" i="19" s="1"/>
  <c r="J181" i="19" s="1"/>
  <c r="N180" i="19"/>
  <c r="K180" i="19"/>
  <c r="H180" i="19"/>
  <c r="F180" i="19"/>
  <c r="E180" i="19"/>
  <c r="D180" i="19"/>
  <c r="C180" i="19"/>
  <c r="B180" i="19"/>
  <c r="G180" i="19" s="1"/>
  <c r="G171" i="19"/>
  <c r="I171" i="19" s="1"/>
  <c r="J171" i="19" s="1"/>
  <c r="G170" i="19"/>
  <c r="I170" i="19" s="1"/>
  <c r="J170" i="19" s="1"/>
  <c r="G169" i="19"/>
  <c r="I169" i="19" s="1"/>
  <c r="J169" i="19" s="1"/>
  <c r="G168" i="19"/>
  <c r="I168" i="19" s="1"/>
  <c r="J167" i="19"/>
  <c r="G167" i="19"/>
  <c r="G166" i="19"/>
  <c r="I166" i="19" s="1"/>
  <c r="J166" i="19" s="1"/>
  <c r="G165" i="19"/>
  <c r="I165" i="19" s="1"/>
  <c r="N164" i="19"/>
  <c r="H164" i="19"/>
  <c r="F164" i="19"/>
  <c r="E164" i="19"/>
  <c r="D164" i="19"/>
  <c r="C164" i="19"/>
  <c r="B164" i="19"/>
  <c r="G164" i="19" s="1"/>
  <c r="G163" i="19"/>
  <c r="I163" i="19" s="1"/>
  <c r="J163" i="19" s="1"/>
  <c r="G162" i="19"/>
  <c r="I162" i="19" s="1"/>
  <c r="J162" i="19" s="1"/>
  <c r="G161" i="19"/>
  <c r="I161" i="19" s="1"/>
  <c r="J161" i="19" s="1"/>
  <c r="G160" i="19"/>
  <c r="I160" i="19" s="1"/>
  <c r="J160" i="19" s="1"/>
  <c r="G159" i="19"/>
  <c r="I159" i="19" s="1"/>
  <c r="J159" i="19" s="1"/>
  <c r="G158" i="19"/>
  <c r="I158" i="19" s="1"/>
  <c r="J158" i="19" s="1"/>
  <c r="G157" i="19"/>
  <c r="I157" i="19" s="1"/>
  <c r="K156" i="19"/>
  <c r="H156" i="19"/>
  <c r="F156" i="19"/>
  <c r="E156" i="19"/>
  <c r="D156" i="19"/>
  <c r="C156" i="19"/>
  <c r="B156" i="19"/>
  <c r="G155" i="19"/>
  <c r="I155" i="19" s="1"/>
  <c r="J155" i="19" s="1"/>
  <c r="G154" i="19"/>
  <c r="I154" i="19" s="1"/>
  <c r="J154" i="19" s="1"/>
  <c r="G153" i="19"/>
  <c r="I153" i="19" s="1"/>
  <c r="J153" i="19" s="1"/>
  <c r="G152" i="19"/>
  <c r="I152" i="19" s="1"/>
  <c r="J152" i="19" s="1"/>
  <c r="G151" i="19"/>
  <c r="I151" i="19" s="1"/>
  <c r="J151" i="19" s="1"/>
  <c r="G150" i="19"/>
  <c r="I150" i="19" s="1"/>
  <c r="J150" i="19" s="1"/>
  <c r="G149" i="19"/>
  <c r="I149" i="19" s="1"/>
  <c r="H148" i="19"/>
  <c r="D148" i="19"/>
  <c r="G147" i="19"/>
  <c r="I147" i="19" s="1"/>
  <c r="J147" i="19" s="1"/>
  <c r="G146" i="19"/>
  <c r="I146" i="19" s="1"/>
  <c r="J146" i="19" s="1"/>
  <c r="G145" i="19"/>
  <c r="I145" i="19" s="1"/>
  <c r="J145" i="19" s="1"/>
  <c r="G144" i="19"/>
  <c r="I144" i="19" s="1"/>
  <c r="J144" i="19" s="1"/>
  <c r="G143" i="19"/>
  <c r="I143" i="19" s="1"/>
  <c r="J143" i="19" s="1"/>
  <c r="G142" i="19"/>
  <c r="I142" i="19" s="1"/>
  <c r="J142" i="19" s="1"/>
  <c r="G141" i="19"/>
  <c r="I141" i="19" s="1"/>
  <c r="E140" i="19"/>
  <c r="D140" i="19"/>
  <c r="G139" i="19"/>
  <c r="I139" i="19" s="1"/>
  <c r="J139" i="19" s="1"/>
  <c r="G138" i="19"/>
  <c r="I138" i="19" s="1"/>
  <c r="J138" i="19" s="1"/>
  <c r="G137" i="19"/>
  <c r="I137" i="19" s="1"/>
  <c r="J137" i="19" s="1"/>
  <c r="G136" i="19"/>
  <c r="I136" i="19" s="1"/>
  <c r="J136" i="19" s="1"/>
  <c r="G135" i="19"/>
  <c r="I135" i="19" s="1"/>
  <c r="G134" i="19"/>
  <c r="I134" i="19" s="1"/>
  <c r="J134" i="19" s="1"/>
  <c r="G133" i="19"/>
  <c r="I133" i="19" s="1"/>
  <c r="F132" i="19"/>
  <c r="E132" i="19"/>
  <c r="D132" i="19"/>
  <c r="G131" i="19"/>
  <c r="I131" i="19" s="1"/>
  <c r="J131" i="19" s="1"/>
  <c r="G130" i="19"/>
  <c r="I130" i="19" s="1"/>
  <c r="J130" i="19" s="1"/>
  <c r="G129" i="19"/>
  <c r="I129" i="19" s="1"/>
  <c r="J129" i="19" s="1"/>
  <c r="G128" i="19"/>
  <c r="I128" i="19" s="1"/>
  <c r="J128" i="19" s="1"/>
  <c r="G127" i="19"/>
  <c r="I127" i="19" s="1"/>
  <c r="J127" i="19" s="1"/>
  <c r="G126" i="19"/>
  <c r="I126" i="19" s="1"/>
  <c r="J126" i="19" s="1"/>
  <c r="G125" i="19"/>
  <c r="I125" i="19" s="1"/>
  <c r="I124" i="19" s="1"/>
  <c r="F124" i="19"/>
  <c r="E124" i="19"/>
  <c r="D124" i="19"/>
  <c r="G123" i="19"/>
  <c r="I123" i="19" s="1"/>
  <c r="J123" i="19" s="1"/>
  <c r="G122" i="19"/>
  <c r="I122" i="19" s="1"/>
  <c r="J122" i="19" s="1"/>
  <c r="G121" i="19"/>
  <c r="I121" i="19" s="1"/>
  <c r="J121" i="19" s="1"/>
  <c r="G120" i="19"/>
  <c r="I120" i="19" s="1"/>
  <c r="J120" i="19" s="1"/>
  <c r="G119" i="19"/>
  <c r="I119" i="19" s="1"/>
  <c r="J119" i="19" s="1"/>
  <c r="G118" i="19"/>
  <c r="I118" i="19" s="1"/>
  <c r="J118" i="19" s="1"/>
  <c r="G117" i="19"/>
  <c r="I117" i="19" s="1"/>
  <c r="K116" i="19"/>
  <c r="H116" i="19"/>
  <c r="F116" i="19"/>
  <c r="E116" i="19"/>
  <c r="C116" i="19"/>
  <c r="B116" i="19"/>
  <c r="G116" i="19" s="1"/>
  <c r="G115" i="19"/>
  <c r="I115" i="19" s="1"/>
  <c r="J115" i="19" s="1"/>
  <c r="G114" i="19"/>
  <c r="I114" i="19" s="1"/>
  <c r="J114" i="19" s="1"/>
  <c r="G113" i="19"/>
  <c r="I113" i="19" s="1"/>
  <c r="J113" i="19" s="1"/>
  <c r="G112" i="19"/>
  <c r="I112" i="19" s="1"/>
  <c r="J112" i="19" s="1"/>
  <c r="G111" i="19"/>
  <c r="I111" i="19" s="1"/>
  <c r="J111" i="19" s="1"/>
  <c r="G110" i="19"/>
  <c r="I110" i="19" s="1"/>
  <c r="J110" i="19" s="1"/>
  <c r="G108" i="19"/>
  <c r="I108" i="19" s="1"/>
  <c r="N107" i="19"/>
  <c r="O107" i="19" s="1"/>
  <c r="K107" i="19"/>
  <c r="H107" i="19"/>
  <c r="F107" i="19"/>
  <c r="E107" i="19"/>
  <c r="C107" i="19"/>
  <c r="B107" i="19"/>
  <c r="G106" i="19"/>
  <c r="I106" i="19" s="1"/>
  <c r="J106" i="19" s="1"/>
  <c r="G105" i="19"/>
  <c r="I105" i="19" s="1"/>
  <c r="J105" i="19" s="1"/>
  <c r="G104" i="19"/>
  <c r="I104" i="19" s="1"/>
  <c r="J104" i="19" s="1"/>
  <c r="G103" i="19"/>
  <c r="I103" i="19" s="1"/>
  <c r="J103" i="19" s="1"/>
  <c r="G102" i="19"/>
  <c r="I102" i="19" s="1"/>
  <c r="J102" i="19" s="1"/>
  <c r="G101" i="19"/>
  <c r="I101" i="19" s="1"/>
  <c r="J101" i="19" s="1"/>
  <c r="G100" i="19"/>
  <c r="I100" i="19" s="1"/>
  <c r="N99" i="19"/>
  <c r="O99" i="19" s="1"/>
  <c r="K99" i="19"/>
  <c r="H99" i="19"/>
  <c r="F99" i="19"/>
  <c r="E99" i="19"/>
  <c r="D99" i="19"/>
  <c r="C99" i="19"/>
  <c r="B99" i="19"/>
  <c r="G99" i="19" s="1"/>
  <c r="J98" i="19"/>
  <c r="J96" i="19"/>
  <c r="J95" i="19"/>
  <c r="J94" i="19"/>
  <c r="G93" i="19"/>
  <c r="I93" i="19" s="1"/>
  <c r="J93" i="19" s="1"/>
  <c r="G92" i="19"/>
  <c r="I92" i="19" s="1"/>
  <c r="N91" i="19"/>
  <c r="O91" i="19" s="1"/>
  <c r="K91" i="19"/>
  <c r="H91" i="19"/>
  <c r="F91" i="19"/>
  <c r="F75" i="19" s="1"/>
  <c r="E91" i="19"/>
  <c r="D91" i="19"/>
  <c r="C91" i="19"/>
  <c r="B91" i="19"/>
  <c r="G82" i="19"/>
  <c r="I82" i="19" s="1"/>
  <c r="J82" i="19" s="1"/>
  <c r="G81" i="19"/>
  <c r="I81" i="19" s="1"/>
  <c r="J81" i="19" s="1"/>
  <c r="G80" i="19"/>
  <c r="I80" i="19" s="1"/>
  <c r="J80" i="19" s="1"/>
  <c r="G79" i="19"/>
  <c r="I79" i="19" s="1"/>
  <c r="J79" i="19" s="1"/>
  <c r="G78" i="19"/>
  <c r="I78" i="19" s="1"/>
  <c r="J78" i="19" s="1"/>
  <c r="G77" i="19"/>
  <c r="I77" i="19" s="1"/>
  <c r="J77" i="19" s="1"/>
  <c r="G76" i="19"/>
  <c r="I76" i="19" s="1"/>
  <c r="I75" i="19" s="1"/>
  <c r="N75" i="19"/>
  <c r="O75" i="19" s="1"/>
  <c r="E75" i="19"/>
  <c r="D75" i="19"/>
  <c r="G66" i="19"/>
  <c r="I66" i="19" s="1"/>
  <c r="G65" i="19"/>
  <c r="I65" i="19" s="1"/>
  <c r="J65" i="19" s="1"/>
  <c r="G64" i="19"/>
  <c r="I64" i="19" s="1"/>
  <c r="J64" i="19" s="1"/>
  <c r="G63" i="19"/>
  <c r="I63" i="19" s="1"/>
  <c r="J63" i="19" s="1"/>
  <c r="G62" i="19"/>
  <c r="I62" i="19" s="1"/>
  <c r="J62" i="19" s="1"/>
  <c r="G61" i="19"/>
  <c r="I61" i="19" s="1"/>
  <c r="J61" i="19" s="1"/>
  <c r="G60" i="19"/>
  <c r="I60" i="19" s="1"/>
  <c r="N59" i="19"/>
  <c r="K59" i="19"/>
  <c r="H59" i="19"/>
  <c r="F59" i="19"/>
  <c r="E59" i="19"/>
  <c r="D59" i="19"/>
  <c r="C59" i="19"/>
  <c r="B59" i="19"/>
  <c r="G59" i="19" s="1"/>
  <c r="G58" i="19"/>
  <c r="I58" i="19" s="1"/>
  <c r="J58" i="19" s="1"/>
  <c r="G57" i="19"/>
  <c r="G56" i="19"/>
  <c r="I56" i="19" s="1"/>
  <c r="J56" i="19" s="1"/>
  <c r="J55" i="19"/>
  <c r="G54" i="19"/>
  <c r="I54" i="19" s="1"/>
  <c r="J54" i="19" s="1"/>
  <c r="G53" i="19"/>
  <c r="I53" i="19" s="1"/>
  <c r="J53" i="19" s="1"/>
  <c r="G52" i="19"/>
  <c r="I52" i="19" s="1"/>
  <c r="N51" i="19"/>
  <c r="K51" i="19"/>
  <c r="H51" i="19"/>
  <c r="F51" i="19"/>
  <c r="E51" i="19"/>
  <c r="D51" i="19"/>
  <c r="C51" i="19"/>
  <c r="B51" i="19"/>
  <c r="G51" i="19" s="1"/>
  <c r="G50" i="19"/>
  <c r="I50" i="19" s="1"/>
  <c r="J50" i="19" s="1"/>
  <c r="G49" i="19"/>
  <c r="I49" i="19" s="1"/>
  <c r="J49" i="19" s="1"/>
  <c r="G48" i="19"/>
  <c r="I48" i="19" s="1"/>
  <c r="J48" i="19" s="1"/>
  <c r="G47" i="19"/>
  <c r="I47" i="19" s="1"/>
  <c r="J47" i="19" s="1"/>
  <c r="G46" i="19"/>
  <c r="I46" i="19" s="1"/>
  <c r="J46" i="19" s="1"/>
  <c r="G45" i="19"/>
  <c r="I45" i="19" s="1"/>
  <c r="J45" i="19" s="1"/>
  <c r="G44" i="19"/>
  <c r="I44" i="19" s="1"/>
  <c r="N43" i="19"/>
  <c r="K43" i="19"/>
  <c r="H43" i="19"/>
  <c r="F43" i="19"/>
  <c r="E43" i="19"/>
  <c r="D43" i="19"/>
  <c r="C43" i="19"/>
  <c r="B43" i="19"/>
  <c r="G43" i="19" s="1"/>
  <c r="I42" i="19"/>
  <c r="J42" i="19" s="1"/>
  <c r="G41" i="19"/>
  <c r="I41" i="19" s="1"/>
  <c r="J41" i="19" s="1"/>
  <c r="G40" i="19"/>
  <c r="I40" i="19" s="1"/>
  <c r="J40" i="19" s="1"/>
  <c r="G39" i="19"/>
  <c r="I39" i="19" s="1"/>
  <c r="J39" i="19" s="1"/>
  <c r="G38" i="19"/>
  <c r="I38" i="19" s="1"/>
  <c r="J38" i="19" s="1"/>
  <c r="G37" i="19"/>
  <c r="I37" i="19" s="1"/>
  <c r="J37" i="19" s="1"/>
  <c r="G36" i="19"/>
  <c r="I36" i="19" s="1"/>
  <c r="N35" i="19"/>
  <c r="O35" i="19" s="1"/>
  <c r="K35" i="19"/>
  <c r="H35" i="19"/>
  <c r="F35" i="19"/>
  <c r="E35" i="19"/>
  <c r="D35" i="19"/>
  <c r="C35" i="19"/>
  <c r="B35" i="19"/>
  <c r="G33" i="19"/>
  <c r="I33" i="19" s="1"/>
  <c r="J33" i="19" s="1"/>
  <c r="G32" i="19"/>
  <c r="I32" i="19" s="1"/>
  <c r="J32" i="19" s="1"/>
  <c r="G31" i="19"/>
  <c r="I31" i="19" s="1"/>
  <c r="J31" i="19" s="1"/>
  <c r="G30" i="19"/>
  <c r="I30" i="19" s="1"/>
  <c r="J30" i="19" s="1"/>
  <c r="G29" i="19"/>
  <c r="I29" i="19" s="1"/>
  <c r="J29" i="19" s="1"/>
  <c r="G28" i="19"/>
  <c r="I28" i="19" s="1"/>
  <c r="I27" i="19" s="1"/>
  <c r="K27" i="19"/>
  <c r="H27" i="19"/>
  <c r="F27" i="19"/>
  <c r="E27" i="19"/>
  <c r="D27" i="19"/>
  <c r="C27" i="19"/>
  <c r="B27" i="19"/>
  <c r="G26" i="19"/>
  <c r="I26" i="19" s="1"/>
  <c r="G25" i="19"/>
  <c r="I25" i="19" s="1"/>
  <c r="J25" i="19" s="1"/>
  <c r="G24" i="19"/>
  <c r="I24" i="19" s="1"/>
  <c r="J24" i="19" s="1"/>
  <c r="G23" i="19"/>
  <c r="I23" i="19" s="1"/>
  <c r="J23" i="19" s="1"/>
  <c r="G22" i="19"/>
  <c r="I22" i="19" s="1"/>
  <c r="J22" i="19" s="1"/>
  <c r="G21" i="19"/>
  <c r="I21" i="19" s="1"/>
  <c r="G20" i="19"/>
  <c r="I20" i="19" s="1"/>
  <c r="N19" i="19"/>
  <c r="O19" i="19" s="1"/>
  <c r="K19" i="19"/>
  <c r="H19" i="19"/>
  <c r="F19" i="19"/>
  <c r="D19" i="19"/>
  <c r="G18" i="19"/>
  <c r="I18" i="19" s="1"/>
  <c r="J18" i="19" s="1"/>
  <c r="G17" i="19"/>
  <c r="I17" i="19" s="1"/>
  <c r="J17" i="19" s="1"/>
  <c r="G16" i="19"/>
  <c r="I16" i="19" s="1"/>
  <c r="J16" i="19" s="1"/>
  <c r="G15" i="19"/>
  <c r="I15" i="19" s="1"/>
  <c r="J15" i="19" s="1"/>
  <c r="G14" i="19"/>
  <c r="I14" i="19" s="1"/>
  <c r="J14" i="19" s="1"/>
  <c r="G13" i="19"/>
  <c r="I13" i="19" s="1"/>
  <c r="J13" i="19" s="1"/>
  <c r="G12" i="19"/>
  <c r="I12" i="19" s="1"/>
  <c r="N11" i="19"/>
  <c r="O11" i="19" s="1"/>
  <c r="K11" i="19"/>
  <c r="H11" i="19"/>
  <c r="F11" i="19"/>
  <c r="E11" i="19"/>
  <c r="D11" i="19"/>
  <c r="C11" i="19"/>
  <c r="B11" i="19"/>
  <c r="G10" i="19"/>
  <c r="I10" i="19" s="1"/>
  <c r="J10" i="19" s="1"/>
  <c r="G9" i="19"/>
  <c r="I9" i="19" s="1"/>
  <c r="J9" i="19" s="1"/>
  <c r="G8" i="19"/>
  <c r="I8" i="19" s="1"/>
  <c r="J8" i="19" s="1"/>
  <c r="G6" i="19"/>
  <c r="I6" i="19" s="1"/>
  <c r="J6" i="19" s="1"/>
  <c r="G5" i="19"/>
  <c r="I5" i="19" s="1"/>
  <c r="J4" i="19"/>
  <c r="N3" i="19"/>
  <c r="O3" i="19" s="1"/>
  <c r="K3" i="19"/>
  <c r="H3" i="19"/>
  <c r="F3" i="19"/>
  <c r="E3" i="19"/>
  <c r="D3" i="19"/>
  <c r="B3" i="19"/>
  <c r="G297" i="18"/>
  <c r="I297" i="18" s="1"/>
  <c r="J297" i="18" s="1"/>
  <c r="G296" i="18"/>
  <c r="I296" i="18" s="1"/>
  <c r="J296" i="18" s="1"/>
  <c r="G295" i="18"/>
  <c r="I295" i="18" s="1"/>
  <c r="J295" i="18" s="1"/>
  <c r="G294" i="18"/>
  <c r="I294" i="18" s="1"/>
  <c r="J294" i="18" s="1"/>
  <c r="G293" i="18"/>
  <c r="I293" i="18" s="1"/>
  <c r="J293" i="18" s="1"/>
  <c r="G292" i="18"/>
  <c r="I292" i="18" s="1"/>
  <c r="J292" i="18" s="1"/>
  <c r="G291" i="18"/>
  <c r="I291" i="18" s="1"/>
  <c r="J291" i="18" s="1"/>
  <c r="K290" i="18"/>
  <c r="F290" i="18"/>
  <c r="E290" i="18"/>
  <c r="D290" i="18"/>
  <c r="C290" i="18"/>
  <c r="B290" i="18"/>
  <c r="G290" i="18" s="1"/>
  <c r="G272" i="18"/>
  <c r="I272" i="18" s="1"/>
  <c r="J272" i="18" s="1"/>
  <c r="G271" i="18"/>
  <c r="I271" i="18" s="1"/>
  <c r="J271" i="18" s="1"/>
  <c r="G270" i="18"/>
  <c r="I270" i="18" s="1"/>
  <c r="J270" i="18" s="1"/>
  <c r="G269" i="18"/>
  <c r="I269" i="18" s="1"/>
  <c r="J269" i="18" s="1"/>
  <c r="G268" i="18"/>
  <c r="I268" i="18" s="1"/>
  <c r="J268" i="18" s="1"/>
  <c r="G267" i="18"/>
  <c r="I267" i="18" s="1"/>
  <c r="D266" i="18"/>
  <c r="G264" i="18"/>
  <c r="I264" i="18" s="1"/>
  <c r="J264" i="18" s="1"/>
  <c r="G263" i="18"/>
  <c r="I263" i="18" s="1"/>
  <c r="J263" i="18" s="1"/>
  <c r="G262" i="18"/>
  <c r="I262" i="18" s="1"/>
  <c r="J262" i="18" s="1"/>
  <c r="G261" i="18"/>
  <c r="I261" i="18" s="1"/>
  <c r="J261" i="18" s="1"/>
  <c r="G260" i="18"/>
  <c r="I260" i="18" s="1"/>
  <c r="J260" i="18" s="1"/>
  <c r="G259" i="18"/>
  <c r="I259" i="18" s="1"/>
  <c r="F258" i="18"/>
  <c r="E258" i="18"/>
  <c r="D258" i="18"/>
  <c r="C258" i="18"/>
  <c r="B258" i="18"/>
  <c r="G258" i="18" s="1"/>
  <c r="G256" i="18"/>
  <c r="I256" i="18" s="1"/>
  <c r="J256" i="18" s="1"/>
  <c r="G255" i="18"/>
  <c r="I255" i="18" s="1"/>
  <c r="G254" i="18"/>
  <c r="I254" i="18" s="1"/>
  <c r="J254" i="18" s="1"/>
  <c r="G253" i="18"/>
  <c r="I253" i="18" s="1"/>
  <c r="J253" i="18" s="1"/>
  <c r="I252" i="18"/>
  <c r="J252" i="18" s="1"/>
  <c r="G251" i="18"/>
  <c r="I251" i="18" s="1"/>
  <c r="K250" i="18"/>
  <c r="F250" i="18"/>
  <c r="E250" i="18"/>
  <c r="D250" i="18"/>
  <c r="C250" i="18"/>
  <c r="B250" i="18"/>
  <c r="G250" i="18" s="1"/>
  <c r="G248" i="18"/>
  <c r="I248" i="18" s="1"/>
  <c r="J248" i="18" s="1"/>
  <c r="G247" i="18"/>
  <c r="I247" i="18" s="1"/>
  <c r="J247" i="18" s="1"/>
  <c r="G246" i="18"/>
  <c r="I246" i="18" s="1"/>
  <c r="J246" i="18" s="1"/>
  <c r="G245" i="18"/>
  <c r="I245" i="18" s="1"/>
  <c r="J245" i="18" s="1"/>
  <c r="G244" i="18"/>
  <c r="I244" i="18" s="1"/>
  <c r="J244" i="18" s="1"/>
  <c r="G243" i="18"/>
  <c r="I243" i="18" s="1"/>
  <c r="F242" i="18"/>
  <c r="E242" i="18"/>
  <c r="C242" i="18"/>
  <c r="B242" i="18"/>
  <c r="G240" i="18"/>
  <c r="I240" i="18" s="1"/>
  <c r="J240" i="18" s="1"/>
  <c r="G239" i="18"/>
  <c r="I239" i="18" s="1"/>
  <c r="J239" i="18" s="1"/>
  <c r="G238" i="18"/>
  <c r="I238" i="18" s="1"/>
  <c r="J238" i="18" s="1"/>
  <c r="G237" i="18"/>
  <c r="I237" i="18" s="1"/>
  <c r="J237" i="18" s="1"/>
  <c r="G236" i="18"/>
  <c r="I236" i="18" s="1"/>
  <c r="J236" i="18" s="1"/>
  <c r="G235" i="18"/>
  <c r="I235" i="18" s="1"/>
  <c r="K234" i="18"/>
  <c r="F234" i="18"/>
  <c r="E234" i="18"/>
  <c r="D234" i="18"/>
  <c r="C234" i="18"/>
  <c r="B234" i="18"/>
  <c r="G223" i="18"/>
  <c r="I223" i="18" s="1"/>
  <c r="J223" i="18" s="1"/>
  <c r="G222" i="18"/>
  <c r="I222" i="18" s="1"/>
  <c r="J222" i="18" s="1"/>
  <c r="G221" i="18"/>
  <c r="I221" i="18" s="1"/>
  <c r="G220" i="18"/>
  <c r="I220" i="18" s="1"/>
  <c r="G219" i="18"/>
  <c r="I219" i="18" s="1"/>
  <c r="J219" i="18" s="1"/>
  <c r="E218" i="18"/>
  <c r="D218" i="18"/>
  <c r="G218" i="18"/>
  <c r="G217" i="18"/>
  <c r="I217" i="18" s="1"/>
  <c r="J217" i="18" s="1"/>
  <c r="G215" i="18"/>
  <c r="I215" i="18" s="1"/>
  <c r="J215" i="18" s="1"/>
  <c r="G214" i="18"/>
  <c r="I214" i="18" s="1"/>
  <c r="J214" i="18" s="1"/>
  <c r="G213" i="18"/>
  <c r="I213" i="18" s="1"/>
  <c r="J213" i="18" s="1"/>
  <c r="G212" i="18"/>
  <c r="I212" i="18" s="1"/>
  <c r="G211" i="18"/>
  <c r="I211" i="18" s="1"/>
  <c r="J211" i="18" s="1"/>
  <c r="N210" i="18"/>
  <c r="K210" i="18"/>
  <c r="F210" i="18"/>
  <c r="E210" i="18"/>
  <c r="D210" i="18"/>
  <c r="C210" i="18"/>
  <c r="B210" i="18"/>
  <c r="G207" i="18"/>
  <c r="I207" i="18" s="1"/>
  <c r="J207" i="18" s="1"/>
  <c r="G206" i="18"/>
  <c r="I206" i="18" s="1"/>
  <c r="J206" i="18" s="1"/>
  <c r="G205" i="18"/>
  <c r="I205" i="18" s="1"/>
  <c r="J205" i="18" s="1"/>
  <c r="G204" i="18"/>
  <c r="I204" i="18" s="1"/>
  <c r="G203" i="18"/>
  <c r="I203" i="18" s="1"/>
  <c r="J203" i="18" s="1"/>
  <c r="N202" i="18"/>
  <c r="K202" i="18"/>
  <c r="F202" i="18"/>
  <c r="E202" i="18"/>
  <c r="D202" i="18"/>
  <c r="C202" i="18"/>
  <c r="B202" i="18"/>
  <c r="G202" i="18" s="1"/>
  <c r="I185" i="18"/>
  <c r="G183" i="18"/>
  <c r="I183" i="18" s="1"/>
  <c r="J183" i="18" s="1"/>
  <c r="G182" i="18"/>
  <c r="I182" i="18" s="1"/>
  <c r="J182" i="18" s="1"/>
  <c r="G181" i="18"/>
  <c r="I181" i="18" s="1"/>
  <c r="J181" i="18" s="1"/>
  <c r="G180" i="18"/>
  <c r="I180" i="18" s="1"/>
  <c r="J180" i="18" s="1"/>
  <c r="G179" i="18"/>
  <c r="I179" i="18" s="1"/>
  <c r="J179" i="18" s="1"/>
  <c r="K178" i="18"/>
  <c r="F178" i="18"/>
  <c r="E178" i="18"/>
  <c r="D178" i="18"/>
  <c r="C178" i="18"/>
  <c r="B178" i="18"/>
  <c r="G191" i="18"/>
  <c r="I191" i="18" s="1"/>
  <c r="J191" i="18" s="1"/>
  <c r="G190" i="18"/>
  <c r="I190" i="18" s="1"/>
  <c r="J190" i="18" s="1"/>
  <c r="G189" i="18"/>
  <c r="I189" i="18" s="1"/>
  <c r="J189" i="18" s="1"/>
  <c r="G188" i="18"/>
  <c r="I188" i="18" s="1"/>
  <c r="G187" i="18"/>
  <c r="I187" i="18" s="1"/>
  <c r="E186" i="18"/>
  <c r="D186" i="18"/>
  <c r="G176" i="18"/>
  <c r="G175" i="18"/>
  <c r="G174" i="18"/>
  <c r="I174" i="18" s="1"/>
  <c r="G173" i="18"/>
  <c r="I173" i="18" s="1"/>
  <c r="J173" i="18" s="1"/>
  <c r="G172" i="18"/>
  <c r="I172" i="18" s="1"/>
  <c r="J172" i="18" s="1"/>
  <c r="G171" i="18"/>
  <c r="I171" i="18" s="1"/>
  <c r="D170" i="18"/>
  <c r="G170" i="18"/>
  <c r="G169" i="18"/>
  <c r="I169" i="18" s="1"/>
  <c r="J169" i="18" s="1"/>
  <c r="G168" i="18"/>
  <c r="I168" i="18" s="1"/>
  <c r="J168" i="18" s="1"/>
  <c r="G167" i="18"/>
  <c r="I167" i="18" s="1"/>
  <c r="J167" i="18" s="1"/>
  <c r="G166" i="18"/>
  <c r="I166" i="18" s="1"/>
  <c r="J166" i="18" s="1"/>
  <c r="G165" i="18"/>
  <c r="I165" i="18" s="1"/>
  <c r="J165" i="18" s="1"/>
  <c r="G164" i="18"/>
  <c r="I164" i="18" s="1"/>
  <c r="J164" i="18" s="1"/>
  <c r="G163" i="18"/>
  <c r="K162" i="18"/>
  <c r="F162" i="18"/>
  <c r="E162" i="18"/>
  <c r="D162" i="18"/>
  <c r="C162" i="18"/>
  <c r="B162" i="18"/>
  <c r="G105" i="18"/>
  <c r="I105" i="18" s="1"/>
  <c r="J105" i="18" s="1"/>
  <c r="G104" i="18"/>
  <c r="I104" i="18" s="1"/>
  <c r="J104" i="18" s="1"/>
  <c r="G103" i="18"/>
  <c r="I103" i="18" s="1"/>
  <c r="J103" i="18" s="1"/>
  <c r="G102" i="18"/>
  <c r="I102" i="18" s="1"/>
  <c r="G101" i="18"/>
  <c r="I101" i="18" s="1"/>
  <c r="G100" i="18"/>
  <c r="I100" i="18" s="1"/>
  <c r="J100" i="18" s="1"/>
  <c r="G99" i="18"/>
  <c r="I99" i="18" s="1"/>
  <c r="F98" i="18"/>
  <c r="D98" i="18"/>
  <c r="G145" i="18"/>
  <c r="I145" i="18" s="1"/>
  <c r="J145" i="18" s="1"/>
  <c r="G144" i="18"/>
  <c r="I144" i="18" s="1"/>
  <c r="J144" i="18" s="1"/>
  <c r="G143" i="18"/>
  <c r="I143" i="18" s="1"/>
  <c r="J143" i="18" s="1"/>
  <c r="G142" i="18"/>
  <c r="I142" i="18" s="1"/>
  <c r="J142" i="18" s="1"/>
  <c r="G141" i="18"/>
  <c r="I141" i="18" s="1"/>
  <c r="G140" i="18"/>
  <c r="I140" i="18" s="1"/>
  <c r="J140" i="18" s="1"/>
  <c r="G139" i="18"/>
  <c r="I139" i="18" s="1"/>
  <c r="F138" i="18"/>
  <c r="E138" i="18"/>
  <c r="D138" i="18"/>
  <c r="G137" i="18"/>
  <c r="I137" i="18" s="1"/>
  <c r="J137" i="18" s="1"/>
  <c r="G136" i="18"/>
  <c r="I136" i="18" s="1"/>
  <c r="J136" i="18" s="1"/>
  <c r="G135" i="18"/>
  <c r="I135" i="18" s="1"/>
  <c r="J135" i="18" s="1"/>
  <c r="G134" i="18"/>
  <c r="I134" i="18" s="1"/>
  <c r="J134" i="18" s="1"/>
  <c r="G133" i="18"/>
  <c r="I133" i="18" s="1"/>
  <c r="G132" i="18"/>
  <c r="I132" i="18" s="1"/>
  <c r="J132" i="18" s="1"/>
  <c r="G131" i="18"/>
  <c r="I131" i="18" s="1"/>
  <c r="F130" i="18"/>
  <c r="E130" i="18"/>
  <c r="D130" i="18"/>
  <c r="C130" i="18"/>
  <c r="B130" i="18"/>
  <c r="G130" i="18" s="1"/>
  <c r="G129" i="18"/>
  <c r="I129" i="18" s="1"/>
  <c r="J129" i="18" s="1"/>
  <c r="G128" i="18"/>
  <c r="I128" i="18" s="1"/>
  <c r="J128" i="18" s="1"/>
  <c r="G127" i="18"/>
  <c r="I127" i="18" s="1"/>
  <c r="J127" i="18" s="1"/>
  <c r="G126" i="18"/>
  <c r="I126" i="18" s="1"/>
  <c r="G125" i="18"/>
  <c r="I125" i="18" s="1"/>
  <c r="G124" i="18"/>
  <c r="I124" i="18" s="1"/>
  <c r="J124" i="18" s="1"/>
  <c r="G123" i="18"/>
  <c r="I123" i="18" s="1"/>
  <c r="K122" i="18"/>
  <c r="F122" i="18"/>
  <c r="E122" i="18"/>
  <c r="D122" i="18"/>
  <c r="C122" i="18"/>
  <c r="B122" i="18"/>
  <c r="G121" i="18"/>
  <c r="I121" i="18" s="1"/>
  <c r="J121" i="18" s="1"/>
  <c r="G120" i="18"/>
  <c r="I120" i="18" s="1"/>
  <c r="J120" i="18" s="1"/>
  <c r="G119" i="18"/>
  <c r="I119" i="18" s="1"/>
  <c r="G118" i="18"/>
  <c r="I118" i="18" s="1"/>
  <c r="J118" i="18" s="1"/>
  <c r="G117" i="18"/>
  <c r="I117" i="18" s="1"/>
  <c r="J117" i="18" s="1"/>
  <c r="G116" i="18"/>
  <c r="I116" i="18" s="1"/>
  <c r="J116" i="18" s="1"/>
  <c r="G115" i="18"/>
  <c r="I115" i="18" s="1"/>
  <c r="J115" i="18" s="1"/>
  <c r="K114" i="18"/>
  <c r="F114" i="18"/>
  <c r="E114" i="18"/>
  <c r="C114" i="18"/>
  <c r="B114" i="18"/>
  <c r="G113" i="18"/>
  <c r="I113" i="18" s="1"/>
  <c r="J113" i="18" s="1"/>
  <c r="G112" i="18"/>
  <c r="I112" i="18" s="1"/>
  <c r="J112" i="18" s="1"/>
  <c r="G111" i="18"/>
  <c r="I111" i="18" s="1"/>
  <c r="G110" i="18"/>
  <c r="I110" i="18" s="1"/>
  <c r="J110" i="18" s="1"/>
  <c r="G109" i="18"/>
  <c r="I109" i="18" s="1"/>
  <c r="G108" i="18"/>
  <c r="I108" i="18" s="1"/>
  <c r="J108" i="18" s="1"/>
  <c r="G107" i="18"/>
  <c r="I107" i="18" s="1"/>
  <c r="J107" i="18" s="1"/>
  <c r="K106" i="18"/>
  <c r="F106" i="18"/>
  <c r="E106" i="18"/>
  <c r="C106" i="18"/>
  <c r="B106" i="18"/>
  <c r="G97" i="18"/>
  <c r="I97" i="18" s="1"/>
  <c r="J97" i="18" s="1"/>
  <c r="J94" i="18"/>
  <c r="G93" i="18"/>
  <c r="I93" i="18" s="1"/>
  <c r="G92" i="18"/>
  <c r="I92" i="18" s="1"/>
  <c r="J92" i="18" s="1"/>
  <c r="G91" i="18"/>
  <c r="I91" i="18" s="1"/>
  <c r="D90" i="18"/>
  <c r="G81" i="18"/>
  <c r="I81" i="18" s="1"/>
  <c r="J81" i="18" s="1"/>
  <c r="G80" i="18"/>
  <c r="I80" i="18" s="1"/>
  <c r="J80" i="18" s="1"/>
  <c r="G79" i="18"/>
  <c r="I79" i="18" s="1"/>
  <c r="J79" i="18" s="1"/>
  <c r="G78" i="18"/>
  <c r="I78" i="18" s="1"/>
  <c r="J78" i="18" s="1"/>
  <c r="G77" i="18"/>
  <c r="I77" i="18" s="1"/>
  <c r="J77" i="18" s="1"/>
  <c r="G76" i="18"/>
  <c r="I76" i="18" s="1"/>
  <c r="J76" i="18" s="1"/>
  <c r="G75" i="18"/>
  <c r="I75" i="18" s="1"/>
  <c r="E74" i="18"/>
  <c r="D74" i="18"/>
  <c r="G72" i="18"/>
  <c r="I72" i="18" s="1"/>
  <c r="J72" i="18" s="1"/>
  <c r="G71" i="18"/>
  <c r="I71" i="18" s="1"/>
  <c r="J71" i="18" s="1"/>
  <c r="G70" i="18"/>
  <c r="I70" i="18" s="1"/>
  <c r="G69" i="18"/>
  <c r="I69" i="18" s="1"/>
  <c r="G68" i="18"/>
  <c r="I68" i="18" s="1"/>
  <c r="J68" i="18" s="1"/>
  <c r="G67" i="18"/>
  <c r="I67" i="18" s="1"/>
  <c r="D66" i="18"/>
  <c r="G57" i="18"/>
  <c r="G56" i="18"/>
  <c r="I56" i="18" s="1"/>
  <c r="J56" i="18" s="1"/>
  <c r="J55" i="18"/>
  <c r="G54" i="18"/>
  <c r="I54" i="18" s="1"/>
  <c r="J54" i="18" s="1"/>
  <c r="G53" i="18"/>
  <c r="I53" i="18" s="1"/>
  <c r="J53" i="18" s="1"/>
  <c r="G52" i="18"/>
  <c r="I52" i="18" s="1"/>
  <c r="E51" i="18"/>
  <c r="D51" i="18"/>
  <c r="G51" i="18"/>
  <c r="G50" i="18"/>
  <c r="I50" i="18" s="1"/>
  <c r="J50" i="18" s="1"/>
  <c r="G49" i="18"/>
  <c r="I49" i="18" s="1"/>
  <c r="J49" i="18" s="1"/>
  <c r="G48" i="18"/>
  <c r="I48" i="18" s="1"/>
  <c r="J48" i="18" s="1"/>
  <c r="G47" i="18"/>
  <c r="I47" i="18" s="1"/>
  <c r="J47" i="18" s="1"/>
  <c r="G46" i="18"/>
  <c r="I46" i="18" s="1"/>
  <c r="J46" i="18" s="1"/>
  <c r="G45" i="18"/>
  <c r="I45" i="18" s="1"/>
  <c r="J45" i="18" s="1"/>
  <c r="G44" i="18"/>
  <c r="I44" i="18" s="1"/>
  <c r="N43" i="18"/>
  <c r="K43" i="18"/>
  <c r="F43" i="18"/>
  <c r="E43" i="18"/>
  <c r="D43" i="18"/>
  <c r="C43" i="18"/>
  <c r="B43" i="18"/>
  <c r="I42" i="18"/>
  <c r="J42" i="18" s="1"/>
  <c r="G41" i="18"/>
  <c r="I41" i="18" s="1"/>
  <c r="J41" i="18" s="1"/>
  <c r="G40" i="18"/>
  <c r="I40" i="18" s="1"/>
  <c r="J40" i="18" s="1"/>
  <c r="G39" i="18"/>
  <c r="I39" i="18" s="1"/>
  <c r="J39" i="18" s="1"/>
  <c r="G38" i="18"/>
  <c r="I38" i="18" s="1"/>
  <c r="J38" i="18" s="1"/>
  <c r="G37" i="18"/>
  <c r="I37" i="18" s="1"/>
  <c r="J37" i="18" s="1"/>
  <c r="G36" i="18"/>
  <c r="I36" i="18" s="1"/>
  <c r="N35" i="18"/>
  <c r="K35" i="18"/>
  <c r="F35" i="18"/>
  <c r="E35" i="18"/>
  <c r="D35" i="18"/>
  <c r="C35" i="18"/>
  <c r="B35" i="18"/>
  <c r="G34" i="18"/>
  <c r="I34" i="18" s="1"/>
  <c r="J34" i="18" s="1"/>
  <c r="G33" i="18"/>
  <c r="I33" i="18" s="1"/>
  <c r="J33" i="18" s="1"/>
  <c r="G32" i="18"/>
  <c r="I32" i="18" s="1"/>
  <c r="J32" i="18" s="1"/>
  <c r="G31" i="18"/>
  <c r="I31" i="18" s="1"/>
  <c r="J31" i="18" s="1"/>
  <c r="G30" i="18"/>
  <c r="I30" i="18" s="1"/>
  <c r="J30" i="18" s="1"/>
  <c r="G29" i="18"/>
  <c r="I29" i="18" s="1"/>
  <c r="J29" i="18" s="1"/>
  <c r="G28" i="18"/>
  <c r="I28" i="18" s="1"/>
  <c r="F27" i="18"/>
  <c r="E27" i="18"/>
  <c r="D27" i="18"/>
  <c r="C27" i="18"/>
  <c r="B27" i="18"/>
  <c r="G26" i="18"/>
  <c r="I26" i="18" s="1"/>
  <c r="J26" i="18" s="1"/>
  <c r="G25" i="18"/>
  <c r="I25" i="18" s="1"/>
  <c r="J25" i="18" s="1"/>
  <c r="G24" i="18"/>
  <c r="I24" i="18" s="1"/>
  <c r="J24" i="18" s="1"/>
  <c r="G23" i="18"/>
  <c r="I23" i="18" s="1"/>
  <c r="J23" i="18" s="1"/>
  <c r="G22" i="18"/>
  <c r="I22" i="18" s="1"/>
  <c r="J22" i="18" s="1"/>
  <c r="G21" i="18"/>
  <c r="I21" i="18" s="1"/>
  <c r="J21" i="18" s="1"/>
  <c r="G20" i="18"/>
  <c r="I20" i="18" s="1"/>
  <c r="K19" i="18"/>
  <c r="F19" i="18"/>
  <c r="D19" i="18"/>
  <c r="G18" i="18"/>
  <c r="I18" i="18" s="1"/>
  <c r="J18" i="18" s="1"/>
  <c r="G17" i="18"/>
  <c r="I17" i="18" s="1"/>
  <c r="J17" i="18" s="1"/>
  <c r="G16" i="18"/>
  <c r="I16" i="18" s="1"/>
  <c r="G15" i="18"/>
  <c r="I15" i="18" s="1"/>
  <c r="J15" i="18" s="1"/>
  <c r="G14" i="18"/>
  <c r="I14" i="18" s="1"/>
  <c r="J14" i="18" s="1"/>
  <c r="G13" i="18"/>
  <c r="I13" i="18" s="1"/>
  <c r="J13" i="18" s="1"/>
  <c r="G12" i="18"/>
  <c r="I12" i="18" s="1"/>
  <c r="K11" i="18"/>
  <c r="F11" i="18"/>
  <c r="E11" i="18"/>
  <c r="D11" i="18"/>
  <c r="C11" i="18"/>
  <c r="B11" i="18"/>
  <c r="G10" i="18"/>
  <c r="I10" i="18" s="1"/>
  <c r="J10" i="18" s="1"/>
  <c r="G9" i="18"/>
  <c r="I9" i="18" s="1"/>
  <c r="J9" i="18" s="1"/>
  <c r="I8" i="18"/>
  <c r="J8" i="18" s="1"/>
  <c r="G6" i="18"/>
  <c r="I6" i="18" s="1"/>
  <c r="J6" i="18" s="1"/>
  <c r="G5" i="18"/>
  <c r="I5" i="18" s="1"/>
  <c r="K3" i="18"/>
  <c r="F3" i="18"/>
  <c r="E3" i="18"/>
  <c r="D3" i="18"/>
  <c r="B3" i="18"/>
  <c r="G81" i="17"/>
  <c r="J81" i="17" s="1"/>
  <c r="G82" i="17"/>
  <c r="J82" i="17" s="1"/>
  <c r="E75" i="17"/>
  <c r="G210" i="17"/>
  <c r="G208" i="17"/>
  <c r="G207" i="17"/>
  <c r="G206" i="17"/>
  <c r="G205" i="17"/>
  <c r="G204" i="17"/>
  <c r="K203" i="17"/>
  <c r="H203" i="17"/>
  <c r="F203" i="17"/>
  <c r="E203" i="17"/>
  <c r="D203" i="17"/>
  <c r="C203" i="17"/>
  <c r="B203" i="17"/>
  <c r="G202" i="17"/>
  <c r="I202" i="17" s="1"/>
  <c r="J202" i="17" s="1"/>
  <c r="G200" i="17"/>
  <c r="I200" i="17" s="1"/>
  <c r="J200" i="17" s="1"/>
  <c r="G199" i="17"/>
  <c r="I199" i="17" s="1"/>
  <c r="J199" i="17" s="1"/>
  <c r="G198" i="17"/>
  <c r="I198" i="17" s="1"/>
  <c r="J198" i="17" s="1"/>
  <c r="G197" i="17"/>
  <c r="I197" i="17" s="1"/>
  <c r="J197" i="17" s="1"/>
  <c r="G196" i="17"/>
  <c r="I196" i="17" s="1"/>
  <c r="K195" i="17"/>
  <c r="H195" i="17"/>
  <c r="F195" i="17"/>
  <c r="E195" i="17"/>
  <c r="D195" i="17"/>
  <c r="C195" i="17"/>
  <c r="B195" i="17"/>
  <c r="G194" i="17"/>
  <c r="I194" i="17" s="1"/>
  <c r="J194" i="17" s="1"/>
  <c r="G192" i="17"/>
  <c r="I192" i="17" s="1"/>
  <c r="J192" i="17" s="1"/>
  <c r="G191" i="17"/>
  <c r="I191" i="17" s="1"/>
  <c r="J191" i="17" s="1"/>
  <c r="G190" i="17"/>
  <c r="I190" i="17" s="1"/>
  <c r="J190" i="17" s="1"/>
  <c r="G189" i="17"/>
  <c r="I189" i="17" s="1"/>
  <c r="J189" i="17" s="1"/>
  <c r="G188" i="17"/>
  <c r="I188" i="17" s="1"/>
  <c r="N187" i="17"/>
  <c r="O187" i="17" s="1"/>
  <c r="K187" i="17"/>
  <c r="H187" i="17"/>
  <c r="F187" i="17"/>
  <c r="E187" i="17"/>
  <c r="D187" i="17"/>
  <c r="C187" i="17"/>
  <c r="B187" i="17"/>
  <c r="G186" i="17"/>
  <c r="I186" i="17" s="1"/>
  <c r="G184" i="17"/>
  <c r="I184" i="17" s="1"/>
  <c r="G183" i="17"/>
  <c r="G182" i="17"/>
  <c r="I182" i="17" s="1"/>
  <c r="G181" i="17"/>
  <c r="I181" i="17" s="1"/>
  <c r="G180" i="17"/>
  <c r="I180" i="17" s="1"/>
  <c r="K179" i="17"/>
  <c r="H179" i="17"/>
  <c r="F179" i="17"/>
  <c r="E179" i="17"/>
  <c r="D179" i="17"/>
  <c r="C179" i="17"/>
  <c r="G178" i="17"/>
  <c r="I178" i="17" s="1"/>
  <c r="J178" i="17" s="1"/>
  <c r="I176" i="17"/>
  <c r="J176" i="17" s="1"/>
  <c r="G175" i="17"/>
  <c r="G174" i="17"/>
  <c r="G173" i="17"/>
  <c r="I173" i="17" s="1"/>
  <c r="J173" i="17" s="1"/>
  <c r="G172" i="17"/>
  <c r="I172" i="17" s="1"/>
  <c r="K171" i="17"/>
  <c r="E171" i="17"/>
  <c r="C171" i="17"/>
  <c r="G171" i="17" s="1"/>
  <c r="G138" i="17"/>
  <c r="I138" i="17" s="1"/>
  <c r="J138" i="17" s="1"/>
  <c r="G137" i="17"/>
  <c r="I137" i="17" s="1"/>
  <c r="J137" i="17" s="1"/>
  <c r="G136" i="17"/>
  <c r="I136" i="17" s="1"/>
  <c r="J136" i="17" s="1"/>
  <c r="G135" i="17"/>
  <c r="I135" i="17" s="1"/>
  <c r="J135" i="17" s="1"/>
  <c r="G134" i="17"/>
  <c r="I134" i="17" s="1"/>
  <c r="J134" i="17" s="1"/>
  <c r="G133" i="17"/>
  <c r="I133" i="17" s="1"/>
  <c r="G132" i="17"/>
  <c r="I132" i="17" s="1"/>
  <c r="J132" i="17" s="1"/>
  <c r="K131" i="17"/>
  <c r="H131" i="17"/>
  <c r="F131" i="17"/>
  <c r="E131" i="17"/>
  <c r="D131" i="17"/>
  <c r="C131" i="17"/>
  <c r="B131" i="17"/>
  <c r="G130" i="17"/>
  <c r="I130" i="17" s="1"/>
  <c r="J130" i="17" s="1"/>
  <c r="G129" i="17"/>
  <c r="I129" i="17" s="1"/>
  <c r="J129" i="17" s="1"/>
  <c r="G128" i="17"/>
  <c r="I128" i="17" s="1"/>
  <c r="J128" i="17" s="1"/>
  <c r="G127" i="17"/>
  <c r="I127" i="17" s="1"/>
  <c r="J127" i="17" s="1"/>
  <c r="G126" i="17"/>
  <c r="I126" i="17" s="1"/>
  <c r="J126" i="17" s="1"/>
  <c r="G125" i="17"/>
  <c r="I125" i="17" s="1"/>
  <c r="G124" i="17"/>
  <c r="I124" i="17" s="1"/>
  <c r="J124" i="17" s="1"/>
  <c r="F123" i="17"/>
  <c r="E123" i="17"/>
  <c r="D123" i="17"/>
  <c r="C123" i="17"/>
  <c r="B123" i="17"/>
  <c r="G90" i="17"/>
  <c r="I90" i="17" s="1"/>
  <c r="J90" i="17" s="1"/>
  <c r="G89" i="17"/>
  <c r="G88" i="17"/>
  <c r="I88" i="17" s="1"/>
  <c r="J88" i="17" s="1"/>
  <c r="J87" i="17"/>
  <c r="G86" i="17"/>
  <c r="I86" i="17" s="1"/>
  <c r="J86" i="17" s="1"/>
  <c r="G85" i="17"/>
  <c r="I85" i="17" s="1"/>
  <c r="J85" i="17" s="1"/>
  <c r="G84" i="17"/>
  <c r="I84" i="17" s="1"/>
  <c r="K83" i="17"/>
  <c r="H83" i="17"/>
  <c r="F83" i="17"/>
  <c r="E83" i="17"/>
  <c r="D83" i="17"/>
  <c r="C83" i="17"/>
  <c r="B83" i="17"/>
  <c r="N122" i="16"/>
  <c r="N106" i="16"/>
  <c r="N108" i="16"/>
  <c r="N179" i="16"/>
  <c r="N185" i="16"/>
  <c r="N180" i="16"/>
  <c r="N170" i="16"/>
  <c r="N129" i="16"/>
  <c r="N111" i="16"/>
  <c r="N154" i="16"/>
  <c r="N151" i="16"/>
  <c r="N82" i="16"/>
  <c r="N75" i="16" s="1"/>
  <c r="O75" i="16" s="1"/>
  <c r="N146" i="16"/>
  <c r="N123" i="16"/>
  <c r="O123" i="16" s="1"/>
  <c r="N188" i="15"/>
  <c r="N130" i="14"/>
  <c r="N84" i="16"/>
  <c r="N30" i="16"/>
  <c r="N143" i="16"/>
  <c r="N202" i="16"/>
  <c r="N198" i="16"/>
  <c r="N110" i="16"/>
  <c r="N109" i="16"/>
  <c r="N107" i="16" s="1"/>
  <c r="O107" i="16" s="1"/>
  <c r="N61" i="16"/>
  <c r="N22" i="16"/>
  <c r="N3" i="16"/>
  <c r="J170" i="16"/>
  <c r="J169" i="16"/>
  <c r="J167" i="16"/>
  <c r="J166" i="16"/>
  <c r="J165" i="16"/>
  <c r="J164" i="16"/>
  <c r="H90" i="16"/>
  <c r="J27" i="16"/>
  <c r="I27" i="16"/>
  <c r="J67" i="16"/>
  <c r="I67" i="16"/>
  <c r="K107" i="16"/>
  <c r="J107" i="16"/>
  <c r="I107" i="16"/>
  <c r="J155" i="16"/>
  <c r="I155" i="16"/>
  <c r="H155" i="16"/>
  <c r="H107" i="16"/>
  <c r="L212" i="16"/>
  <c r="J179" i="16"/>
  <c r="I179" i="16"/>
  <c r="O155" i="16"/>
  <c r="I153" i="16"/>
  <c r="J153" i="16" s="1"/>
  <c r="G153" i="16"/>
  <c r="G154" i="16"/>
  <c r="I154" i="16" s="1"/>
  <c r="J154" i="16" s="1"/>
  <c r="H105" i="16"/>
  <c r="G74" i="16"/>
  <c r="I74" i="16" s="1"/>
  <c r="J74" i="16" s="1"/>
  <c r="J73" i="16"/>
  <c r="O67" i="16"/>
  <c r="J57" i="16"/>
  <c r="N27" i="16"/>
  <c r="O27" i="16" s="1"/>
  <c r="O3" i="16"/>
  <c r="J9" i="16"/>
  <c r="J10" i="16"/>
  <c r="N67" i="16"/>
  <c r="K123" i="16"/>
  <c r="F123" i="16"/>
  <c r="E123" i="16"/>
  <c r="C123" i="16"/>
  <c r="B123" i="16"/>
  <c r="G130" i="16"/>
  <c r="I130" i="16" s="1"/>
  <c r="J130" i="16" s="1"/>
  <c r="G129" i="16"/>
  <c r="I129" i="16" s="1"/>
  <c r="J129" i="16" s="1"/>
  <c r="G128" i="16"/>
  <c r="I128" i="16" s="1"/>
  <c r="J128" i="16" s="1"/>
  <c r="G127" i="16"/>
  <c r="I127" i="16" s="1"/>
  <c r="J127" i="16" s="1"/>
  <c r="G126" i="16"/>
  <c r="I126" i="16" s="1"/>
  <c r="J126" i="16" s="1"/>
  <c r="G125" i="16"/>
  <c r="I125" i="16" s="1"/>
  <c r="J124" i="16"/>
  <c r="I124" i="16"/>
  <c r="G124" i="16"/>
  <c r="H123" i="16"/>
  <c r="D123" i="16"/>
  <c r="N130" i="15"/>
  <c r="N57" i="16"/>
  <c r="G122" i="16"/>
  <c r="I122" i="16" s="1"/>
  <c r="J122" i="16" s="1"/>
  <c r="G121" i="16"/>
  <c r="I121" i="16" s="1"/>
  <c r="J121" i="16" s="1"/>
  <c r="G120" i="16"/>
  <c r="I120" i="16" s="1"/>
  <c r="J120" i="16" s="1"/>
  <c r="G119" i="16"/>
  <c r="I119" i="16" s="1"/>
  <c r="J119" i="16" s="1"/>
  <c r="G118" i="16"/>
  <c r="I118" i="16" s="1"/>
  <c r="J118" i="16" s="1"/>
  <c r="G117" i="16"/>
  <c r="I117" i="16" s="1"/>
  <c r="J117" i="16" s="1"/>
  <c r="G116" i="16"/>
  <c r="I116" i="16" s="1"/>
  <c r="N115" i="16"/>
  <c r="O115" i="16" s="1"/>
  <c r="K115" i="16"/>
  <c r="H115" i="16"/>
  <c r="F115" i="16"/>
  <c r="E115" i="16"/>
  <c r="D115" i="16"/>
  <c r="C115" i="16"/>
  <c r="B115" i="16"/>
  <c r="H184" i="16"/>
  <c r="H182" i="16"/>
  <c r="J186" i="16"/>
  <c r="G181" i="16"/>
  <c r="G182" i="16"/>
  <c r="G183" i="16"/>
  <c r="G184" i="16"/>
  <c r="G185" i="16"/>
  <c r="G186" i="16"/>
  <c r="H173" i="16"/>
  <c r="H141" i="16"/>
  <c r="H140" i="16"/>
  <c r="H109" i="16"/>
  <c r="H80" i="16"/>
  <c r="H79" i="16"/>
  <c r="J82" i="16"/>
  <c r="H76" i="16"/>
  <c r="H56" i="16"/>
  <c r="I55" i="16"/>
  <c r="I58" i="16"/>
  <c r="G55" i="16"/>
  <c r="G56" i="16"/>
  <c r="I56" i="16" s="1"/>
  <c r="G57" i="16"/>
  <c r="I57" i="16" s="1"/>
  <c r="G58" i="16"/>
  <c r="H54" i="16"/>
  <c r="H53" i="16"/>
  <c r="H52" i="16"/>
  <c r="H37" i="16"/>
  <c r="I7" i="16"/>
  <c r="J7" i="16" s="1"/>
  <c r="G7" i="16"/>
  <c r="O83" i="15"/>
  <c r="N182" i="16"/>
  <c r="N85" i="15"/>
  <c r="N138" i="15"/>
  <c r="N99" i="16"/>
  <c r="O99" i="16" s="1"/>
  <c r="N34" i="14"/>
  <c r="N29" i="14"/>
  <c r="N42" i="15"/>
  <c r="E51" i="16"/>
  <c r="E19" i="16"/>
  <c r="C19" i="16"/>
  <c r="B19" i="16"/>
  <c r="F19" i="16"/>
  <c r="G258" i="17"/>
  <c r="I258" i="17" s="1"/>
  <c r="J258" i="17" s="1"/>
  <c r="G257" i="17"/>
  <c r="I257" i="17" s="1"/>
  <c r="J257" i="17" s="1"/>
  <c r="G256" i="17"/>
  <c r="I256" i="17" s="1"/>
  <c r="J256" i="17" s="1"/>
  <c r="G255" i="17"/>
  <c r="I255" i="17" s="1"/>
  <c r="J255" i="17" s="1"/>
  <c r="G254" i="17"/>
  <c r="I254" i="17" s="1"/>
  <c r="J254" i="17" s="1"/>
  <c r="G253" i="17"/>
  <c r="I253" i="17" s="1"/>
  <c r="J253" i="17" s="1"/>
  <c r="G252" i="17"/>
  <c r="I252" i="17" s="1"/>
  <c r="K251" i="17"/>
  <c r="H251" i="17"/>
  <c r="F251" i="17"/>
  <c r="E251" i="17"/>
  <c r="D251" i="17"/>
  <c r="C251" i="17"/>
  <c r="B251" i="17"/>
  <c r="G250" i="17"/>
  <c r="I250" i="17" s="1"/>
  <c r="J250" i="17" s="1"/>
  <c r="G249" i="17"/>
  <c r="I249" i="17" s="1"/>
  <c r="J249" i="17" s="1"/>
  <c r="G248" i="17"/>
  <c r="I248" i="17" s="1"/>
  <c r="J248" i="17" s="1"/>
  <c r="G247" i="17"/>
  <c r="I247" i="17" s="1"/>
  <c r="J247" i="17" s="1"/>
  <c r="G246" i="17"/>
  <c r="I246" i="17" s="1"/>
  <c r="J246" i="17" s="1"/>
  <c r="G245" i="17"/>
  <c r="I245" i="17" s="1"/>
  <c r="J245" i="17" s="1"/>
  <c r="G244" i="17"/>
  <c r="I244" i="17" s="1"/>
  <c r="J244" i="17" s="1"/>
  <c r="N243" i="17"/>
  <c r="K243" i="17"/>
  <c r="H243" i="17"/>
  <c r="F243" i="17"/>
  <c r="E243" i="17"/>
  <c r="D243" i="17"/>
  <c r="C243" i="17"/>
  <c r="G242" i="17"/>
  <c r="J242" i="17" s="1"/>
  <c r="G241" i="17"/>
  <c r="J241" i="17" s="1"/>
  <c r="G240" i="17"/>
  <c r="J240" i="17" s="1"/>
  <c r="G239" i="17"/>
  <c r="J239" i="17" s="1"/>
  <c r="G238" i="17"/>
  <c r="J238" i="17" s="1"/>
  <c r="G237" i="17"/>
  <c r="J237" i="17" s="1"/>
  <c r="G236" i="17"/>
  <c r="I236" i="17" s="1"/>
  <c r="K235" i="17"/>
  <c r="H235" i="17"/>
  <c r="F235" i="17"/>
  <c r="E235" i="17"/>
  <c r="D235" i="17"/>
  <c r="C235" i="17"/>
  <c r="B235" i="17"/>
  <c r="I233" i="17"/>
  <c r="G232" i="17"/>
  <c r="I232" i="17" s="1"/>
  <c r="G231" i="17"/>
  <c r="I231" i="17" s="1"/>
  <c r="G230" i="17"/>
  <c r="I230" i="17" s="1"/>
  <c r="J229" i="17"/>
  <c r="K227" i="17"/>
  <c r="H227" i="17"/>
  <c r="F227" i="17"/>
  <c r="E227" i="17"/>
  <c r="D227" i="17"/>
  <c r="C227" i="17"/>
  <c r="B227" i="17"/>
  <c r="G226" i="17"/>
  <c r="I226" i="17" s="1"/>
  <c r="J226" i="17" s="1"/>
  <c r="G225" i="17"/>
  <c r="I225" i="17" s="1"/>
  <c r="J225" i="17" s="1"/>
  <c r="G224" i="17"/>
  <c r="I224" i="17" s="1"/>
  <c r="J224" i="17" s="1"/>
  <c r="G223" i="17"/>
  <c r="I223" i="17" s="1"/>
  <c r="J223" i="17" s="1"/>
  <c r="G222" i="17"/>
  <c r="I222" i="17" s="1"/>
  <c r="J222" i="17" s="1"/>
  <c r="G221" i="17"/>
  <c r="I221" i="17" s="1"/>
  <c r="J221" i="17" s="1"/>
  <c r="G220" i="17"/>
  <c r="I220" i="17" s="1"/>
  <c r="K219" i="17"/>
  <c r="H219" i="17"/>
  <c r="F219" i="17"/>
  <c r="E219" i="17"/>
  <c r="C219" i="17"/>
  <c r="B219" i="17"/>
  <c r="G218" i="17"/>
  <c r="I218" i="17" s="1"/>
  <c r="J218" i="17" s="1"/>
  <c r="G217" i="17"/>
  <c r="I217" i="17" s="1"/>
  <c r="J217" i="17" s="1"/>
  <c r="G216" i="17"/>
  <c r="I216" i="17" s="1"/>
  <c r="J216" i="17" s="1"/>
  <c r="G215" i="17"/>
  <c r="I215" i="17" s="1"/>
  <c r="J215" i="17" s="1"/>
  <c r="G214" i="17"/>
  <c r="I214" i="17" s="1"/>
  <c r="J214" i="17" s="1"/>
  <c r="G213" i="17"/>
  <c r="I213" i="17" s="1"/>
  <c r="J213" i="17" s="1"/>
  <c r="G212" i="17"/>
  <c r="I212" i="17" s="1"/>
  <c r="J212" i="17" s="1"/>
  <c r="K211" i="17"/>
  <c r="H211" i="17"/>
  <c r="F211" i="17"/>
  <c r="E211" i="17"/>
  <c r="D211" i="17"/>
  <c r="C211" i="17"/>
  <c r="B211" i="17"/>
  <c r="G170" i="17"/>
  <c r="I170" i="17" s="1"/>
  <c r="J170" i="17" s="1"/>
  <c r="G168" i="17"/>
  <c r="I168" i="17" s="1"/>
  <c r="J168" i="17" s="1"/>
  <c r="G167" i="17"/>
  <c r="I167" i="17" s="1"/>
  <c r="J167" i="17" s="1"/>
  <c r="G166" i="17"/>
  <c r="I166" i="17" s="1"/>
  <c r="G165" i="17"/>
  <c r="I165" i="17" s="1"/>
  <c r="J165" i="17" s="1"/>
  <c r="G164" i="17"/>
  <c r="I164" i="17" s="1"/>
  <c r="J164" i="17" s="1"/>
  <c r="N163" i="17"/>
  <c r="K163" i="17"/>
  <c r="H163" i="17"/>
  <c r="F163" i="17"/>
  <c r="E163" i="17"/>
  <c r="D163" i="17"/>
  <c r="C163" i="17"/>
  <c r="B163" i="17"/>
  <c r="G162" i="17"/>
  <c r="I162" i="17" s="1"/>
  <c r="J162" i="17" s="1"/>
  <c r="G161" i="17"/>
  <c r="I161" i="17" s="1"/>
  <c r="J161" i="17" s="1"/>
  <c r="G160" i="17"/>
  <c r="I160" i="17" s="1"/>
  <c r="J160" i="17" s="1"/>
  <c r="G159" i="17"/>
  <c r="I159" i="17" s="1"/>
  <c r="J158" i="17"/>
  <c r="G158" i="17"/>
  <c r="G157" i="17"/>
  <c r="I157" i="17" s="1"/>
  <c r="J157" i="17" s="1"/>
  <c r="G156" i="17"/>
  <c r="I156" i="17" s="1"/>
  <c r="J156" i="17" s="1"/>
  <c r="H155" i="17"/>
  <c r="F155" i="17"/>
  <c r="E155" i="17"/>
  <c r="D155" i="17"/>
  <c r="C155" i="17"/>
  <c r="B155" i="17"/>
  <c r="G154" i="17"/>
  <c r="I154" i="17" s="1"/>
  <c r="J154" i="17" s="1"/>
  <c r="G153" i="17"/>
  <c r="I153" i="17" s="1"/>
  <c r="J153" i="17" s="1"/>
  <c r="G152" i="17"/>
  <c r="I152" i="17" s="1"/>
  <c r="J152" i="17" s="1"/>
  <c r="G151" i="17"/>
  <c r="I151" i="17" s="1"/>
  <c r="J151" i="17" s="1"/>
  <c r="G150" i="17"/>
  <c r="I150" i="17" s="1"/>
  <c r="J150" i="17" s="1"/>
  <c r="G149" i="17"/>
  <c r="I149" i="17" s="1"/>
  <c r="J149" i="17" s="1"/>
  <c r="G148" i="17"/>
  <c r="I148" i="17" s="1"/>
  <c r="N147" i="17"/>
  <c r="K147" i="17"/>
  <c r="H147" i="17"/>
  <c r="F147" i="17"/>
  <c r="E147" i="17"/>
  <c r="E139" i="17" s="1"/>
  <c r="D147" i="17"/>
  <c r="C147" i="17"/>
  <c r="C139" i="17" s="1"/>
  <c r="B147" i="17"/>
  <c r="G146" i="17"/>
  <c r="I146" i="17" s="1"/>
  <c r="J146" i="17" s="1"/>
  <c r="G145" i="17"/>
  <c r="I145" i="17" s="1"/>
  <c r="J145" i="17" s="1"/>
  <c r="G144" i="17"/>
  <c r="I144" i="17" s="1"/>
  <c r="J144" i="17" s="1"/>
  <c r="G143" i="17"/>
  <c r="I143" i="17" s="1"/>
  <c r="J143" i="17" s="1"/>
  <c r="G142" i="17"/>
  <c r="I142" i="17" s="1"/>
  <c r="J142" i="17" s="1"/>
  <c r="G141" i="17"/>
  <c r="I141" i="17" s="1"/>
  <c r="J141" i="17" s="1"/>
  <c r="G140" i="17"/>
  <c r="I140" i="17" s="1"/>
  <c r="N139" i="17"/>
  <c r="H139" i="17"/>
  <c r="F139" i="17"/>
  <c r="D139" i="17"/>
  <c r="G122" i="17"/>
  <c r="I122" i="17" s="1"/>
  <c r="J122" i="17" s="1"/>
  <c r="G121" i="17"/>
  <c r="I121" i="17" s="1"/>
  <c r="J121" i="17" s="1"/>
  <c r="G120" i="17"/>
  <c r="I120" i="17" s="1"/>
  <c r="J120" i="17" s="1"/>
  <c r="G119" i="17"/>
  <c r="I119" i="17" s="1"/>
  <c r="J119" i="17" s="1"/>
  <c r="G118" i="17"/>
  <c r="I118" i="17" s="1"/>
  <c r="J118" i="17" s="1"/>
  <c r="G117" i="17"/>
  <c r="I117" i="17" s="1"/>
  <c r="G116" i="17"/>
  <c r="I116" i="17" s="1"/>
  <c r="J116" i="17" s="1"/>
  <c r="H115" i="17"/>
  <c r="F115" i="17"/>
  <c r="E115" i="17"/>
  <c r="D115" i="17"/>
  <c r="C115" i="17"/>
  <c r="B115" i="17"/>
  <c r="G114" i="17"/>
  <c r="I114" i="17" s="1"/>
  <c r="J114" i="17" s="1"/>
  <c r="G113" i="17"/>
  <c r="I113" i="17" s="1"/>
  <c r="J113" i="17" s="1"/>
  <c r="G112" i="17"/>
  <c r="I112" i="17" s="1"/>
  <c r="J112" i="17" s="1"/>
  <c r="G111" i="17"/>
  <c r="I111" i="17" s="1"/>
  <c r="J111" i="17" s="1"/>
  <c r="G110" i="17"/>
  <c r="I110" i="17" s="1"/>
  <c r="J110" i="17" s="1"/>
  <c r="G109" i="17"/>
  <c r="I109" i="17" s="1"/>
  <c r="J109" i="17" s="1"/>
  <c r="G108" i="17"/>
  <c r="I108" i="17" s="1"/>
  <c r="K107" i="17"/>
  <c r="H107" i="17"/>
  <c r="F107" i="17"/>
  <c r="E107" i="17"/>
  <c r="C107" i="17"/>
  <c r="B107" i="17"/>
  <c r="G106" i="17"/>
  <c r="I106" i="17" s="1"/>
  <c r="J106" i="17" s="1"/>
  <c r="G105" i="17"/>
  <c r="I105" i="17" s="1"/>
  <c r="J105" i="17" s="1"/>
  <c r="G104" i="17"/>
  <c r="I104" i="17" s="1"/>
  <c r="J104" i="17" s="1"/>
  <c r="G103" i="17"/>
  <c r="I103" i="17" s="1"/>
  <c r="J103" i="17" s="1"/>
  <c r="G102" i="17"/>
  <c r="I102" i="17" s="1"/>
  <c r="J102" i="17" s="1"/>
  <c r="G101" i="17"/>
  <c r="I101" i="17" s="1"/>
  <c r="J101" i="17" s="1"/>
  <c r="G100" i="17"/>
  <c r="I100" i="17" s="1"/>
  <c r="K99" i="17"/>
  <c r="H99" i="17"/>
  <c r="F99" i="17"/>
  <c r="E99" i="17"/>
  <c r="C99" i="17"/>
  <c r="B99" i="17"/>
  <c r="G98" i="17"/>
  <c r="I98" i="17" s="1"/>
  <c r="J98" i="17" s="1"/>
  <c r="G97" i="17"/>
  <c r="I97" i="17" s="1"/>
  <c r="J97" i="17" s="1"/>
  <c r="G96" i="17"/>
  <c r="I96" i="17" s="1"/>
  <c r="J96" i="17" s="1"/>
  <c r="G95" i="17"/>
  <c r="I95" i="17" s="1"/>
  <c r="J95" i="17" s="1"/>
  <c r="G94" i="17"/>
  <c r="I94" i="17" s="1"/>
  <c r="J94" i="17" s="1"/>
  <c r="G93" i="17"/>
  <c r="I93" i="17" s="1"/>
  <c r="G92" i="17"/>
  <c r="I92" i="17" s="1"/>
  <c r="J92" i="17" s="1"/>
  <c r="N91" i="17"/>
  <c r="K91" i="17"/>
  <c r="H91" i="17"/>
  <c r="F91" i="17"/>
  <c r="E91" i="17"/>
  <c r="D91" i="17"/>
  <c r="C91" i="17"/>
  <c r="B91" i="17"/>
  <c r="G80" i="17"/>
  <c r="J80" i="17" s="1"/>
  <c r="G79" i="17"/>
  <c r="G78" i="17"/>
  <c r="G77" i="17"/>
  <c r="G76" i="17"/>
  <c r="I76" i="17" s="1"/>
  <c r="J76" i="17" s="1"/>
  <c r="D75" i="17"/>
  <c r="G73" i="17"/>
  <c r="I73" i="17" s="1"/>
  <c r="G72" i="17"/>
  <c r="I72" i="17" s="1"/>
  <c r="J72" i="17" s="1"/>
  <c r="G71" i="17"/>
  <c r="I71" i="17" s="1"/>
  <c r="G70" i="17"/>
  <c r="I70" i="17" s="1"/>
  <c r="G69" i="17"/>
  <c r="I69" i="17" s="1"/>
  <c r="J69" i="17" s="1"/>
  <c r="G68" i="17"/>
  <c r="I68" i="17" s="1"/>
  <c r="N67" i="17"/>
  <c r="K67" i="17"/>
  <c r="H67" i="17"/>
  <c r="F67" i="17"/>
  <c r="E67" i="17"/>
  <c r="D67" i="17"/>
  <c r="C67" i="17"/>
  <c r="B67" i="17"/>
  <c r="G66" i="17"/>
  <c r="I66" i="17" s="1"/>
  <c r="G65" i="17"/>
  <c r="I65" i="17" s="1"/>
  <c r="J65" i="17" s="1"/>
  <c r="G64" i="17"/>
  <c r="I64" i="17" s="1"/>
  <c r="J64" i="17" s="1"/>
  <c r="G63" i="17"/>
  <c r="I63" i="17" s="1"/>
  <c r="J63" i="17" s="1"/>
  <c r="G62" i="17"/>
  <c r="I62" i="17" s="1"/>
  <c r="J62" i="17" s="1"/>
  <c r="G61" i="17"/>
  <c r="I61" i="17" s="1"/>
  <c r="J61" i="17" s="1"/>
  <c r="G60" i="17"/>
  <c r="I60" i="17" s="1"/>
  <c r="N59" i="17"/>
  <c r="K59" i="17"/>
  <c r="H59" i="17"/>
  <c r="F59" i="17"/>
  <c r="E59" i="17"/>
  <c r="D59" i="17"/>
  <c r="C59" i="17"/>
  <c r="B59" i="17"/>
  <c r="G58" i="17"/>
  <c r="I58" i="17" s="1"/>
  <c r="J58" i="17" s="1"/>
  <c r="G57" i="17"/>
  <c r="G56" i="17"/>
  <c r="I56" i="17" s="1"/>
  <c r="J56" i="17" s="1"/>
  <c r="J55" i="17"/>
  <c r="G54" i="17"/>
  <c r="I54" i="17" s="1"/>
  <c r="J54" i="17" s="1"/>
  <c r="G53" i="17"/>
  <c r="I53" i="17" s="1"/>
  <c r="J53" i="17" s="1"/>
  <c r="G52" i="17"/>
  <c r="I52" i="17" s="1"/>
  <c r="J52" i="17" s="1"/>
  <c r="N51" i="17"/>
  <c r="K51" i="17"/>
  <c r="H51" i="17"/>
  <c r="F51" i="17"/>
  <c r="E51" i="17"/>
  <c r="D51" i="17"/>
  <c r="C51" i="17"/>
  <c r="B51" i="17"/>
  <c r="G50" i="17"/>
  <c r="I50" i="17" s="1"/>
  <c r="J50" i="17" s="1"/>
  <c r="G49" i="17"/>
  <c r="I49" i="17" s="1"/>
  <c r="J49" i="17" s="1"/>
  <c r="G48" i="17"/>
  <c r="I48" i="17" s="1"/>
  <c r="J48" i="17" s="1"/>
  <c r="G47" i="17"/>
  <c r="I47" i="17" s="1"/>
  <c r="J47" i="17" s="1"/>
  <c r="G46" i="17"/>
  <c r="I46" i="17" s="1"/>
  <c r="J46" i="17" s="1"/>
  <c r="G45" i="17"/>
  <c r="I45" i="17" s="1"/>
  <c r="J45" i="17" s="1"/>
  <c r="G44" i="17"/>
  <c r="I44" i="17" s="1"/>
  <c r="J44" i="17" s="1"/>
  <c r="N43" i="17"/>
  <c r="K43" i="17"/>
  <c r="H43" i="17"/>
  <c r="F43" i="17"/>
  <c r="E43" i="17"/>
  <c r="D43" i="17"/>
  <c r="C43" i="17"/>
  <c r="B43" i="17"/>
  <c r="I42" i="17"/>
  <c r="J42" i="17" s="1"/>
  <c r="I41" i="17"/>
  <c r="J41" i="17" s="1"/>
  <c r="G40" i="17"/>
  <c r="I40" i="17" s="1"/>
  <c r="J40" i="17" s="1"/>
  <c r="G39" i="17"/>
  <c r="I39" i="17" s="1"/>
  <c r="J39" i="17" s="1"/>
  <c r="G38" i="17"/>
  <c r="I38" i="17" s="1"/>
  <c r="J38" i="17" s="1"/>
  <c r="G37" i="17"/>
  <c r="I37" i="17" s="1"/>
  <c r="J37" i="17" s="1"/>
  <c r="G36" i="17"/>
  <c r="I36" i="17" s="1"/>
  <c r="J36" i="17" s="1"/>
  <c r="K35" i="17"/>
  <c r="H35" i="17"/>
  <c r="F35" i="17"/>
  <c r="E35" i="17"/>
  <c r="D35" i="17"/>
  <c r="C35" i="17"/>
  <c r="B35" i="17"/>
  <c r="G34" i="17"/>
  <c r="I34" i="17" s="1"/>
  <c r="J34" i="17" s="1"/>
  <c r="G33" i="17"/>
  <c r="I33" i="17" s="1"/>
  <c r="J33" i="17" s="1"/>
  <c r="G32" i="17"/>
  <c r="I32" i="17" s="1"/>
  <c r="J32" i="17" s="1"/>
  <c r="G31" i="17"/>
  <c r="I31" i="17" s="1"/>
  <c r="J31" i="17" s="1"/>
  <c r="G30" i="17"/>
  <c r="I30" i="17" s="1"/>
  <c r="J30" i="17" s="1"/>
  <c r="G29" i="17"/>
  <c r="I29" i="17" s="1"/>
  <c r="J29" i="17" s="1"/>
  <c r="G28" i="17"/>
  <c r="I28" i="17" s="1"/>
  <c r="K27" i="17"/>
  <c r="H27" i="17"/>
  <c r="F27" i="17"/>
  <c r="E27" i="17"/>
  <c r="D27" i="17"/>
  <c r="C27" i="17"/>
  <c r="B27" i="17"/>
  <c r="G25" i="17"/>
  <c r="G24" i="17"/>
  <c r="G23" i="17"/>
  <c r="G22" i="17"/>
  <c r="G21" i="17"/>
  <c r="G20" i="17"/>
  <c r="I20" i="17" s="1"/>
  <c r="J20" i="17" s="1"/>
  <c r="G18" i="17"/>
  <c r="I18" i="17" s="1"/>
  <c r="J18" i="17" s="1"/>
  <c r="G17" i="17"/>
  <c r="I17" i="17" s="1"/>
  <c r="J17" i="17" s="1"/>
  <c r="G16" i="17"/>
  <c r="I16" i="17" s="1"/>
  <c r="J16" i="17" s="1"/>
  <c r="G15" i="17"/>
  <c r="I15" i="17" s="1"/>
  <c r="J15" i="17" s="1"/>
  <c r="G14" i="17"/>
  <c r="I14" i="17" s="1"/>
  <c r="J14" i="17" s="1"/>
  <c r="G13" i="17"/>
  <c r="I13" i="17" s="1"/>
  <c r="G12" i="17"/>
  <c r="I12" i="17" s="1"/>
  <c r="J12" i="17" s="1"/>
  <c r="N11" i="17"/>
  <c r="K11" i="17"/>
  <c r="H11" i="17"/>
  <c r="F11" i="17"/>
  <c r="E11" i="17"/>
  <c r="D11" i="17"/>
  <c r="C11" i="17"/>
  <c r="B11" i="17"/>
  <c r="G10" i="17"/>
  <c r="I10" i="17" s="1"/>
  <c r="G9" i="17"/>
  <c r="I9" i="17" s="1"/>
  <c r="G8" i="17"/>
  <c r="I8" i="17" s="1"/>
  <c r="G6" i="17"/>
  <c r="I6" i="17" s="1"/>
  <c r="J6" i="17" s="1"/>
  <c r="G5" i="17"/>
  <c r="I5" i="17" s="1"/>
  <c r="J4" i="17"/>
  <c r="K3" i="17"/>
  <c r="H3" i="17"/>
  <c r="F3" i="17"/>
  <c r="E3" i="17"/>
  <c r="D3" i="17"/>
  <c r="C3" i="17"/>
  <c r="B3" i="17"/>
  <c r="G210" i="16"/>
  <c r="I210" i="16" s="1"/>
  <c r="J210" i="16" s="1"/>
  <c r="G209" i="16"/>
  <c r="I209" i="16" s="1"/>
  <c r="J209" i="16" s="1"/>
  <c r="G208" i="16"/>
  <c r="I208" i="16" s="1"/>
  <c r="J208" i="16" s="1"/>
  <c r="G207" i="16"/>
  <c r="I207" i="16" s="1"/>
  <c r="J207" i="16" s="1"/>
  <c r="G206" i="16"/>
  <c r="I206" i="16" s="1"/>
  <c r="J206" i="16" s="1"/>
  <c r="G205" i="16"/>
  <c r="I205" i="16" s="1"/>
  <c r="J205" i="16" s="1"/>
  <c r="I204" i="16"/>
  <c r="G204" i="16"/>
  <c r="N203" i="16"/>
  <c r="O203" i="16" s="1"/>
  <c r="K203" i="16"/>
  <c r="H203" i="16"/>
  <c r="F203" i="16"/>
  <c r="E203" i="16"/>
  <c r="D203" i="16"/>
  <c r="C203" i="16"/>
  <c r="B203" i="16"/>
  <c r="G202" i="16"/>
  <c r="I202" i="16" s="1"/>
  <c r="J202" i="16" s="1"/>
  <c r="G201" i="16"/>
  <c r="I201" i="16" s="1"/>
  <c r="J201" i="16" s="1"/>
  <c r="G200" i="16"/>
  <c r="I200" i="16" s="1"/>
  <c r="J200" i="16" s="1"/>
  <c r="G199" i="16"/>
  <c r="I199" i="16" s="1"/>
  <c r="J199" i="16" s="1"/>
  <c r="G198" i="16"/>
  <c r="I198" i="16" s="1"/>
  <c r="J198" i="16" s="1"/>
  <c r="G197" i="16"/>
  <c r="I197" i="16" s="1"/>
  <c r="J197" i="16" s="1"/>
  <c r="G196" i="16"/>
  <c r="I196" i="16" s="1"/>
  <c r="N195" i="16"/>
  <c r="O195" i="16" s="1"/>
  <c r="K195" i="16"/>
  <c r="H195" i="16"/>
  <c r="F195" i="16"/>
  <c r="E195" i="16"/>
  <c r="D195" i="16"/>
  <c r="C195" i="16"/>
  <c r="B195" i="16"/>
  <c r="N154" i="15"/>
  <c r="I132" i="24" l="1"/>
  <c r="J140" i="24"/>
  <c r="J132" i="24" s="1"/>
  <c r="N27" i="24"/>
  <c r="O27" i="24" s="1"/>
  <c r="N221" i="24"/>
  <c r="O221" i="24" s="1"/>
  <c r="N245" i="24"/>
  <c r="O245" i="24" s="1"/>
  <c r="N285" i="24"/>
  <c r="O285" i="24" s="1"/>
  <c r="J74" i="24"/>
  <c r="J59" i="24"/>
  <c r="I59" i="24"/>
  <c r="N301" i="24"/>
  <c r="O301" i="24" s="1"/>
  <c r="N333" i="24"/>
  <c r="O333" i="24" s="1"/>
  <c r="J342" i="24"/>
  <c r="J341" i="24" s="1"/>
  <c r="I341" i="24"/>
  <c r="J229" i="24"/>
  <c r="I233" i="24"/>
  <c r="I228" i="24" s="1"/>
  <c r="O3" i="24"/>
  <c r="J28" i="24"/>
  <c r="I27" i="24"/>
  <c r="I283" i="24"/>
  <c r="J283" i="24" s="1"/>
  <c r="J294" i="24"/>
  <c r="J293" i="24" s="1"/>
  <c r="I293" i="24"/>
  <c r="J203" i="24"/>
  <c r="E350" i="24"/>
  <c r="K350" i="24"/>
  <c r="J197" i="24"/>
  <c r="M197" i="24" s="1"/>
  <c r="I197" i="24"/>
  <c r="J246" i="24"/>
  <c r="J245" i="24" s="1"/>
  <c r="I245" i="24"/>
  <c r="J189" i="24"/>
  <c r="I189" i="24"/>
  <c r="J181" i="24"/>
  <c r="M181" i="24" s="1"/>
  <c r="I181" i="24"/>
  <c r="M132" i="24"/>
  <c r="J116" i="24"/>
  <c r="M116" i="24" s="1"/>
  <c r="I116" i="24"/>
  <c r="J68" i="24"/>
  <c r="I68" i="24"/>
  <c r="J77" i="24"/>
  <c r="M77" i="24" s="1"/>
  <c r="I77" i="24"/>
  <c r="J43" i="24"/>
  <c r="M59" i="24"/>
  <c r="M68" i="24"/>
  <c r="J142" i="24"/>
  <c r="I141" i="24"/>
  <c r="J214" i="24"/>
  <c r="J213" i="24" s="1"/>
  <c r="I213" i="24"/>
  <c r="H173" i="24"/>
  <c r="O253" i="24"/>
  <c r="G141" i="24"/>
  <c r="G173" i="24"/>
  <c r="G261" i="24"/>
  <c r="M341" i="24"/>
  <c r="H325" i="24"/>
  <c r="J320" i="24"/>
  <c r="G85" i="24"/>
  <c r="N237" i="24"/>
  <c r="O237" i="24" s="1"/>
  <c r="J303" i="24"/>
  <c r="O317" i="24"/>
  <c r="G325" i="24"/>
  <c r="J328" i="24"/>
  <c r="N85" i="24"/>
  <c r="O85" i="24" s="1"/>
  <c r="J51" i="24"/>
  <c r="M51" i="24" s="1"/>
  <c r="J175" i="24"/>
  <c r="J173" i="24" s="1"/>
  <c r="M173" i="24" s="1"/>
  <c r="J329" i="24"/>
  <c r="N100" i="24"/>
  <c r="O100" i="24" s="1"/>
  <c r="I51" i="24"/>
  <c r="N11" i="24"/>
  <c r="H85" i="24"/>
  <c r="G285" i="24"/>
  <c r="J319" i="24"/>
  <c r="G35" i="24"/>
  <c r="J35" i="24"/>
  <c r="M35" i="24" s="1"/>
  <c r="G301" i="24"/>
  <c r="J88" i="24"/>
  <c r="J333" i="24"/>
  <c r="M333" i="24" s="1"/>
  <c r="J237" i="24"/>
  <c r="M237" i="24" s="1"/>
  <c r="J326" i="24"/>
  <c r="M301" i="24"/>
  <c r="J22" i="24"/>
  <c r="J19" i="24" s="1"/>
  <c r="M19" i="24" s="1"/>
  <c r="J32" i="24"/>
  <c r="F85" i="24"/>
  <c r="F350" i="24" s="1"/>
  <c r="J327" i="24"/>
  <c r="M245" i="24"/>
  <c r="N325" i="24"/>
  <c r="O325" i="24" s="1"/>
  <c r="N149" i="24"/>
  <c r="O149" i="24" s="1"/>
  <c r="J93" i="24"/>
  <c r="M93" i="24" s="1"/>
  <c r="N124" i="24"/>
  <c r="O124" i="24" s="1"/>
  <c r="I149" i="24"/>
  <c r="N19" i="24"/>
  <c r="O19" i="24" s="1"/>
  <c r="J221" i="24"/>
  <c r="M221" i="24" s="1"/>
  <c r="M293" i="24"/>
  <c r="G205" i="24"/>
  <c r="J269" i="24"/>
  <c r="M269" i="24" s="1"/>
  <c r="G317" i="24"/>
  <c r="J318" i="24"/>
  <c r="J317" i="24" s="1"/>
  <c r="G27" i="24"/>
  <c r="J11" i="24"/>
  <c r="M11" i="24" s="1"/>
  <c r="J264" i="24"/>
  <c r="J261" i="24" s="1"/>
  <c r="M261" i="24" s="1"/>
  <c r="M317" i="24"/>
  <c r="I253" i="24"/>
  <c r="I100" i="24"/>
  <c r="G221" i="24"/>
  <c r="G253" i="24"/>
  <c r="J165" i="24"/>
  <c r="M165" i="24" s="1"/>
  <c r="I221" i="24"/>
  <c r="J103" i="24"/>
  <c r="J150" i="24"/>
  <c r="J149" i="24" s="1"/>
  <c r="M149" i="24" s="1"/>
  <c r="J309" i="24"/>
  <c r="M309" i="24" s="1"/>
  <c r="J7" i="24"/>
  <c r="G124" i="24"/>
  <c r="J285" i="24"/>
  <c r="M285" i="24" s="1"/>
  <c r="J89" i="24"/>
  <c r="J157" i="24"/>
  <c r="M157" i="24" s="1"/>
  <c r="G245" i="24"/>
  <c r="J104" i="24"/>
  <c r="G51" i="24"/>
  <c r="J145" i="24"/>
  <c r="G213" i="24"/>
  <c r="M213" i="24"/>
  <c r="J277" i="24"/>
  <c r="M277" i="24" s="1"/>
  <c r="G157" i="24"/>
  <c r="J255" i="24"/>
  <c r="I19" i="24"/>
  <c r="G11" i="24"/>
  <c r="J124" i="24"/>
  <c r="M124" i="24" s="1"/>
  <c r="J108" i="24"/>
  <c r="M108" i="24" s="1"/>
  <c r="G108" i="24"/>
  <c r="M43" i="24"/>
  <c r="J205" i="24"/>
  <c r="M205" i="24" s="1"/>
  <c r="G93" i="24"/>
  <c r="I85" i="24"/>
  <c r="I205" i="24"/>
  <c r="I325" i="24"/>
  <c r="I3" i="24"/>
  <c r="I108" i="24"/>
  <c r="I165" i="24"/>
  <c r="G269" i="24"/>
  <c r="I309" i="24"/>
  <c r="I261" i="24"/>
  <c r="I35" i="24"/>
  <c r="I93" i="24"/>
  <c r="I43" i="24"/>
  <c r="I277" i="24"/>
  <c r="G293" i="24"/>
  <c r="G341" i="24"/>
  <c r="I237" i="24"/>
  <c r="I333" i="24"/>
  <c r="I124" i="24"/>
  <c r="I285" i="24"/>
  <c r="I11" i="24"/>
  <c r="I173" i="24"/>
  <c r="G277" i="24"/>
  <c r="I157" i="24"/>
  <c r="G3" i="24"/>
  <c r="G165" i="24"/>
  <c r="G228" i="24"/>
  <c r="I269" i="24"/>
  <c r="G309" i="24"/>
  <c r="M191" i="23"/>
  <c r="J223" i="23"/>
  <c r="J222" i="23" s="1"/>
  <c r="M222" i="23" s="1"/>
  <c r="I222" i="23"/>
  <c r="O267" i="21"/>
  <c r="N316" i="23"/>
  <c r="O316" i="23" s="1"/>
  <c r="I104" i="21"/>
  <c r="I96" i="21"/>
  <c r="K330" i="21"/>
  <c r="H330" i="21"/>
  <c r="I227" i="21"/>
  <c r="I72" i="21"/>
  <c r="I259" i="21"/>
  <c r="J196" i="21"/>
  <c r="I195" i="21"/>
  <c r="I191" i="21"/>
  <c r="I164" i="21"/>
  <c r="I134" i="21"/>
  <c r="I313" i="21"/>
  <c r="I25" i="21"/>
  <c r="I299" i="21"/>
  <c r="G298" i="21"/>
  <c r="J244" i="21"/>
  <c r="J243" i="21" s="1"/>
  <c r="I243" i="21"/>
  <c r="J180" i="21"/>
  <c r="J211" i="21"/>
  <c r="M211" i="21" s="1"/>
  <c r="I211" i="21"/>
  <c r="N321" i="20"/>
  <c r="O321" i="20" s="1"/>
  <c r="J347" i="23"/>
  <c r="M347" i="23" s="1"/>
  <c r="I347" i="23"/>
  <c r="J340" i="23"/>
  <c r="M340" i="23" s="1"/>
  <c r="I340" i="23"/>
  <c r="J332" i="23"/>
  <c r="M332" i="23" s="1"/>
  <c r="I332" i="23"/>
  <c r="M316" i="23"/>
  <c r="J308" i="23"/>
  <c r="M308" i="23" s="1"/>
  <c r="I308" i="23"/>
  <c r="M300" i="23"/>
  <c r="M284" i="23"/>
  <c r="J276" i="23"/>
  <c r="M276" i="23" s="1"/>
  <c r="I276" i="23"/>
  <c r="J269" i="23"/>
  <c r="M269" i="23" s="1"/>
  <c r="I269" i="23"/>
  <c r="J261" i="23"/>
  <c r="M261" i="23" s="1"/>
  <c r="I261" i="23"/>
  <c r="J254" i="23"/>
  <c r="M254" i="23" s="1"/>
  <c r="I254" i="23"/>
  <c r="J238" i="23"/>
  <c r="I238" i="23"/>
  <c r="J214" i="23"/>
  <c r="M214" i="23" s="1"/>
  <c r="I214" i="23"/>
  <c r="J206" i="23"/>
  <c r="M206" i="23" s="1"/>
  <c r="I206" i="23"/>
  <c r="J177" i="23"/>
  <c r="M177" i="23" s="1"/>
  <c r="I177" i="23"/>
  <c r="J170" i="23"/>
  <c r="M170" i="23" s="1"/>
  <c r="I170" i="23"/>
  <c r="J163" i="23"/>
  <c r="M163" i="23" s="1"/>
  <c r="I163" i="23"/>
  <c r="J155" i="23"/>
  <c r="M155" i="23" s="1"/>
  <c r="I155" i="23"/>
  <c r="J139" i="23"/>
  <c r="M139" i="23" s="1"/>
  <c r="I139" i="23"/>
  <c r="J131" i="23"/>
  <c r="M131" i="23" s="1"/>
  <c r="I131" i="23"/>
  <c r="J123" i="23"/>
  <c r="M123" i="23" s="1"/>
  <c r="I123" i="23"/>
  <c r="J116" i="23"/>
  <c r="M116" i="23" s="1"/>
  <c r="I116" i="23"/>
  <c r="J109" i="23"/>
  <c r="M109" i="23" s="1"/>
  <c r="I109" i="23"/>
  <c r="E101" i="23"/>
  <c r="J101" i="23"/>
  <c r="M101" i="23" s="1"/>
  <c r="I101" i="23"/>
  <c r="J93" i="23"/>
  <c r="M93" i="23" s="1"/>
  <c r="I93" i="23"/>
  <c r="J85" i="23"/>
  <c r="I85" i="23"/>
  <c r="F71" i="23"/>
  <c r="J71" i="23"/>
  <c r="M71" i="23" s="1"/>
  <c r="I71" i="23"/>
  <c r="J64" i="23"/>
  <c r="M64" i="23" s="1"/>
  <c r="I64" i="23"/>
  <c r="J57" i="23"/>
  <c r="M57" i="23" s="1"/>
  <c r="I57" i="23"/>
  <c r="J49" i="23"/>
  <c r="M49" i="23" s="1"/>
  <c r="I49" i="23"/>
  <c r="J41" i="23"/>
  <c r="M41" i="23" s="1"/>
  <c r="I41" i="23"/>
  <c r="J33" i="23"/>
  <c r="M33" i="23" s="1"/>
  <c r="I33" i="23"/>
  <c r="J25" i="23"/>
  <c r="M25" i="23" s="1"/>
  <c r="I25" i="23"/>
  <c r="J17" i="23"/>
  <c r="M17" i="23" s="1"/>
  <c r="I17" i="23"/>
  <c r="J10" i="23"/>
  <c r="M10" i="23" s="1"/>
  <c r="I10" i="23"/>
  <c r="J3" i="23"/>
  <c r="I3" i="23"/>
  <c r="N329" i="22"/>
  <c r="O329" i="22" s="1"/>
  <c r="J329" i="22"/>
  <c r="M329" i="22" s="1"/>
  <c r="I329" i="22"/>
  <c r="N321" i="22"/>
  <c r="O321" i="22" s="1"/>
  <c r="J321" i="22"/>
  <c r="M321" i="22" s="1"/>
  <c r="I321" i="22"/>
  <c r="N313" i="22"/>
  <c r="O313" i="22" s="1"/>
  <c r="J313" i="22"/>
  <c r="M313" i="22" s="1"/>
  <c r="I313" i="22"/>
  <c r="J305" i="22"/>
  <c r="M305" i="22" s="1"/>
  <c r="I305" i="22"/>
  <c r="J297" i="22"/>
  <c r="M297" i="22" s="1"/>
  <c r="I297" i="22"/>
  <c r="J289" i="22"/>
  <c r="M289" i="22" s="1"/>
  <c r="I289" i="22"/>
  <c r="N281" i="22"/>
  <c r="O281" i="22" s="1"/>
  <c r="J281" i="22"/>
  <c r="M281" i="22" s="1"/>
  <c r="I281" i="22"/>
  <c r="N273" i="22"/>
  <c r="O273" i="22" s="1"/>
  <c r="J273" i="22"/>
  <c r="M273" i="22" s="1"/>
  <c r="I273" i="22"/>
  <c r="J265" i="22"/>
  <c r="M265" i="22" s="1"/>
  <c r="I265" i="22"/>
  <c r="N257" i="22"/>
  <c r="O257" i="22" s="1"/>
  <c r="J257" i="22"/>
  <c r="M257" i="22" s="1"/>
  <c r="I257" i="22"/>
  <c r="N249" i="22"/>
  <c r="O249" i="22" s="1"/>
  <c r="J249" i="22"/>
  <c r="M249" i="22" s="1"/>
  <c r="I249" i="22"/>
  <c r="J241" i="22"/>
  <c r="M241" i="22" s="1"/>
  <c r="I241" i="22"/>
  <c r="N233" i="22"/>
  <c r="O233" i="22" s="1"/>
  <c r="J233" i="22"/>
  <c r="M233" i="22" s="1"/>
  <c r="I233" i="22"/>
  <c r="N226" i="22"/>
  <c r="O226" i="22" s="1"/>
  <c r="J226" i="22"/>
  <c r="M226" i="22" s="1"/>
  <c r="I226" i="22"/>
  <c r="E218" i="22"/>
  <c r="N218" i="22"/>
  <c r="O218" i="22" s="1"/>
  <c r="J218" i="22"/>
  <c r="M218" i="22" s="1"/>
  <c r="I218" i="22"/>
  <c r="N210" i="22"/>
  <c r="O210" i="22" s="1"/>
  <c r="J210" i="22"/>
  <c r="M210" i="22" s="1"/>
  <c r="I210" i="22"/>
  <c r="J202" i="22"/>
  <c r="M202" i="22" s="1"/>
  <c r="I202" i="22"/>
  <c r="J194" i="22"/>
  <c r="M194" i="22" s="1"/>
  <c r="I194" i="22"/>
  <c r="N186" i="22"/>
  <c r="O186" i="22" s="1"/>
  <c r="J186" i="22"/>
  <c r="M186" i="22" s="1"/>
  <c r="I186" i="22"/>
  <c r="J178" i="22"/>
  <c r="M178" i="22" s="1"/>
  <c r="I178" i="22"/>
  <c r="N171" i="22"/>
  <c r="O171" i="22" s="1"/>
  <c r="J171" i="22"/>
  <c r="M171" i="22" s="1"/>
  <c r="I171" i="22"/>
  <c r="J163" i="22"/>
  <c r="M163" i="22" s="1"/>
  <c r="I163" i="22"/>
  <c r="N155" i="22"/>
  <c r="O155" i="22" s="1"/>
  <c r="J155" i="22"/>
  <c r="M155" i="22" s="1"/>
  <c r="I155" i="22"/>
  <c r="N147" i="22"/>
  <c r="O147" i="22" s="1"/>
  <c r="J147" i="22"/>
  <c r="M147" i="22" s="1"/>
  <c r="I147" i="22"/>
  <c r="N139" i="22"/>
  <c r="O139" i="22" s="1"/>
  <c r="J139" i="22"/>
  <c r="M139" i="22" s="1"/>
  <c r="I139" i="22"/>
  <c r="J131" i="22"/>
  <c r="M131" i="22" s="1"/>
  <c r="I131" i="22"/>
  <c r="N123" i="22"/>
  <c r="O123" i="22" s="1"/>
  <c r="J123" i="22"/>
  <c r="M123" i="22" s="1"/>
  <c r="I123" i="22"/>
  <c r="J115" i="22"/>
  <c r="M115" i="22" s="1"/>
  <c r="I115" i="22"/>
  <c r="N107" i="22"/>
  <c r="O107" i="22" s="1"/>
  <c r="J107" i="22"/>
  <c r="M107" i="22" s="1"/>
  <c r="I107" i="22"/>
  <c r="N99" i="22"/>
  <c r="O99" i="22" s="1"/>
  <c r="J99" i="22"/>
  <c r="M99" i="22" s="1"/>
  <c r="I99" i="22"/>
  <c r="N91" i="22"/>
  <c r="O91" i="22" s="1"/>
  <c r="J91" i="22"/>
  <c r="M91" i="22" s="1"/>
  <c r="I91" i="22"/>
  <c r="G83" i="22"/>
  <c r="N83" i="22"/>
  <c r="O83" i="22" s="1"/>
  <c r="J83" i="22"/>
  <c r="M83" i="22" s="1"/>
  <c r="I83" i="22"/>
  <c r="J75" i="22"/>
  <c r="M75" i="22" s="1"/>
  <c r="I75" i="22"/>
  <c r="N67" i="22"/>
  <c r="O67" i="22" s="1"/>
  <c r="J67" i="22"/>
  <c r="M67" i="22" s="1"/>
  <c r="I67" i="22"/>
  <c r="J59" i="22"/>
  <c r="M59" i="22" s="1"/>
  <c r="I59" i="22"/>
  <c r="N51" i="22"/>
  <c r="O51" i="22" s="1"/>
  <c r="J51" i="22"/>
  <c r="M51" i="22" s="1"/>
  <c r="I51" i="22"/>
  <c r="J43" i="22"/>
  <c r="M43" i="22" s="1"/>
  <c r="I43" i="22"/>
  <c r="N35" i="22"/>
  <c r="O35" i="22" s="1"/>
  <c r="J35" i="22"/>
  <c r="M35" i="22" s="1"/>
  <c r="I35" i="22"/>
  <c r="J27" i="22"/>
  <c r="M27" i="22" s="1"/>
  <c r="I27" i="22"/>
  <c r="J19" i="22"/>
  <c r="M19" i="22" s="1"/>
  <c r="I19" i="22"/>
  <c r="N11" i="22"/>
  <c r="O11" i="22" s="1"/>
  <c r="J11" i="22"/>
  <c r="M11" i="22" s="1"/>
  <c r="I11" i="22"/>
  <c r="N3" i="22"/>
  <c r="J3" i="22"/>
  <c r="I3" i="22"/>
  <c r="I338" i="22" s="1"/>
  <c r="K338" i="22"/>
  <c r="H338" i="22"/>
  <c r="G305" i="21"/>
  <c r="I203" i="21"/>
  <c r="J260" i="21"/>
  <c r="N330" i="21"/>
  <c r="G313" i="21"/>
  <c r="G251" i="21"/>
  <c r="J306" i="21"/>
  <c r="J305" i="21" s="1"/>
  <c r="M305" i="21" s="1"/>
  <c r="I305" i="21"/>
  <c r="G290" i="21"/>
  <c r="G64" i="21"/>
  <c r="G243" i="21"/>
  <c r="J252" i="21"/>
  <c r="J251" i="21" s="1"/>
  <c r="M251" i="21" s="1"/>
  <c r="I251" i="21"/>
  <c r="G96" i="21"/>
  <c r="G172" i="21"/>
  <c r="I172" i="21" s="1"/>
  <c r="I171" i="21" s="1"/>
  <c r="J314" i="21"/>
  <c r="O298" i="21"/>
  <c r="G18" i="21"/>
  <c r="G134" i="21"/>
  <c r="G227" i="21"/>
  <c r="G49" i="21"/>
  <c r="G41" i="21"/>
  <c r="G104" i="21"/>
  <c r="G203" i="21"/>
  <c r="G3" i="21"/>
  <c r="G321" i="21"/>
  <c r="J291" i="21"/>
  <c r="J290" i="21" s="1"/>
  <c r="M290" i="21" s="1"/>
  <c r="I290" i="21"/>
  <c r="J322" i="21"/>
  <c r="M321" i="21" s="1"/>
  <c r="G88" i="21"/>
  <c r="G283" i="21"/>
  <c r="G275" i="21"/>
  <c r="G235" i="21"/>
  <c r="G219" i="21"/>
  <c r="G187" i="21"/>
  <c r="G164" i="21"/>
  <c r="G142" i="21"/>
  <c r="G126" i="21"/>
  <c r="G118" i="21"/>
  <c r="G111" i="21"/>
  <c r="G72" i="21"/>
  <c r="I57" i="21"/>
  <c r="G57" i="21"/>
  <c r="I33" i="21"/>
  <c r="G33" i="21"/>
  <c r="G25" i="21"/>
  <c r="G10" i="21"/>
  <c r="J124" i="20"/>
  <c r="J123" i="20" s="1"/>
  <c r="I123" i="20"/>
  <c r="J83" i="20"/>
  <c r="M83" i="20" s="1"/>
  <c r="I83" i="20"/>
  <c r="O3" i="20"/>
  <c r="J297" i="20"/>
  <c r="I297" i="20"/>
  <c r="J226" i="20"/>
  <c r="I226" i="20"/>
  <c r="J218" i="20"/>
  <c r="I218" i="20"/>
  <c r="J172" i="20"/>
  <c r="J171" i="20" s="1"/>
  <c r="I171" i="20"/>
  <c r="J140" i="20"/>
  <c r="J139" i="20" s="1"/>
  <c r="I139" i="20"/>
  <c r="I27" i="20"/>
  <c r="J274" i="20"/>
  <c r="M273" i="20" s="1"/>
  <c r="J322" i="20"/>
  <c r="J321" i="20" s="1"/>
  <c r="I321" i="20"/>
  <c r="N186" i="20"/>
  <c r="J306" i="20"/>
  <c r="J305" i="20" s="1"/>
  <c r="M305" i="20" s="1"/>
  <c r="I305" i="20"/>
  <c r="G297" i="20"/>
  <c r="G171" i="20"/>
  <c r="G107" i="20"/>
  <c r="G67" i="20"/>
  <c r="G155" i="20"/>
  <c r="G91" i="20"/>
  <c r="J186" i="20"/>
  <c r="M186" i="20" s="1"/>
  <c r="I186" i="20"/>
  <c r="G321" i="20"/>
  <c r="J329" i="20"/>
  <c r="I329" i="20"/>
  <c r="J67" i="18"/>
  <c r="J66" i="18" s="1"/>
  <c r="I66" i="18"/>
  <c r="J235" i="18"/>
  <c r="J234" i="18" s="1"/>
  <c r="I234" i="18"/>
  <c r="J226" i="18"/>
  <c r="M226" i="18" s="1"/>
  <c r="N162" i="18"/>
  <c r="N114" i="18"/>
  <c r="N106" i="18"/>
  <c r="N19" i="18"/>
  <c r="N234" i="18"/>
  <c r="N290" i="18"/>
  <c r="J204" i="21"/>
  <c r="I149" i="21"/>
  <c r="J135" i="21"/>
  <c r="J228" i="21"/>
  <c r="I118" i="21"/>
  <c r="J66" i="21"/>
  <c r="J64" i="21" s="1"/>
  <c r="M64" i="21" s="1"/>
  <c r="I64" i="21"/>
  <c r="J20" i="21"/>
  <c r="J18" i="21" s="1"/>
  <c r="M18" i="21" s="1"/>
  <c r="I18" i="21"/>
  <c r="J73" i="21"/>
  <c r="J72" i="21" s="1"/>
  <c r="J52" i="21"/>
  <c r="M49" i="21" s="1"/>
  <c r="J41" i="21"/>
  <c r="M41" i="21" s="1"/>
  <c r="J105" i="21"/>
  <c r="J104" i="21" s="1"/>
  <c r="M104" i="21" s="1"/>
  <c r="J284" i="21"/>
  <c r="M283" i="21" s="1"/>
  <c r="J5" i="21"/>
  <c r="J3" i="21" s="1"/>
  <c r="I3" i="21"/>
  <c r="J89" i="21"/>
  <c r="J88" i="21" s="1"/>
  <c r="M88" i="21" s="1"/>
  <c r="I88" i="21"/>
  <c r="J26" i="21"/>
  <c r="I219" i="21"/>
  <c r="J143" i="21"/>
  <c r="J142" i="21" s="1"/>
  <c r="M142" i="21" s="1"/>
  <c r="I142" i="21"/>
  <c r="I126" i="21"/>
  <c r="J276" i="21"/>
  <c r="J275" i="21" s="1"/>
  <c r="M275" i="21" s="1"/>
  <c r="I275" i="21"/>
  <c r="I235" i="21"/>
  <c r="J165" i="21"/>
  <c r="J164" i="21" s="1"/>
  <c r="J112" i="21"/>
  <c r="J111" i="21" s="1"/>
  <c r="M111" i="21" s="1"/>
  <c r="I111" i="21"/>
  <c r="J33" i="21"/>
  <c r="M33" i="21" s="1"/>
  <c r="J150" i="21"/>
  <c r="J149" i="21" s="1"/>
  <c r="M149" i="21" s="1"/>
  <c r="J119" i="21"/>
  <c r="J118" i="21" s="1"/>
  <c r="M118" i="21" s="1"/>
  <c r="I41" i="21"/>
  <c r="I274" i="18"/>
  <c r="J236" i="21"/>
  <c r="J235" i="21" s="1"/>
  <c r="M235" i="21" s="1"/>
  <c r="J220" i="21"/>
  <c r="J219" i="21" s="1"/>
  <c r="M219" i="21" s="1"/>
  <c r="J188" i="21"/>
  <c r="J127" i="21"/>
  <c r="J126" i="21" s="1"/>
  <c r="M126" i="21" s="1"/>
  <c r="J97" i="21"/>
  <c r="J96" i="21" s="1"/>
  <c r="M96" i="21" s="1"/>
  <c r="J58" i="21"/>
  <c r="J57" i="21" s="1"/>
  <c r="M57" i="21" s="1"/>
  <c r="J11" i="21"/>
  <c r="M10" i="21" s="1"/>
  <c r="G149" i="21"/>
  <c r="J282" i="18"/>
  <c r="M282" i="18" s="1"/>
  <c r="N178" i="18"/>
  <c r="N130" i="18"/>
  <c r="G27" i="18"/>
  <c r="J109" i="18"/>
  <c r="J255" i="18"/>
  <c r="I51" i="18"/>
  <c r="J102" i="18"/>
  <c r="G138" i="18"/>
  <c r="G35" i="18"/>
  <c r="J141" i="18"/>
  <c r="J125" i="18"/>
  <c r="G82" i="18"/>
  <c r="J82" i="18"/>
  <c r="M82" i="18" s="1"/>
  <c r="J197" i="18"/>
  <c r="J126" i="18"/>
  <c r="N82" i="18"/>
  <c r="N58" i="18"/>
  <c r="E98" i="18"/>
  <c r="J154" i="18"/>
  <c r="M154" i="18" s="1"/>
  <c r="N146" i="18"/>
  <c r="N226" i="18"/>
  <c r="N258" i="18"/>
  <c r="J152" i="18"/>
  <c r="J146" i="18" s="1"/>
  <c r="M146" i="18" s="1"/>
  <c r="I146" i="18"/>
  <c r="G106" i="18"/>
  <c r="G234" i="18"/>
  <c r="G282" i="18"/>
  <c r="G114" i="18"/>
  <c r="G3" i="18"/>
  <c r="J16" i="18"/>
  <c r="I82" i="18"/>
  <c r="N138" i="18"/>
  <c r="J198" i="18"/>
  <c r="I154" i="18"/>
  <c r="N186" i="18"/>
  <c r="I282" i="18"/>
  <c r="N122" i="18"/>
  <c r="N74" i="18"/>
  <c r="I266" i="18"/>
  <c r="N218" i="18"/>
  <c r="J93" i="18"/>
  <c r="I194" i="18"/>
  <c r="N98" i="18"/>
  <c r="I250" i="18"/>
  <c r="I19" i="18"/>
  <c r="I74" i="18"/>
  <c r="J111" i="18"/>
  <c r="I138" i="18"/>
  <c r="J101" i="18"/>
  <c r="G178" i="18"/>
  <c r="N3" i="18"/>
  <c r="N170" i="18"/>
  <c r="G154" i="18"/>
  <c r="G226" i="18"/>
  <c r="G210" i="18"/>
  <c r="K299" i="18"/>
  <c r="G194" i="18"/>
  <c r="J171" i="18"/>
  <c r="I175" i="18"/>
  <c r="I176" i="18"/>
  <c r="J176" i="18" s="1"/>
  <c r="J187" i="18"/>
  <c r="I186" i="18"/>
  <c r="J275" i="18"/>
  <c r="J274" i="18" s="1"/>
  <c r="N27" i="18"/>
  <c r="J221" i="18"/>
  <c r="I218" i="18"/>
  <c r="J131" i="18"/>
  <c r="I130" i="18"/>
  <c r="J28" i="18"/>
  <c r="I27" i="18"/>
  <c r="J95" i="18"/>
  <c r="I90" i="18"/>
  <c r="J58" i="18"/>
  <c r="M58" i="18" s="1"/>
  <c r="I58" i="18"/>
  <c r="G43" i="18"/>
  <c r="I202" i="18"/>
  <c r="M234" i="18"/>
  <c r="G242" i="18"/>
  <c r="M226" i="20"/>
  <c r="J210" i="20"/>
  <c r="M210" i="20" s="1"/>
  <c r="I210" i="20"/>
  <c r="J194" i="20"/>
  <c r="M194" i="20" s="1"/>
  <c r="I194" i="20"/>
  <c r="M171" i="20"/>
  <c r="J178" i="20"/>
  <c r="M178" i="20" s="1"/>
  <c r="I178" i="20"/>
  <c r="J155" i="20"/>
  <c r="M155" i="20" s="1"/>
  <c r="I155" i="20"/>
  <c r="G147" i="20"/>
  <c r="J147" i="20"/>
  <c r="M147" i="20" s="1"/>
  <c r="I147" i="20"/>
  <c r="M139" i="20"/>
  <c r="J131" i="20"/>
  <c r="M131" i="20" s="1"/>
  <c r="I131" i="20"/>
  <c r="M123" i="20"/>
  <c r="J107" i="20"/>
  <c r="M107" i="20" s="1"/>
  <c r="I107" i="20"/>
  <c r="J99" i="20"/>
  <c r="M99" i="20" s="1"/>
  <c r="I99" i="20"/>
  <c r="J115" i="20"/>
  <c r="M115" i="20" s="1"/>
  <c r="I115" i="20"/>
  <c r="J91" i="20"/>
  <c r="M91" i="20" s="1"/>
  <c r="I91" i="20"/>
  <c r="G83" i="20"/>
  <c r="J75" i="20"/>
  <c r="M75" i="20" s="1"/>
  <c r="I75" i="20"/>
  <c r="J67" i="20"/>
  <c r="M67" i="20" s="1"/>
  <c r="I67" i="20"/>
  <c r="J59" i="20"/>
  <c r="M59" i="20" s="1"/>
  <c r="I59" i="20"/>
  <c r="J51" i="20"/>
  <c r="M51" i="20" s="1"/>
  <c r="I51" i="20"/>
  <c r="J43" i="20"/>
  <c r="M43" i="20" s="1"/>
  <c r="I43" i="20"/>
  <c r="J35" i="20"/>
  <c r="M35" i="20" s="1"/>
  <c r="I35" i="20"/>
  <c r="J27" i="20"/>
  <c r="M27" i="20" s="1"/>
  <c r="J11" i="20"/>
  <c r="I11" i="20"/>
  <c r="I3" i="20"/>
  <c r="J3" i="20"/>
  <c r="N260" i="17"/>
  <c r="O27" i="17"/>
  <c r="O260" i="17" s="1"/>
  <c r="J133" i="19"/>
  <c r="I132" i="19"/>
  <c r="J141" i="19"/>
  <c r="J140" i="19" s="1"/>
  <c r="I140" i="19"/>
  <c r="I177" i="19"/>
  <c r="J177" i="19" s="1"/>
  <c r="I178" i="19"/>
  <c r="J178" i="19" s="1"/>
  <c r="I179" i="19"/>
  <c r="J179" i="19" s="1"/>
  <c r="I231" i="19"/>
  <c r="J231" i="19" s="1"/>
  <c r="J238" i="19"/>
  <c r="I236" i="19"/>
  <c r="H293" i="19"/>
  <c r="J26" i="19"/>
  <c r="I19" i="19"/>
  <c r="J21" i="19"/>
  <c r="N116" i="19"/>
  <c r="N156" i="19"/>
  <c r="O156" i="19" s="1"/>
  <c r="N196" i="19"/>
  <c r="O196" i="19" s="1"/>
  <c r="G19" i="19"/>
  <c r="N204" i="19"/>
  <c r="O204" i="19" s="1"/>
  <c r="G236" i="19"/>
  <c r="G188" i="19"/>
  <c r="J172" i="19"/>
  <c r="M172" i="19" s="1"/>
  <c r="G172" i="19"/>
  <c r="I172" i="19"/>
  <c r="J205" i="19"/>
  <c r="I204" i="19"/>
  <c r="I174" i="17"/>
  <c r="J174" i="17" s="1"/>
  <c r="I175" i="17"/>
  <c r="J175" i="17" s="1"/>
  <c r="G260" i="19"/>
  <c r="I75" i="17"/>
  <c r="J79" i="17"/>
  <c r="G196" i="19"/>
  <c r="G156" i="19"/>
  <c r="G228" i="19"/>
  <c r="G244" i="19"/>
  <c r="G132" i="19"/>
  <c r="G140" i="19"/>
  <c r="G148" i="19"/>
  <c r="G75" i="19"/>
  <c r="G276" i="19"/>
  <c r="G124" i="19"/>
  <c r="J179" i="17"/>
  <c r="M179" i="17" s="1"/>
  <c r="J171" i="17"/>
  <c r="I19" i="17"/>
  <c r="J21" i="17"/>
  <c r="J19" i="17" s="1"/>
  <c r="G35" i="19"/>
  <c r="G27" i="19"/>
  <c r="M140" i="19"/>
  <c r="G107" i="19"/>
  <c r="G268" i="19"/>
  <c r="G252" i="19"/>
  <c r="G91" i="19"/>
  <c r="J236" i="19"/>
  <c r="M236" i="19" s="1"/>
  <c r="G11" i="19"/>
  <c r="G3" i="19"/>
  <c r="N99" i="17"/>
  <c r="N219" i="17"/>
  <c r="M227" i="17"/>
  <c r="I171" i="17"/>
  <c r="G11" i="18"/>
  <c r="N35" i="17"/>
  <c r="N195" i="17"/>
  <c r="N83" i="17"/>
  <c r="J20" i="19"/>
  <c r="J19" i="19" s="1"/>
  <c r="M19" i="19" s="1"/>
  <c r="I107" i="19"/>
  <c r="J108" i="19"/>
  <c r="J107" i="19" s="1"/>
  <c r="M107" i="19" s="1"/>
  <c r="J279" i="19"/>
  <c r="J276" i="19" s="1"/>
  <c r="M276" i="19" s="1"/>
  <c r="I276" i="19"/>
  <c r="J52" i="19"/>
  <c r="J51" i="19" s="1"/>
  <c r="M51" i="19" s="1"/>
  <c r="I51" i="19"/>
  <c r="J230" i="19"/>
  <c r="J228" i="19" s="1"/>
  <c r="M228" i="19" s="1"/>
  <c r="I228" i="19"/>
  <c r="J214" i="19"/>
  <c r="J212" i="19" s="1"/>
  <c r="M212" i="19" s="1"/>
  <c r="I212" i="19"/>
  <c r="I99" i="19"/>
  <c r="J100" i="19"/>
  <c r="J99" i="19" s="1"/>
  <c r="M99" i="19" s="1"/>
  <c r="J135" i="19"/>
  <c r="I164" i="19"/>
  <c r="J165" i="19"/>
  <c r="J164" i="19" s="1"/>
  <c r="M164" i="19" s="1"/>
  <c r="J206" i="19"/>
  <c r="I11" i="19"/>
  <c r="J12" i="19"/>
  <c r="J11" i="19" s="1"/>
  <c r="M11" i="19" s="1"/>
  <c r="I43" i="19"/>
  <c r="J44" i="19"/>
  <c r="J43" i="19" s="1"/>
  <c r="M43" i="19" s="1"/>
  <c r="J157" i="19"/>
  <c r="J156" i="19" s="1"/>
  <c r="M156" i="19" s="1"/>
  <c r="I156" i="19"/>
  <c r="J190" i="19"/>
  <c r="J188" i="19" s="1"/>
  <c r="M188" i="19" s="1"/>
  <c r="I188" i="19"/>
  <c r="J269" i="19"/>
  <c r="J268" i="19" s="1"/>
  <c r="M268" i="19" s="1"/>
  <c r="I268" i="19"/>
  <c r="J36" i="19"/>
  <c r="J35" i="19" s="1"/>
  <c r="M35" i="19" s="1"/>
  <c r="I35" i="19"/>
  <c r="J92" i="19"/>
  <c r="J91" i="19" s="1"/>
  <c r="M91" i="19" s="1"/>
  <c r="I91" i="19"/>
  <c r="J182" i="19"/>
  <c r="J180" i="19" s="1"/>
  <c r="M180" i="19" s="1"/>
  <c r="I180" i="19"/>
  <c r="I148" i="19"/>
  <c r="J149" i="19"/>
  <c r="J148" i="19" s="1"/>
  <c r="M148" i="19" s="1"/>
  <c r="I260" i="19"/>
  <c r="J261" i="19"/>
  <c r="J260" i="19" s="1"/>
  <c r="M260" i="19" s="1"/>
  <c r="J28" i="19"/>
  <c r="I244" i="19"/>
  <c r="J245" i="19"/>
  <c r="J244" i="19" s="1"/>
  <c r="M244" i="19" s="1"/>
  <c r="J253" i="19"/>
  <c r="I3" i="19"/>
  <c r="J5" i="19"/>
  <c r="J3" i="19" s="1"/>
  <c r="J60" i="19"/>
  <c r="J59" i="19" s="1"/>
  <c r="M59" i="19" s="1"/>
  <c r="I59" i="19"/>
  <c r="J117" i="19"/>
  <c r="J116" i="19" s="1"/>
  <c r="M116" i="19" s="1"/>
  <c r="I116" i="19"/>
  <c r="J76" i="19"/>
  <c r="J75" i="19" s="1"/>
  <c r="J125" i="19"/>
  <c r="G266" i="18"/>
  <c r="J119" i="18"/>
  <c r="J114" i="18" s="1"/>
  <c r="M114" i="18" s="1"/>
  <c r="I114" i="18"/>
  <c r="J188" i="18"/>
  <c r="J75" i="18"/>
  <c r="J74" i="18" s="1"/>
  <c r="I122" i="18"/>
  <c r="J123" i="18"/>
  <c r="J133" i="18"/>
  <c r="I11" i="18"/>
  <c r="J12" i="18"/>
  <c r="J290" i="18"/>
  <c r="M290" i="18" s="1"/>
  <c r="J106" i="18"/>
  <c r="M106" i="18" s="1"/>
  <c r="J185" i="18"/>
  <c r="J178" i="18" s="1"/>
  <c r="M178" i="18" s="1"/>
  <c r="I178" i="18"/>
  <c r="I242" i="18"/>
  <c r="J243" i="18"/>
  <c r="J242" i="18" s="1"/>
  <c r="M242" i="18" s="1"/>
  <c r="I258" i="18"/>
  <c r="J259" i="18"/>
  <c r="J258" i="18" s="1"/>
  <c r="M258" i="18" s="1"/>
  <c r="J220" i="18"/>
  <c r="I210" i="18"/>
  <c r="J212" i="18"/>
  <c r="J210" i="18" s="1"/>
  <c r="M210" i="18" s="1"/>
  <c r="G162" i="18"/>
  <c r="G98" i="18"/>
  <c r="J204" i="18"/>
  <c r="J202" i="18" s="1"/>
  <c r="M202" i="18" s="1"/>
  <c r="I43" i="18"/>
  <c r="I98" i="18"/>
  <c r="G19" i="18"/>
  <c r="J44" i="18"/>
  <c r="J43" i="18" s="1"/>
  <c r="M43" i="18" s="1"/>
  <c r="G122" i="18"/>
  <c r="J139" i="18"/>
  <c r="J99" i="18"/>
  <c r="J162" i="18"/>
  <c r="M162" i="18" s="1"/>
  <c r="I162" i="18"/>
  <c r="I3" i="18"/>
  <c r="I35" i="18"/>
  <c r="G74" i="18"/>
  <c r="J91" i="18"/>
  <c r="I106" i="18"/>
  <c r="J267" i="18"/>
  <c r="I290" i="18"/>
  <c r="J52" i="18"/>
  <c r="J251" i="18"/>
  <c r="J5" i="18"/>
  <c r="J3" i="18" s="1"/>
  <c r="J36" i="18"/>
  <c r="J35" i="18" s="1"/>
  <c r="M35" i="18" s="1"/>
  <c r="G90" i="18"/>
  <c r="J20" i="18"/>
  <c r="J19" i="18" s="1"/>
  <c r="M19" i="18" s="1"/>
  <c r="G35" i="17"/>
  <c r="G195" i="17"/>
  <c r="G203" i="17"/>
  <c r="I203" i="17"/>
  <c r="J203" i="17"/>
  <c r="M203" i="17" s="1"/>
  <c r="I195" i="17"/>
  <c r="J196" i="17"/>
  <c r="J195" i="17" s="1"/>
  <c r="M195" i="17" s="1"/>
  <c r="G51" i="17"/>
  <c r="G187" i="17"/>
  <c r="G123" i="17"/>
  <c r="G83" i="17"/>
  <c r="G179" i="17"/>
  <c r="J188" i="17"/>
  <c r="J187" i="17" s="1"/>
  <c r="M187" i="17" s="1"/>
  <c r="I187" i="17"/>
  <c r="G59" i="17"/>
  <c r="G131" i="17"/>
  <c r="G107" i="17"/>
  <c r="G243" i="17"/>
  <c r="J172" i="17"/>
  <c r="M171" i="17" s="1"/>
  <c r="G99" i="17"/>
  <c r="G115" i="17"/>
  <c r="G251" i="17"/>
  <c r="G211" i="17"/>
  <c r="I131" i="17"/>
  <c r="J133" i="17"/>
  <c r="J131" i="17" s="1"/>
  <c r="M131" i="17" s="1"/>
  <c r="G67" i="17"/>
  <c r="J125" i="17"/>
  <c r="M123" i="17" s="1"/>
  <c r="G11" i="17"/>
  <c r="G43" i="17"/>
  <c r="G155" i="17"/>
  <c r="G91" i="17"/>
  <c r="I83" i="17"/>
  <c r="J84" i="17"/>
  <c r="J83" i="17" s="1"/>
  <c r="M83" i="17" s="1"/>
  <c r="J51" i="17"/>
  <c r="M51" i="17" s="1"/>
  <c r="I91" i="17"/>
  <c r="J35" i="17"/>
  <c r="M35" i="17" s="1"/>
  <c r="G19" i="17"/>
  <c r="G235" i="17"/>
  <c r="G3" i="17"/>
  <c r="J43" i="17"/>
  <c r="M43" i="17" s="1"/>
  <c r="G75" i="17"/>
  <c r="G163" i="17"/>
  <c r="G227" i="17"/>
  <c r="I123" i="16"/>
  <c r="J125" i="16"/>
  <c r="J123" i="16"/>
  <c r="M123" i="16" s="1"/>
  <c r="G115" i="16"/>
  <c r="I115" i="16"/>
  <c r="J116" i="16"/>
  <c r="J115" i="16" s="1"/>
  <c r="M115" i="16" s="1"/>
  <c r="G203" i="16"/>
  <c r="I203" i="16"/>
  <c r="G195" i="16"/>
  <c r="J3" i="17"/>
  <c r="I99" i="17"/>
  <c r="J100" i="17"/>
  <c r="J99" i="17" s="1"/>
  <c r="M99" i="17" s="1"/>
  <c r="I115" i="17"/>
  <c r="I163" i="17"/>
  <c r="J166" i="17"/>
  <c r="J163" i="17" s="1"/>
  <c r="M163" i="17" s="1"/>
  <c r="I67" i="17"/>
  <c r="J68" i="17"/>
  <c r="J67" i="17" s="1"/>
  <c r="M67" i="17" s="1"/>
  <c r="J77" i="17"/>
  <c r="J75" i="17" s="1"/>
  <c r="I147" i="17"/>
  <c r="J148" i="17"/>
  <c r="J147" i="17" s="1"/>
  <c r="M147" i="17" s="1"/>
  <c r="J155" i="17"/>
  <c r="M155" i="17" s="1"/>
  <c r="J211" i="17"/>
  <c r="M211" i="17" s="1"/>
  <c r="J243" i="17"/>
  <c r="M243" i="17" s="1"/>
  <c r="I251" i="17"/>
  <c r="J252" i="17"/>
  <c r="J251" i="17" s="1"/>
  <c r="M251" i="17" s="1"/>
  <c r="I219" i="17"/>
  <c r="J220" i="17"/>
  <c r="J219" i="17" s="1"/>
  <c r="M219" i="17" s="1"/>
  <c r="J13" i="17"/>
  <c r="J11" i="17" s="1"/>
  <c r="M11" i="17" s="1"/>
  <c r="I11" i="17"/>
  <c r="I155" i="17"/>
  <c r="J93" i="17"/>
  <c r="J91" i="17" s="1"/>
  <c r="M91" i="17" s="1"/>
  <c r="J117" i="17"/>
  <c r="J115" i="17" s="1"/>
  <c r="M115" i="17" s="1"/>
  <c r="G27" i="17"/>
  <c r="J28" i="17"/>
  <c r="M27" i="17" s="1"/>
  <c r="G219" i="17"/>
  <c r="I59" i="17"/>
  <c r="I139" i="17"/>
  <c r="J60" i="17"/>
  <c r="J59" i="17" s="1"/>
  <c r="M59" i="17" s="1"/>
  <c r="J140" i="17"/>
  <c r="J139" i="17" s="1"/>
  <c r="M139" i="17" s="1"/>
  <c r="I107" i="17"/>
  <c r="J108" i="17"/>
  <c r="J107" i="17" s="1"/>
  <c r="M107" i="17" s="1"/>
  <c r="B139" i="17"/>
  <c r="G139" i="17" s="1"/>
  <c r="G147" i="17"/>
  <c r="I43" i="17"/>
  <c r="J236" i="17"/>
  <c r="J235" i="17" s="1"/>
  <c r="M235" i="17" s="1"/>
  <c r="I235" i="17"/>
  <c r="I243" i="17"/>
  <c r="I51" i="17"/>
  <c r="I35" i="17"/>
  <c r="J204" i="16"/>
  <c r="J203" i="16" s="1"/>
  <c r="M203" i="16" s="1"/>
  <c r="I195" i="16"/>
  <c r="J196" i="16"/>
  <c r="J195" i="16" s="1"/>
  <c r="J233" i="24" l="1"/>
  <c r="G350" i="24"/>
  <c r="J253" i="24"/>
  <c r="M253" i="24" s="1"/>
  <c r="J3" i="24"/>
  <c r="M3" i="24" s="1"/>
  <c r="O11" i="24"/>
  <c r="N350" i="24"/>
  <c r="H350" i="24"/>
  <c r="J27" i="24"/>
  <c r="M27" i="24" s="1"/>
  <c r="O350" i="24"/>
  <c r="I350" i="24"/>
  <c r="M189" i="24"/>
  <c r="J141" i="24"/>
  <c r="M141" i="24" s="1"/>
  <c r="J100" i="24"/>
  <c r="M100" i="24" s="1"/>
  <c r="J85" i="24"/>
  <c r="J325" i="24"/>
  <c r="M325" i="24" s="1"/>
  <c r="J195" i="21"/>
  <c r="M195" i="21" s="1"/>
  <c r="M238" i="23"/>
  <c r="M85" i="23"/>
  <c r="J227" i="21"/>
  <c r="M227" i="21" s="1"/>
  <c r="J313" i="21"/>
  <c r="M313" i="21" s="1"/>
  <c r="J259" i="21"/>
  <c r="M259" i="21" s="1"/>
  <c r="J179" i="21"/>
  <c r="M179" i="21" s="1"/>
  <c r="J191" i="21"/>
  <c r="J187" i="21" s="1"/>
  <c r="I187" i="21"/>
  <c r="I330" i="21" s="1"/>
  <c r="J134" i="21"/>
  <c r="M134" i="21" s="1"/>
  <c r="J25" i="21"/>
  <c r="O330" i="21"/>
  <c r="J299" i="21"/>
  <c r="J298" i="21" s="1"/>
  <c r="I298" i="21"/>
  <c r="M187" i="21"/>
  <c r="M3" i="23"/>
  <c r="J338" i="22"/>
  <c r="M3" i="22"/>
  <c r="M338" i="22" s="1"/>
  <c r="N338" i="22"/>
  <c r="O3" i="22"/>
  <c r="O338" i="22" s="1"/>
  <c r="J203" i="21"/>
  <c r="M203" i="21" s="1"/>
  <c r="J172" i="21"/>
  <c r="M243" i="21"/>
  <c r="M298" i="21"/>
  <c r="O186" i="20"/>
  <c r="M11" i="20"/>
  <c r="M329" i="20"/>
  <c r="M274" i="18"/>
  <c r="M3" i="21"/>
  <c r="M72" i="21"/>
  <c r="H299" i="18"/>
  <c r="J194" i="18"/>
  <c r="M194" i="18" s="1"/>
  <c r="J122" i="18"/>
  <c r="M122" i="18" s="1"/>
  <c r="J11" i="18"/>
  <c r="M11" i="18" s="1"/>
  <c r="J98" i="18"/>
  <c r="M98" i="18" s="1"/>
  <c r="J175" i="18"/>
  <c r="I170" i="18"/>
  <c r="J170" i="18"/>
  <c r="J250" i="18"/>
  <c r="M250" i="18" s="1"/>
  <c r="J266" i="18"/>
  <c r="M266" i="18" s="1"/>
  <c r="I299" i="18"/>
  <c r="J218" i="18"/>
  <c r="M218" i="18" s="1"/>
  <c r="O299" i="18"/>
  <c r="N299" i="18"/>
  <c r="J186" i="18"/>
  <c r="J130" i="18"/>
  <c r="M130" i="18" s="1"/>
  <c r="J138" i="18"/>
  <c r="M138" i="18" s="1"/>
  <c r="J51" i="18"/>
  <c r="M51" i="18" s="1"/>
  <c r="J90" i="18"/>
  <c r="M90" i="18" s="1"/>
  <c r="J27" i="18"/>
  <c r="O116" i="19"/>
  <c r="O293" i="19" s="1"/>
  <c r="N293" i="19"/>
  <c r="M3" i="20"/>
  <c r="J252" i="19"/>
  <c r="M252" i="19" s="1"/>
  <c r="J124" i="19"/>
  <c r="M124" i="19" s="1"/>
  <c r="J204" i="19"/>
  <c r="J132" i="19"/>
  <c r="M132" i="19" s="1"/>
  <c r="J27" i="19"/>
  <c r="M27" i="19" s="1"/>
  <c r="M204" i="19"/>
  <c r="I196" i="19"/>
  <c r="M3" i="19"/>
  <c r="M3" i="18"/>
  <c r="M75" i="17"/>
  <c r="M19" i="17"/>
  <c r="M195" i="16"/>
  <c r="M3" i="17"/>
  <c r="J228" i="24" l="1"/>
  <c r="M228" i="24" s="1"/>
  <c r="M85" i="24"/>
  <c r="J350" i="24"/>
  <c r="M350" i="24"/>
  <c r="M25" i="21"/>
  <c r="J171" i="21"/>
  <c r="M186" i="18"/>
  <c r="M170" i="18"/>
  <c r="M27" i="18"/>
  <c r="J299" i="18"/>
  <c r="M74" i="18"/>
  <c r="M75" i="19"/>
  <c r="J196" i="19"/>
  <c r="M171" i="21" l="1"/>
  <c r="J330" i="21"/>
  <c r="M164" i="21"/>
  <c r="M330" i="21" s="1"/>
  <c r="M299" i="18"/>
  <c r="M196" i="19"/>
  <c r="J293" i="19"/>
  <c r="G33" i="16"/>
  <c r="I33" i="16" s="1"/>
  <c r="J33" i="16" s="1"/>
  <c r="N178" i="15"/>
  <c r="N121" i="15"/>
  <c r="N120" i="15"/>
  <c r="N119" i="15"/>
  <c r="N66" i="15"/>
  <c r="N181" i="15"/>
  <c r="N38" i="15"/>
  <c r="N185" i="15"/>
  <c r="N177" i="15"/>
  <c r="N176" i="15"/>
  <c r="N169" i="15"/>
  <c r="N154" i="14"/>
  <c r="N149" i="15"/>
  <c r="N117" i="15"/>
  <c r="N103" i="15"/>
  <c r="N90" i="15"/>
  <c r="N83" i="15" s="1"/>
  <c r="N72" i="15"/>
  <c r="N92" i="15"/>
  <c r="N91" i="15" s="1"/>
  <c r="O91" i="15" s="1"/>
  <c r="N18" i="15"/>
  <c r="N11" i="15" s="1"/>
  <c r="M27" i="15"/>
  <c r="N40" i="15"/>
  <c r="N35" i="15" s="1"/>
  <c r="O35" i="15" s="1"/>
  <c r="N15" i="15"/>
  <c r="N34" i="15"/>
  <c r="N47" i="15"/>
  <c r="C11" i="15"/>
  <c r="N59" i="15"/>
  <c r="O59" i="15" s="1"/>
  <c r="H171" i="15"/>
  <c r="L212" i="15"/>
  <c r="K179" i="15"/>
  <c r="I179" i="15"/>
  <c r="M171" i="15"/>
  <c r="I171" i="15"/>
  <c r="G161" i="15"/>
  <c r="I161" i="15" s="1"/>
  <c r="J161" i="15" s="1"/>
  <c r="G162" i="15"/>
  <c r="I162" i="15" s="1"/>
  <c r="J162" i="15" s="1"/>
  <c r="K147" i="15"/>
  <c r="N147" i="15"/>
  <c r="O147" i="15" s="1"/>
  <c r="N131" i="15"/>
  <c r="O131" i="15" s="1"/>
  <c r="K131" i="15"/>
  <c r="H137" i="15"/>
  <c r="N123" i="15"/>
  <c r="O123" i="15" s="1"/>
  <c r="E123" i="15"/>
  <c r="C123" i="15"/>
  <c r="B123" i="15"/>
  <c r="K123" i="15"/>
  <c r="H130" i="15"/>
  <c r="H129" i="15"/>
  <c r="H128" i="15"/>
  <c r="H127" i="15"/>
  <c r="H123" i="15" s="1"/>
  <c r="I90" i="15"/>
  <c r="J90" i="15" s="1"/>
  <c r="G90" i="15"/>
  <c r="H88" i="15"/>
  <c r="J73" i="15"/>
  <c r="J74" i="15"/>
  <c r="H73" i="15"/>
  <c r="I71" i="15"/>
  <c r="I74" i="15"/>
  <c r="G71" i="15"/>
  <c r="G72" i="15"/>
  <c r="I72" i="15" s="1"/>
  <c r="G73" i="15"/>
  <c r="I73" i="15" s="1"/>
  <c r="G74" i="15"/>
  <c r="G66" i="15"/>
  <c r="I66" i="15" s="1"/>
  <c r="J66" i="15" s="1"/>
  <c r="J63" i="15"/>
  <c r="H58" i="15"/>
  <c r="H54" i="15"/>
  <c r="G50" i="15"/>
  <c r="I50" i="15" s="1"/>
  <c r="H46" i="15"/>
  <c r="E27" i="15"/>
  <c r="K27" i="15"/>
  <c r="H34" i="15"/>
  <c r="G170" i="15"/>
  <c r="I170" i="15" s="1"/>
  <c r="J170" i="15" s="1"/>
  <c r="G169" i="15"/>
  <c r="I169" i="15" s="1"/>
  <c r="J169" i="15" s="1"/>
  <c r="G168" i="15"/>
  <c r="I168" i="15" s="1"/>
  <c r="J168" i="15" s="1"/>
  <c r="G167" i="15"/>
  <c r="I167" i="15" s="1"/>
  <c r="J167" i="15" s="1"/>
  <c r="G166" i="15"/>
  <c r="I166" i="15" s="1"/>
  <c r="J166" i="15" s="1"/>
  <c r="G165" i="15"/>
  <c r="I165" i="15" s="1"/>
  <c r="J165" i="15" s="1"/>
  <c r="G164" i="15"/>
  <c r="I164" i="15" s="1"/>
  <c r="N163" i="15"/>
  <c r="O163" i="15" s="1"/>
  <c r="K163" i="15"/>
  <c r="H163" i="15"/>
  <c r="F163" i="15"/>
  <c r="E163" i="15"/>
  <c r="D163" i="15"/>
  <c r="C163" i="15"/>
  <c r="B163" i="15"/>
  <c r="G65" i="15"/>
  <c r="I65" i="15" s="1"/>
  <c r="J65" i="15" s="1"/>
  <c r="G64" i="15"/>
  <c r="I64" i="15" s="1"/>
  <c r="J64" i="15" s="1"/>
  <c r="G63" i="15"/>
  <c r="I63" i="15" s="1"/>
  <c r="G62" i="15"/>
  <c r="I62" i="15" s="1"/>
  <c r="J62" i="15" s="1"/>
  <c r="I61" i="15"/>
  <c r="J61" i="15" s="1"/>
  <c r="G60" i="15"/>
  <c r="I60" i="15" s="1"/>
  <c r="K59" i="15"/>
  <c r="H59" i="15"/>
  <c r="F59" i="15"/>
  <c r="E59" i="15"/>
  <c r="D59" i="15"/>
  <c r="C59" i="15"/>
  <c r="B59" i="15"/>
  <c r="G10" i="15"/>
  <c r="I10" i="15" s="1"/>
  <c r="J10" i="15" s="1"/>
  <c r="G9" i="15"/>
  <c r="I9" i="15" s="1"/>
  <c r="J9" i="15" s="1"/>
  <c r="G8" i="15"/>
  <c r="I8" i="15" s="1"/>
  <c r="J8" i="15" s="1"/>
  <c r="G7" i="15"/>
  <c r="I7" i="15" s="1"/>
  <c r="J7" i="15" s="1"/>
  <c r="G6" i="15"/>
  <c r="I6" i="15" s="1"/>
  <c r="J6" i="15" s="1"/>
  <c r="G5" i="15"/>
  <c r="I5" i="15" s="1"/>
  <c r="J5" i="15" s="1"/>
  <c r="G4" i="15"/>
  <c r="I4" i="15" s="1"/>
  <c r="N3" i="15"/>
  <c r="O3" i="15" s="1"/>
  <c r="K3" i="15"/>
  <c r="H3" i="15"/>
  <c r="F3" i="15"/>
  <c r="E3" i="15"/>
  <c r="C3" i="15"/>
  <c r="B3" i="15"/>
  <c r="N27" i="15"/>
  <c r="O27" i="15" s="1"/>
  <c r="H148" i="15"/>
  <c r="F131" i="15"/>
  <c r="E131" i="15"/>
  <c r="C131" i="15"/>
  <c r="B131" i="15"/>
  <c r="H132" i="15"/>
  <c r="J98" i="15"/>
  <c r="H94" i="15"/>
  <c r="H84" i="15"/>
  <c r="H53" i="15"/>
  <c r="H52" i="15"/>
  <c r="H45" i="15"/>
  <c r="H36" i="15"/>
  <c r="H35" i="15" s="1"/>
  <c r="G14" i="15"/>
  <c r="G15" i="15"/>
  <c r="I15" i="15" s="1"/>
  <c r="J15" i="15" s="1"/>
  <c r="G16" i="15"/>
  <c r="I16" i="15" s="1"/>
  <c r="J16" i="15" s="1"/>
  <c r="G17" i="15"/>
  <c r="I17" i="15" s="1"/>
  <c r="J17" i="15" s="1"/>
  <c r="G18" i="15"/>
  <c r="I18" i="15" s="1"/>
  <c r="J18" i="15" s="1"/>
  <c r="G12" i="15"/>
  <c r="I12" i="15" s="1"/>
  <c r="K35" i="15"/>
  <c r="F35" i="15"/>
  <c r="E35" i="15"/>
  <c r="B35" i="15"/>
  <c r="C35" i="15"/>
  <c r="G42" i="15"/>
  <c r="I42" i="15" s="1"/>
  <c r="J42" i="15" s="1"/>
  <c r="N103" i="14"/>
  <c r="N104" i="14"/>
  <c r="N122" i="14"/>
  <c r="N66" i="14"/>
  <c r="N117" i="14"/>
  <c r="N119" i="14"/>
  <c r="N120" i="14"/>
  <c r="N99" i="14"/>
  <c r="N121" i="14"/>
  <c r="N173" i="14"/>
  <c r="N157" i="14"/>
  <c r="N59" i="14"/>
  <c r="G194" i="16"/>
  <c r="I194" i="16" s="1"/>
  <c r="J194" i="16" s="1"/>
  <c r="G193" i="16"/>
  <c r="I193" i="16" s="1"/>
  <c r="J193" i="16" s="1"/>
  <c r="G192" i="16"/>
  <c r="I192" i="16" s="1"/>
  <c r="J192" i="16" s="1"/>
  <c r="G191" i="16"/>
  <c r="I191" i="16" s="1"/>
  <c r="J191" i="16" s="1"/>
  <c r="G190" i="16"/>
  <c r="I190" i="16" s="1"/>
  <c r="J190" i="16" s="1"/>
  <c r="G189" i="16"/>
  <c r="I189" i="16" s="1"/>
  <c r="J189" i="16" s="1"/>
  <c r="G188" i="16"/>
  <c r="I188" i="16" s="1"/>
  <c r="N187" i="16"/>
  <c r="O187" i="16" s="1"/>
  <c r="K187" i="16"/>
  <c r="H187" i="16"/>
  <c r="F187" i="16"/>
  <c r="E187" i="16"/>
  <c r="D187" i="16"/>
  <c r="C187" i="16"/>
  <c r="B187" i="16"/>
  <c r="I185" i="16"/>
  <c r="J185" i="16" s="1"/>
  <c r="I184" i="16"/>
  <c r="J184" i="16" s="1"/>
  <c r="I183" i="16"/>
  <c r="J183" i="16" s="1"/>
  <c r="I182" i="16"/>
  <c r="J182" i="16" s="1"/>
  <c r="I181" i="16"/>
  <c r="J181" i="16" s="1"/>
  <c r="G180" i="16"/>
  <c r="I180" i="16" s="1"/>
  <c r="O179" i="16"/>
  <c r="K179" i="16"/>
  <c r="H179" i="16"/>
  <c r="F179" i="16"/>
  <c r="E179" i="16"/>
  <c r="D179" i="16"/>
  <c r="C179" i="16"/>
  <c r="B179" i="16"/>
  <c r="G178" i="16"/>
  <c r="I178" i="16" s="1"/>
  <c r="J178" i="16" s="1"/>
  <c r="G177" i="16"/>
  <c r="I177" i="16" s="1"/>
  <c r="J177" i="16" s="1"/>
  <c r="G176" i="16"/>
  <c r="I176" i="16" s="1"/>
  <c r="J176" i="16" s="1"/>
  <c r="G175" i="16"/>
  <c r="I175" i="16" s="1"/>
  <c r="J175" i="16" s="1"/>
  <c r="G174" i="16"/>
  <c r="I174" i="16" s="1"/>
  <c r="J174" i="16" s="1"/>
  <c r="G173" i="16"/>
  <c r="I173" i="16" s="1"/>
  <c r="J173" i="16" s="1"/>
  <c r="G172" i="16"/>
  <c r="I172" i="16" s="1"/>
  <c r="J172" i="16" s="1"/>
  <c r="N171" i="16"/>
  <c r="O171" i="16" s="1"/>
  <c r="K171" i="16"/>
  <c r="H171" i="16"/>
  <c r="F171" i="16"/>
  <c r="E171" i="16"/>
  <c r="C171" i="16"/>
  <c r="B171" i="16"/>
  <c r="G170" i="16"/>
  <c r="I170" i="16" s="1"/>
  <c r="G169" i="16"/>
  <c r="I169" i="16" s="1"/>
  <c r="G168" i="16"/>
  <c r="I168" i="16" s="1"/>
  <c r="G167" i="16"/>
  <c r="I167" i="16" s="1"/>
  <c r="G166" i="16"/>
  <c r="I166" i="16" s="1"/>
  <c r="G165" i="16"/>
  <c r="I165" i="16" s="1"/>
  <c r="G164" i="16"/>
  <c r="I164" i="16" s="1"/>
  <c r="N163" i="16"/>
  <c r="O163" i="16" s="1"/>
  <c r="K163" i="16"/>
  <c r="H163" i="16"/>
  <c r="F163" i="16"/>
  <c r="E163" i="16"/>
  <c r="D163" i="16"/>
  <c r="C163" i="16"/>
  <c r="B163" i="16"/>
  <c r="G162" i="16"/>
  <c r="I162" i="16" s="1"/>
  <c r="J162" i="16" s="1"/>
  <c r="G161" i="16"/>
  <c r="I161" i="16" s="1"/>
  <c r="J161" i="16" s="1"/>
  <c r="G160" i="16"/>
  <c r="I160" i="16" s="1"/>
  <c r="J160" i="16" s="1"/>
  <c r="G159" i="16"/>
  <c r="I159" i="16" s="1"/>
  <c r="J159" i="16" s="1"/>
  <c r="G158" i="16"/>
  <c r="I158" i="16" s="1"/>
  <c r="J158" i="16" s="1"/>
  <c r="G157" i="16"/>
  <c r="I157" i="16" s="1"/>
  <c r="J157" i="16" s="1"/>
  <c r="G156" i="16"/>
  <c r="I156" i="16" s="1"/>
  <c r="N155" i="16"/>
  <c r="K155" i="16"/>
  <c r="F155" i="16"/>
  <c r="E155" i="16"/>
  <c r="D155" i="16"/>
  <c r="C155" i="16"/>
  <c r="B155" i="16"/>
  <c r="G152" i="16"/>
  <c r="I152" i="16" s="1"/>
  <c r="J152" i="16" s="1"/>
  <c r="G151" i="16"/>
  <c r="I151" i="16" s="1"/>
  <c r="J151" i="16" s="1"/>
  <c r="G150" i="16"/>
  <c r="I150" i="16" s="1"/>
  <c r="J150" i="16" s="1"/>
  <c r="G149" i="16"/>
  <c r="I149" i="16" s="1"/>
  <c r="J149" i="16" s="1"/>
  <c r="G148" i="16"/>
  <c r="I148" i="16" s="1"/>
  <c r="N147" i="16"/>
  <c r="O147" i="16" s="1"/>
  <c r="K147" i="16"/>
  <c r="H147" i="16"/>
  <c r="F147" i="16"/>
  <c r="E147" i="16"/>
  <c r="D147" i="16"/>
  <c r="C147" i="16"/>
  <c r="B147" i="16"/>
  <c r="G146" i="16"/>
  <c r="I146" i="16" s="1"/>
  <c r="J146" i="16" s="1"/>
  <c r="G145" i="16"/>
  <c r="I145" i="16" s="1"/>
  <c r="J145" i="16" s="1"/>
  <c r="G144" i="16"/>
  <c r="I144" i="16" s="1"/>
  <c r="J144" i="16" s="1"/>
  <c r="G143" i="16"/>
  <c r="I143" i="16" s="1"/>
  <c r="J143" i="16" s="1"/>
  <c r="G142" i="16"/>
  <c r="I142" i="16" s="1"/>
  <c r="J142" i="16" s="1"/>
  <c r="G141" i="16"/>
  <c r="I141" i="16" s="1"/>
  <c r="J141" i="16" s="1"/>
  <c r="G140" i="16"/>
  <c r="I140" i="16" s="1"/>
  <c r="N139" i="16"/>
  <c r="O139" i="16" s="1"/>
  <c r="H139" i="16"/>
  <c r="F139" i="16"/>
  <c r="E139" i="16"/>
  <c r="D139" i="16"/>
  <c r="C139" i="16"/>
  <c r="B139" i="16"/>
  <c r="G138" i="16"/>
  <c r="I138" i="16" s="1"/>
  <c r="J138" i="16" s="1"/>
  <c r="G137" i="16"/>
  <c r="I137" i="16" s="1"/>
  <c r="J137" i="16" s="1"/>
  <c r="G136" i="16"/>
  <c r="I136" i="16" s="1"/>
  <c r="J136" i="16" s="1"/>
  <c r="G135" i="16"/>
  <c r="I135" i="16" s="1"/>
  <c r="J135" i="16" s="1"/>
  <c r="G134" i="16"/>
  <c r="I134" i="16" s="1"/>
  <c r="J134" i="16" s="1"/>
  <c r="G133" i="16"/>
  <c r="I133" i="16" s="1"/>
  <c r="J133" i="16" s="1"/>
  <c r="G132" i="16"/>
  <c r="I132" i="16" s="1"/>
  <c r="J132" i="16" s="1"/>
  <c r="N131" i="16"/>
  <c r="O131" i="16" s="1"/>
  <c r="K131" i="16"/>
  <c r="H131" i="16"/>
  <c r="F131" i="16"/>
  <c r="E131" i="16"/>
  <c r="D131" i="16"/>
  <c r="C131" i="16"/>
  <c r="B131" i="16"/>
  <c r="G123" i="16" s="1"/>
  <c r="G114" i="16"/>
  <c r="I114" i="16" s="1"/>
  <c r="J114" i="16" s="1"/>
  <c r="G113" i="16"/>
  <c r="I113" i="16" s="1"/>
  <c r="J113" i="16" s="1"/>
  <c r="G112" i="16"/>
  <c r="I112" i="16" s="1"/>
  <c r="J112" i="16" s="1"/>
  <c r="G111" i="16"/>
  <c r="I111" i="16" s="1"/>
  <c r="J111" i="16" s="1"/>
  <c r="G110" i="16"/>
  <c r="I110" i="16" s="1"/>
  <c r="J110" i="16" s="1"/>
  <c r="G109" i="16"/>
  <c r="I109" i="16" s="1"/>
  <c r="J109" i="16" s="1"/>
  <c r="G108" i="16"/>
  <c r="I108" i="16" s="1"/>
  <c r="F107" i="16"/>
  <c r="E107" i="16"/>
  <c r="D107" i="16"/>
  <c r="C107" i="16"/>
  <c r="B107" i="16"/>
  <c r="G106" i="16"/>
  <c r="I106" i="16" s="1"/>
  <c r="J106" i="16" s="1"/>
  <c r="G105" i="16"/>
  <c r="I105" i="16" s="1"/>
  <c r="J105" i="16" s="1"/>
  <c r="G104" i="16"/>
  <c r="I104" i="16" s="1"/>
  <c r="J104" i="16" s="1"/>
  <c r="G103" i="16"/>
  <c r="I103" i="16" s="1"/>
  <c r="J103" i="16" s="1"/>
  <c r="G102" i="16"/>
  <c r="I102" i="16" s="1"/>
  <c r="J102" i="16" s="1"/>
  <c r="G101" i="16"/>
  <c r="I101" i="16" s="1"/>
  <c r="J101" i="16" s="1"/>
  <c r="G100" i="16"/>
  <c r="I100" i="16" s="1"/>
  <c r="K99" i="16"/>
  <c r="H99" i="16"/>
  <c r="F99" i="16"/>
  <c r="E99" i="16"/>
  <c r="C99" i="16"/>
  <c r="B99" i="16"/>
  <c r="G98" i="16"/>
  <c r="I98" i="16" s="1"/>
  <c r="J98" i="16" s="1"/>
  <c r="G97" i="16"/>
  <c r="I97" i="16" s="1"/>
  <c r="J97" i="16" s="1"/>
  <c r="G96" i="16"/>
  <c r="I96" i="16" s="1"/>
  <c r="J96" i="16" s="1"/>
  <c r="G95" i="16"/>
  <c r="I95" i="16" s="1"/>
  <c r="J95" i="16" s="1"/>
  <c r="G94" i="16"/>
  <c r="I94" i="16" s="1"/>
  <c r="J94" i="16" s="1"/>
  <c r="G93" i="16"/>
  <c r="I93" i="16" s="1"/>
  <c r="J93" i="16" s="1"/>
  <c r="G92" i="16"/>
  <c r="I92" i="16" s="1"/>
  <c r="N91" i="16"/>
  <c r="O91" i="16" s="1"/>
  <c r="K91" i="16"/>
  <c r="H91" i="16"/>
  <c r="F91" i="16"/>
  <c r="E91" i="16"/>
  <c r="C91" i="16"/>
  <c r="B91" i="16"/>
  <c r="G90" i="16"/>
  <c r="I90" i="16" s="1"/>
  <c r="J90" i="16" s="1"/>
  <c r="G89" i="16"/>
  <c r="I89" i="16" s="1"/>
  <c r="J89" i="16" s="1"/>
  <c r="G88" i="16"/>
  <c r="I88" i="16" s="1"/>
  <c r="J88" i="16" s="1"/>
  <c r="G87" i="16"/>
  <c r="I87" i="16" s="1"/>
  <c r="J87" i="16" s="1"/>
  <c r="G86" i="16"/>
  <c r="I86" i="16" s="1"/>
  <c r="J86" i="16" s="1"/>
  <c r="G85" i="16"/>
  <c r="I85" i="16" s="1"/>
  <c r="J85" i="16" s="1"/>
  <c r="G84" i="16"/>
  <c r="I84" i="16" s="1"/>
  <c r="N83" i="16"/>
  <c r="O83" i="16" s="1"/>
  <c r="K83" i="16"/>
  <c r="K212" i="16" s="1"/>
  <c r="H83" i="16"/>
  <c r="F83" i="16"/>
  <c r="E83" i="16"/>
  <c r="D83" i="16"/>
  <c r="C83" i="16"/>
  <c r="B83" i="16"/>
  <c r="G81" i="16"/>
  <c r="I81" i="16" s="1"/>
  <c r="J81" i="16" s="1"/>
  <c r="G80" i="16"/>
  <c r="I80" i="16" s="1"/>
  <c r="J80" i="16" s="1"/>
  <c r="G79" i="16"/>
  <c r="I79" i="16" s="1"/>
  <c r="J79" i="16" s="1"/>
  <c r="G78" i="16"/>
  <c r="I78" i="16" s="1"/>
  <c r="J78" i="16" s="1"/>
  <c r="G77" i="16"/>
  <c r="I77" i="16" s="1"/>
  <c r="G76" i="16"/>
  <c r="I76" i="16" s="1"/>
  <c r="J76" i="16" s="1"/>
  <c r="K75" i="16"/>
  <c r="H75" i="16"/>
  <c r="F75" i="16"/>
  <c r="E75" i="16"/>
  <c r="D75" i="16"/>
  <c r="C75" i="16"/>
  <c r="B75" i="16"/>
  <c r="G73" i="16"/>
  <c r="I73" i="16" s="1"/>
  <c r="G72" i="16"/>
  <c r="I72" i="16" s="1"/>
  <c r="J72" i="16" s="1"/>
  <c r="G71" i="16"/>
  <c r="I71" i="16" s="1"/>
  <c r="G70" i="16"/>
  <c r="I70" i="16" s="1"/>
  <c r="G69" i="16"/>
  <c r="I69" i="16" s="1"/>
  <c r="J69" i="16" s="1"/>
  <c r="G68" i="16"/>
  <c r="I68" i="16" s="1"/>
  <c r="K67" i="16"/>
  <c r="H67" i="16"/>
  <c r="F67" i="16"/>
  <c r="E67" i="16"/>
  <c r="D67" i="16"/>
  <c r="C67" i="16"/>
  <c r="B67" i="16"/>
  <c r="G66" i="16"/>
  <c r="I66" i="16" s="1"/>
  <c r="G65" i="16"/>
  <c r="I65" i="16" s="1"/>
  <c r="J65" i="16" s="1"/>
  <c r="G64" i="16"/>
  <c r="I64" i="16" s="1"/>
  <c r="J64" i="16" s="1"/>
  <c r="G63" i="16"/>
  <c r="I63" i="16" s="1"/>
  <c r="J63" i="16" s="1"/>
  <c r="G62" i="16"/>
  <c r="I62" i="16" s="1"/>
  <c r="G61" i="16"/>
  <c r="I61" i="16" s="1"/>
  <c r="J61" i="16" s="1"/>
  <c r="G60" i="16"/>
  <c r="I60" i="16" s="1"/>
  <c r="J60" i="16" s="1"/>
  <c r="N59" i="16"/>
  <c r="O59" i="16" s="1"/>
  <c r="K59" i="16"/>
  <c r="H59" i="16"/>
  <c r="F59" i="16"/>
  <c r="E59" i="16"/>
  <c r="D59" i="16"/>
  <c r="C59" i="16"/>
  <c r="B59" i="16"/>
  <c r="J58" i="16"/>
  <c r="J56" i="16"/>
  <c r="J55" i="16"/>
  <c r="G54" i="16"/>
  <c r="I54" i="16" s="1"/>
  <c r="J54" i="16" s="1"/>
  <c r="G53" i="16"/>
  <c r="I53" i="16" s="1"/>
  <c r="G52" i="16"/>
  <c r="I52" i="16" s="1"/>
  <c r="J52" i="16" s="1"/>
  <c r="N51" i="16"/>
  <c r="O51" i="16" s="1"/>
  <c r="K51" i="16"/>
  <c r="H51" i="16"/>
  <c r="F51" i="16"/>
  <c r="D51" i="16"/>
  <c r="C51" i="16"/>
  <c r="B51" i="16"/>
  <c r="G50" i="16"/>
  <c r="I50" i="16" s="1"/>
  <c r="J50" i="16" s="1"/>
  <c r="G49" i="16"/>
  <c r="I49" i="16" s="1"/>
  <c r="J49" i="16" s="1"/>
  <c r="G48" i="16"/>
  <c r="I48" i="16" s="1"/>
  <c r="J48" i="16" s="1"/>
  <c r="G47" i="16"/>
  <c r="I47" i="16" s="1"/>
  <c r="J47" i="16" s="1"/>
  <c r="G46" i="16"/>
  <c r="I46" i="16" s="1"/>
  <c r="J46" i="16" s="1"/>
  <c r="G45" i="16"/>
  <c r="I45" i="16" s="1"/>
  <c r="J45" i="16" s="1"/>
  <c r="G44" i="16"/>
  <c r="I44" i="16" s="1"/>
  <c r="N43" i="16"/>
  <c r="O43" i="16" s="1"/>
  <c r="K43" i="16"/>
  <c r="H43" i="16"/>
  <c r="F43" i="16"/>
  <c r="E43" i="16"/>
  <c r="D43" i="16"/>
  <c r="C43" i="16"/>
  <c r="B43" i="16"/>
  <c r="I42" i="16"/>
  <c r="J42" i="16" s="1"/>
  <c r="G41" i="16"/>
  <c r="I41" i="16" s="1"/>
  <c r="J41" i="16" s="1"/>
  <c r="G40" i="16"/>
  <c r="I40" i="16" s="1"/>
  <c r="J40" i="16" s="1"/>
  <c r="G39" i="16"/>
  <c r="I39" i="16" s="1"/>
  <c r="J39" i="16" s="1"/>
  <c r="G38" i="16"/>
  <c r="I38" i="16" s="1"/>
  <c r="J38" i="16" s="1"/>
  <c r="G37" i="16"/>
  <c r="I37" i="16" s="1"/>
  <c r="J37" i="16" s="1"/>
  <c r="G36" i="16"/>
  <c r="I36" i="16" s="1"/>
  <c r="N35" i="16"/>
  <c r="O35" i="16" s="1"/>
  <c r="K35" i="16"/>
  <c r="H35" i="16"/>
  <c r="F35" i="16"/>
  <c r="E35" i="16"/>
  <c r="D35" i="16"/>
  <c r="C35" i="16"/>
  <c r="B35" i="16"/>
  <c r="G34" i="16"/>
  <c r="I34" i="16" s="1"/>
  <c r="J34" i="16" s="1"/>
  <c r="G32" i="16"/>
  <c r="I32" i="16" s="1"/>
  <c r="J32" i="16" s="1"/>
  <c r="G31" i="16"/>
  <c r="I31" i="16" s="1"/>
  <c r="J31" i="16" s="1"/>
  <c r="G30" i="16"/>
  <c r="I30" i="16" s="1"/>
  <c r="J30" i="16" s="1"/>
  <c r="G29" i="16"/>
  <c r="I29" i="16" s="1"/>
  <c r="J29" i="16" s="1"/>
  <c r="G28" i="16"/>
  <c r="I28" i="16" s="1"/>
  <c r="K27" i="16"/>
  <c r="H27" i="16"/>
  <c r="H212" i="16" s="1"/>
  <c r="F27" i="16"/>
  <c r="E27" i="16"/>
  <c r="D27" i="16"/>
  <c r="C27" i="16"/>
  <c r="B27" i="16"/>
  <c r="G26" i="16"/>
  <c r="I26" i="16" s="1"/>
  <c r="J26" i="16" s="1"/>
  <c r="G25" i="16"/>
  <c r="I25" i="16" s="1"/>
  <c r="J25" i="16" s="1"/>
  <c r="G24" i="16"/>
  <c r="I24" i="16" s="1"/>
  <c r="J24" i="16" s="1"/>
  <c r="G23" i="16"/>
  <c r="I23" i="16" s="1"/>
  <c r="J23" i="16" s="1"/>
  <c r="G22" i="16"/>
  <c r="I22" i="16" s="1"/>
  <c r="J22" i="16" s="1"/>
  <c r="G21" i="16"/>
  <c r="I21" i="16" s="1"/>
  <c r="G20" i="16"/>
  <c r="I20" i="16" s="1"/>
  <c r="J20" i="16" s="1"/>
  <c r="N19" i="16"/>
  <c r="O19" i="16" s="1"/>
  <c r="K19" i="16"/>
  <c r="H19" i="16"/>
  <c r="D19" i="16"/>
  <c r="G18" i="16"/>
  <c r="I18" i="16" s="1"/>
  <c r="J18" i="16" s="1"/>
  <c r="G17" i="16"/>
  <c r="I17" i="16" s="1"/>
  <c r="J17" i="16" s="1"/>
  <c r="G16" i="16"/>
  <c r="I16" i="16" s="1"/>
  <c r="J16" i="16" s="1"/>
  <c r="G15" i="16"/>
  <c r="I15" i="16" s="1"/>
  <c r="J15" i="16" s="1"/>
  <c r="G14" i="16"/>
  <c r="I14" i="16" s="1"/>
  <c r="J14" i="16" s="1"/>
  <c r="G13" i="16"/>
  <c r="I13" i="16" s="1"/>
  <c r="G12" i="16"/>
  <c r="I12" i="16" s="1"/>
  <c r="J12" i="16" s="1"/>
  <c r="N11" i="16"/>
  <c r="K11" i="16"/>
  <c r="H11" i="16"/>
  <c r="F11" i="16"/>
  <c r="E11" i="16"/>
  <c r="D11" i="16"/>
  <c r="C11" i="16"/>
  <c r="B11" i="16"/>
  <c r="G10" i="16"/>
  <c r="I10" i="16" s="1"/>
  <c r="G9" i="16"/>
  <c r="I9" i="16" s="1"/>
  <c r="G8" i="16"/>
  <c r="I8" i="16" s="1"/>
  <c r="J8" i="16" s="1"/>
  <c r="G6" i="16"/>
  <c r="I6" i="16" s="1"/>
  <c r="J6" i="16" s="1"/>
  <c r="G5" i="16"/>
  <c r="I5" i="16" s="1"/>
  <c r="J4" i="16"/>
  <c r="K3" i="16"/>
  <c r="H3" i="16"/>
  <c r="F3" i="16"/>
  <c r="E3" i="16"/>
  <c r="D3" i="16"/>
  <c r="C3" i="16"/>
  <c r="B3" i="16"/>
  <c r="N33" i="14"/>
  <c r="N212" i="16" l="1"/>
  <c r="O11" i="16"/>
  <c r="O212" i="16" s="1"/>
  <c r="J168" i="16"/>
  <c r="I163" i="16"/>
  <c r="G67" i="16"/>
  <c r="G131" i="16"/>
  <c r="G51" i="16"/>
  <c r="J21" i="16"/>
  <c r="J19" i="16" s="1"/>
  <c r="M19" i="16" s="1"/>
  <c r="I19" i="16"/>
  <c r="G107" i="16"/>
  <c r="G59" i="16"/>
  <c r="G75" i="16"/>
  <c r="G99" i="16"/>
  <c r="G91" i="16"/>
  <c r="G171" i="16"/>
  <c r="G187" i="16"/>
  <c r="G35" i="16"/>
  <c r="G163" i="16"/>
  <c r="G11" i="16"/>
  <c r="G27" i="16"/>
  <c r="G139" i="16"/>
  <c r="J92" i="16"/>
  <c r="J91" i="16" s="1"/>
  <c r="M91" i="16" s="1"/>
  <c r="I91" i="16"/>
  <c r="I75" i="16"/>
  <c r="G19" i="16"/>
  <c r="G179" i="16"/>
  <c r="J171" i="16"/>
  <c r="M171" i="16" s="1"/>
  <c r="G83" i="16"/>
  <c r="G3" i="16"/>
  <c r="I59" i="15"/>
  <c r="G59" i="15"/>
  <c r="I163" i="15"/>
  <c r="G163" i="15"/>
  <c r="G3" i="15"/>
  <c r="I3" i="15"/>
  <c r="J60" i="15"/>
  <c r="J4" i="15"/>
  <c r="J3" i="15" s="1"/>
  <c r="M3" i="15" s="1"/>
  <c r="J164" i="15"/>
  <c r="J163" i="15" s="1"/>
  <c r="M163" i="15" s="1"/>
  <c r="G131" i="15"/>
  <c r="I3" i="16"/>
  <c r="J5" i="16"/>
  <c r="J3" i="16" s="1"/>
  <c r="I99" i="16"/>
  <c r="J100" i="16"/>
  <c r="J99" i="16" s="1"/>
  <c r="M99" i="16" s="1"/>
  <c r="J163" i="16"/>
  <c r="M163" i="16" s="1"/>
  <c r="J28" i="16"/>
  <c r="M27" i="16" s="1"/>
  <c r="J13" i="16"/>
  <c r="J11" i="16" s="1"/>
  <c r="M11" i="16" s="1"/>
  <c r="I11" i="16"/>
  <c r="J62" i="16"/>
  <c r="J59" i="16" s="1"/>
  <c r="M59" i="16" s="1"/>
  <c r="I59" i="16"/>
  <c r="I35" i="16"/>
  <c r="J36" i="16"/>
  <c r="J35" i="16" s="1"/>
  <c r="M35" i="16" s="1"/>
  <c r="J53" i="16"/>
  <c r="J51" i="16" s="1"/>
  <c r="M51" i="16" s="1"/>
  <c r="I51" i="16"/>
  <c r="I139" i="16"/>
  <c r="J140" i="16"/>
  <c r="J139" i="16" s="1"/>
  <c r="M139" i="16" s="1"/>
  <c r="I187" i="16"/>
  <c r="G43" i="16"/>
  <c r="J44" i="16"/>
  <c r="J43" i="16" s="1"/>
  <c r="M43" i="16" s="1"/>
  <c r="I43" i="16"/>
  <c r="J131" i="16"/>
  <c r="M131" i="16" s="1"/>
  <c r="G147" i="16"/>
  <c r="G155" i="16"/>
  <c r="J84" i="16"/>
  <c r="J83" i="16" s="1"/>
  <c r="I83" i="16"/>
  <c r="J68" i="16"/>
  <c r="M67" i="16" s="1"/>
  <c r="I171" i="16"/>
  <c r="J180" i="16"/>
  <c r="M179" i="16" s="1"/>
  <c r="J77" i="16"/>
  <c r="J75" i="16" s="1"/>
  <c r="M75" i="16" s="1"/>
  <c r="J188" i="16"/>
  <c r="J187" i="16" s="1"/>
  <c r="M187" i="16" s="1"/>
  <c r="J108" i="16"/>
  <c r="M107" i="16" s="1"/>
  <c r="I131" i="16"/>
  <c r="I147" i="16"/>
  <c r="J148" i="16"/>
  <c r="J147" i="16" s="1"/>
  <c r="M147" i="16" s="1"/>
  <c r="J156" i="16"/>
  <c r="M155" i="16" s="1"/>
  <c r="I212" i="16" l="1"/>
  <c r="M83" i="16"/>
  <c r="J212" i="16"/>
  <c r="M212" i="16"/>
  <c r="J59" i="15"/>
  <c r="M59" i="15" s="1"/>
  <c r="M3" i="16"/>
  <c r="N202" i="14"/>
  <c r="N72" i="14"/>
  <c r="N73" i="14"/>
  <c r="N62" i="14"/>
  <c r="N58" i="14"/>
  <c r="J202" i="14"/>
  <c r="J201" i="14"/>
  <c r="J200" i="14"/>
  <c r="N53" i="14"/>
  <c r="J121" i="14"/>
  <c r="J120" i="14"/>
  <c r="J119" i="14"/>
  <c r="J118" i="14"/>
  <c r="N22" i="14"/>
  <c r="N15" i="14"/>
  <c r="N14" i="14"/>
  <c r="N171" i="14"/>
  <c r="N115" i="14"/>
  <c r="N75" i="14"/>
  <c r="N67" i="14"/>
  <c r="N3" i="14"/>
  <c r="N27" i="14"/>
  <c r="O27" i="14" s="1"/>
  <c r="K27" i="14"/>
  <c r="J27" i="14"/>
  <c r="I27" i="14"/>
  <c r="H27" i="14"/>
  <c r="E27" i="14"/>
  <c r="F27" i="14"/>
  <c r="F19" i="14"/>
  <c r="C115" i="14"/>
  <c r="B115" i="14"/>
  <c r="C27" i="14"/>
  <c r="B27" i="14"/>
  <c r="C19" i="14"/>
  <c r="B19" i="14"/>
  <c r="C3" i="14"/>
  <c r="H147" i="14"/>
  <c r="A34" i="14"/>
  <c r="G34" i="14"/>
  <c r="I34" i="14" s="1"/>
  <c r="J34" i="14" s="1"/>
  <c r="H202" i="14"/>
  <c r="L212" i="14"/>
  <c r="E115" i="14"/>
  <c r="C187" i="14"/>
  <c r="B187" i="14"/>
  <c r="H201" i="14"/>
  <c r="H189" i="14"/>
  <c r="H187" i="14" s="1"/>
  <c r="H173" i="14"/>
  <c r="J173" i="14" s="1"/>
  <c r="G173" i="14"/>
  <c r="G174" i="14"/>
  <c r="I174" i="14" s="1"/>
  <c r="J174" i="14" s="1"/>
  <c r="G175" i="14"/>
  <c r="G176" i="14"/>
  <c r="G177" i="14"/>
  <c r="J175" i="14"/>
  <c r="J176" i="14"/>
  <c r="J177" i="14"/>
  <c r="I173" i="14"/>
  <c r="I175" i="14"/>
  <c r="I176" i="14"/>
  <c r="I177" i="14"/>
  <c r="H172" i="14"/>
  <c r="H159" i="14"/>
  <c r="H158" i="14"/>
  <c r="H154" i="14"/>
  <c r="H152" i="14"/>
  <c r="H151" i="14"/>
  <c r="H149" i="14"/>
  <c r="G145" i="14"/>
  <c r="I145" i="14" s="1"/>
  <c r="J145" i="14" s="1"/>
  <c r="G146" i="14"/>
  <c r="I146" i="14" s="1"/>
  <c r="J146" i="14" s="1"/>
  <c r="K115" i="14"/>
  <c r="G210" i="14"/>
  <c r="I210" i="14" s="1"/>
  <c r="J210" i="14" s="1"/>
  <c r="G209" i="14"/>
  <c r="I209" i="14" s="1"/>
  <c r="J209" i="14" s="1"/>
  <c r="G208" i="14"/>
  <c r="I208" i="14" s="1"/>
  <c r="J208" i="14" s="1"/>
  <c r="G207" i="14"/>
  <c r="I207" i="14" s="1"/>
  <c r="J207" i="14" s="1"/>
  <c r="G206" i="14"/>
  <c r="I206" i="14" s="1"/>
  <c r="J206" i="14" s="1"/>
  <c r="G205" i="14"/>
  <c r="I205" i="14" s="1"/>
  <c r="G204" i="14"/>
  <c r="I204" i="14" s="1"/>
  <c r="J204" i="14" s="1"/>
  <c r="N203" i="14"/>
  <c r="O203" i="14" s="1"/>
  <c r="K203" i="14"/>
  <c r="H203" i="14"/>
  <c r="F203" i="14"/>
  <c r="E203" i="14"/>
  <c r="D203" i="14"/>
  <c r="C203" i="14"/>
  <c r="B203" i="14"/>
  <c r="G194" i="14"/>
  <c r="I194" i="14" s="1"/>
  <c r="J194" i="14" s="1"/>
  <c r="G193" i="14"/>
  <c r="I193" i="14" s="1"/>
  <c r="J193" i="14" s="1"/>
  <c r="G192" i="14"/>
  <c r="I192" i="14" s="1"/>
  <c r="J192" i="14" s="1"/>
  <c r="G191" i="14"/>
  <c r="I191" i="14" s="1"/>
  <c r="J191" i="14" s="1"/>
  <c r="G190" i="14"/>
  <c r="I190" i="14" s="1"/>
  <c r="J190" i="14" s="1"/>
  <c r="G189" i="14"/>
  <c r="I189" i="14" s="1"/>
  <c r="G188" i="14"/>
  <c r="I188" i="14" s="1"/>
  <c r="J188" i="14" s="1"/>
  <c r="N187" i="14"/>
  <c r="O187" i="14" s="1"/>
  <c r="K187" i="14"/>
  <c r="F187" i="14"/>
  <c r="E187" i="14"/>
  <c r="D187" i="14"/>
  <c r="G202" i="14"/>
  <c r="I202" i="14" s="1"/>
  <c r="G201" i="14"/>
  <c r="I201" i="14" s="1"/>
  <c r="G200" i="14"/>
  <c r="I200" i="14" s="1"/>
  <c r="G199" i="14"/>
  <c r="I199" i="14" s="1"/>
  <c r="J199" i="14" s="1"/>
  <c r="G198" i="14"/>
  <c r="I198" i="14" s="1"/>
  <c r="J198" i="14" s="1"/>
  <c r="G197" i="14"/>
  <c r="I197" i="14" s="1"/>
  <c r="G196" i="14"/>
  <c r="I196" i="14" s="1"/>
  <c r="J196" i="14" s="1"/>
  <c r="N195" i="14"/>
  <c r="O195" i="14" s="1"/>
  <c r="K195" i="14"/>
  <c r="F195" i="14"/>
  <c r="E195" i="14"/>
  <c r="D195" i="14"/>
  <c r="C195" i="14"/>
  <c r="B195" i="14"/>
  <c r="H80" i="14"/>
  <c r="H79" i="14"/>
  <c r="H77" i="14"/>
  <c r="J82" i="14"/>
  <c r="H76" i="14"/>
  <c r="I74" i="14"/>
  <c r="J74" i="14" s="1"/>
  <c r="G55" i="14"/>
  <c r="I55" i="14" s="1"/>
  <c r="J55" i="14" s="1"/>
  <c r="G56" i="14"/>
  <c r="I56" i="14" s="1"/>
  <c r="J56" i="14" s="1"/>
  <c r="G57" i="14"/>
  <c r="I57" i="14" s="1"/>
  <c r="J57" i="14" s="1"/>
  <c r="G58" i="14"/>
  <c r="I58" i="14" s="1"/>
  <c r="J58" i="14" s="1"/>
  <c r="H41" i="14"/>
  <c r="H37" i="14"/>
  <c r="H30" i="14"/>
  <c r="H24" i="14"/>
  <c r="G7" i="14"/>
  <c r="I7" i="14" s="1"/>
  <c r="J7" i="14" s="1"/>
  <c r="G8" i="14"/>
  <c r="I8" i="14" s="1"/>
  <c r="J8" i="14" s="1"/>
  <c r="G9" i="14"/>
  <c r="I9" i="14" s="1"/>
  <c r="J9" i="14" s="1"/>
  <c r="G10" i="14"/>
  <c r="I10" i="14" s="1"/>
  <c r="J10" i="14" s="1"/>
  <c r="H6" i="14"/>
  <c r="I4" i="13"/>
  <c r="H3" i="13"/>
  <c r="G3" i="13"/>
  <c r="N105" i="13"/>
  <c r="A28" i="14"/>
  <c r="A29" i="14"/>
  <c r="A30" i="14"/>
  <c r="A31" i="14"/>
  <c r="A32" i="14"/>
  <c r="A33" i="14"/>
  <c r="H188" i="13"/>
  <c r="H189" i="13"/>
  <c r="H190" i="13"/>
  <c r="H191" i="13"/>
  <c r="H192" i="13"/>
  <c r="N75" i="13"/>
  <c r="J187" i="13"/>
  <c r="N90" i="13"/>
  <c r="N97" i="13"/>
  <c r="N57" i="13"/>
  <c r="N150" i="13"/>
  <c r="N26" i="13"/>
  <c r="N25" i="13"/>
  <c r="N27" i="13"/>
  <c r="N73" i="13"/>
  <c r="N209" i="13"/>
  <c r="N160" i="13"/>
  <c r="N154" i="13"/>
  <c r="O154" i="13" s="1"/>
  <c r="N47" i="13"/>
  <c r="N42" i="13" s="1"/>
  <c r="O3" i="13"/>
  <c r="N35" i="14"/>
  <c r="O35" i="14" s="1"/>
  <c r="N137" i="13"/>
  <c r="N67" i="12"/>
  <c r="H146" i="13"/>
  <c r="J149" i="13"/>
  <c r="J150" i="13"/>
  <c r="J151" i="13"/>
  <c r="J152" i="13"/>
  <c r="J153" i="13"/>
  <c r="E19" i="14"/>
  <c r="G210" i="15"/>
  <c r="I210" i="15" s="1"/>
  <c r="J210" i="15" s="1"/>
  <c r="G209" i="15"/>
  <c r="I209" i="15" s="1"/>
  <c r="J209" i="15" s="1"/>
  <c r="G208" i="15"/>
  <c r="I208" i="15" s="1"/>
  <c r="J208" i="15" s="1"/>
  <c r="G207" i="15"/>
  <c r="I207" i="15" s="1"/>
  <c r="J207" i="15" s="1"/>
  <c r="G206" i="15"/>
  <c r="I206" i="15" s="1"/>
  <c r="J206" i="15" s="1"/>
  <c r="G205" i="15"/>
  <c r="I205" i="15" s="1"/>
  <c r="J205" i="15" s="1"/>
  <c r="G204" i="15"/>
  <c r="I204" i="15" s="1"/>
  <c r="G201" i="15"/>
  <c r="I201" i="15" s="1"/>
  <c r="G200" i="15"/>
  <c r="I200" i="15" s="1"/>
  <c r="J200" i="15" s="1"/>
  <c r="G199" i="15"/>
  <c r="I199" i="15" s="1"/>
  <c r="G198" i="15"/>
  <c r="I198" i="15" s="1"/>
  <c r="I197" i="15"/>
  <c r="J197" i="15" s="1"/>
  <c r="G196" i="15"/>
  <c r="I196" i="15" s="1"/>
  <c r="G194" i="15"/>
  <c r="I194" i="15" s="1"/>
  <c r="J194" i="15" s="1"/>
  <c r="G193" i="15"/>
  <c r="I193" i="15" s="1"/>
  <c r="J193" i="15" s="1"/>
  <c r="G192" i="15"/>
  <c r="I192" i="15" s="1"/>
  <c r="J192" i="15" s="1"/>
  <c r="G191" i="15"/>
  <c r="I191" i="15" s="1"/>
  <c r="J191" i="15" s="1"/>
  <c r="G190" i="15"/>
  <c r="I190" i="15" s="1"/>
  <c r="J190" i="15" s="1"/>
  <c r="G189" i="15"/>
  <c r="I189" i="15" s="1"/>
  <c r="J189" i="15" s="1"/>
  <c r="G188" i="15"/>
  <c r="I188" i="15" s="1"/>
  <c r="G186" i="15"/>
  <c r="I186" i="15" s="1"/>
  <c r="J186" i="15" s="1"/>
  <c r="G185" i="15"/>
  <c r="I185" i="15" s="1"/>
  <c r="J185" i="15" s="1"/>
  <c r="G184" i="15"/>
  <c r="I184" i="15" s="1"/>
  <c r="J184" i="15" s="1"/>
  <c r="G183" i="15"/>
  <c r="I183" i="15" s="1"/>
  <c r="J183" i="15" s="1"/>
  <c r="G182" i="15"/>
  <c r="I182" i="15" s="1"/>
  <c r="J182" i="15" s="1"/>
  <c r="G181" i="15"/>
  <c r="I181" i="15" s="1"/>
  <c r="J181" i="15" s="1"/>
  <c r="G180" i="15"/>
  <c r="I180" i="15" s="1"/>
  <c r="J180" i="15" s="1"/>
  <c r="D179" i="15"/>
  <c r="G178" i="15"/>
  <c r="I178" i="15" s="1"/>
  <c r="J178" i="15" s="1"/>
  <c r="G177" i="15"/>
  <c r="I177" i="15" s="1"/>
  <c r="J177" i="15" s="1"/>
  <c r="G176" i="15"/>
  <c r="I176" i="15" s="1"/>
  <c r="J176" i="15" s="1"/>
  <c r="G175" i="15"/>
  <c r="I175" i="15" s="1"/>
  <c r="J175" i="15" s="1"/>
  <c r="G174" i="15"/>
  <c r="I174" i="15" s="1"/>
  <c r="J174" i="15" s="1"/>
  <c r="G173" i="15"/>
  <c r="I173" i="15" s="1"/>
  <c r="J173" i="15" s="1"/>
  <c r="G172" i="15"/>
  <c r="I172" i="15" s="1"/>
  <c r="D171" i="15"/>
  <c r="G160" i="15"/>
  <c r="I160" i="15" s="1"/>
  <c r="J160" i="15" s="1"/>
  <c r="G159" i="15"/>
  <c r="I159" i="15" s="1"/>
  <c r="J159" i="15" s="1"/>
  <c r="G158" i="15"/>
  <c r="I158" i="15" s="1"/>
  <c r="J158" i="15" s="1"/>
  <c r="G157" i="15"/>
  <c r="I157" i="15" s="1"/>
  <c r="J157" i="15" s="1"/>
  <c r="G156" i="15"/>
  <c r="I156" i="15" s="1"/>
  <c r="G154" i="15"/>
  <c r="I154" i="15" s="1"/>
  <c r="J154" i="15" s="1"/>
  <c r="G153" i="15"/>
  <c r="G152" i="15"/>
  <c r="I152" i="15" s="1"/>
  <c r="J152" i="15" s="1"/>
  <c r="G151" i="15"/>
  <c r="I151" i="15" s="1"/>
  <c r="J151" i="15" s="1"/>
  <c r="G150" i="15"/>
  <c r="I150" i="15" s="1"/>
  <c r="J150" i="15" s="1"/>
  <c r="G149" i="15"/>
  <c r="I149" i="15" s="1"/>
  <c r="J149" i="15" s="1"/>
  <c r="G148" i="15"/>
  <c r="I148" i="15" s="1"/>
  <c r="G146" i="15"/>
  <c r="I146" i="15" s="1"/>
  <c r="J146" i="15" s="1"/>
  <c r="G145" i="15"/>
  <c r="I145" i="15" s="1"/>
  <c r="J145" i="15" s="1"/>
  <c r="G144" i="15"/>
  <c r="I144" i="15" s="1"/>
  <c r="J144" i="15" s="1"/>
  <c r="G143" i="15"/>
  <c r="I143" i="15" s="1"/>
  <c r="J143" i="15" s="1"/>
  <c r="G142" i="15"/>
  <c r="I142" i="15" s="1"/>
  <c r="J142" i="15" s="1"/>
  <c r="G141" i="15"/>
  <c r="I141" i="15" s="1"/>
  <c r="J141" i="15" s="1"/>
  <c r="G140" i="15"/>
  <c r="I140" i="15" s="1"/>
  <c r="J140" i="15" s="1"/>
  <c r="G138" i="15"/>
  <c r="I138" i="15" s="1"/>
  <c r="J138" i="15" s="1"/>
  <c r="G137" i="15"/>
  <c r="I137" i="15" s="1"/>
  <c r="J137" i="15" s="1"/>
  <c r="G136" i="15"/>
  <c r="I136" i="15" s="1"/>
  <c r="J136" i="15" s="1"/>
  <c r="G135" i="15"/>
  <c r="I135" i="15" s="1"/>
  <c r="J135" i="15" s="1"/>
  <c r="G134" i="15"/>
  <c r="I134" i="15" s="1"/>
  <c r="J134" i="15" s="1"/>
  <c r="G133" i="15"/>
  <c r="I133" i="15" s="1"/>
  <c r="J133" i="15" s="1"/>
  <c r="G132" i="15"/>
  <c r="I132" i="15" s="1"/>
  <c r="G130" i="15"/>
  <c r="I130" i="15" s="1"/>
  <c r="J130" i="15" s="1"/>
  <c r="G129" i="15"/>
  <c r="I129" i="15" s="1"/>
  <c r="J129" i="15" s="1"/>
  <c r="G128" i="15"/>
  <c r="I128" i="15" s="1"/>
  <c r="J128" i="15" s="1"/>
  <c r="G127" i="15"/>
  <c r="I127" i="15" s="1"/>
  <c r="J127" i="15" s="1"/>
  <c r="G126" i="15"/>
  <c r="I126" i="15" s="1"/>
  <c r="J126" i="15" s="1"/>
  <c r="G125" i="15"/>
  <c r="I125" i="15" s="1"/>
  <c r="J125" i="15" s="1"/>
  <c r="G124" i="15"/>
  <c r="I124" i="15" s="1"/>
  <c r="G122" i="15"/>
  <c r="I122" i="15" s="1"/>
  <c r="J122" i="15" s="1"/>
  <c r="G121" i="15"/>
  <c r="I121" i="15" s="1"/>
  <c r="J121" i="15" s="1"/>
  <c r="G120" i="15"/>
  <c r="I120" i="15" s="1"/>
  <c r="J120" i="15" s="1"/>
  <c r="G119" i="15"/>
  <c r="I119" i="15" s="1"/>
  <c r="J119" i="15" s="1"/>
  <c r="G118" i="15"/>
  <c r="I118" i="15" s="1"/>
  <c r="J118" i="15" s="1"/>
  <c r="G117" i="15"/>
  <c r="I117" i="15" s="1"/>
  <c r="J117" i="15" s="1"/>
  <c r="G116" i="15"/>
  <c r="I116" i="15" s="1"/>
  <c r="G114" i="15"/>
  <c r="I114" i="15" s="1"/>
  <c r="J114" i="15" s="1"/>
  <c r="G113" i="15"/>
  <c r="I113" i="15" s="1"/>
  <c r="J113" i="15" s="1"/>
  <c r="G112" i="15"/>
  <c r="I112" i="15" s="1"/>
  <c r="J112" i="15" s="1"/>
  <c r="G111" i="15"/>
  <c r="I111" i="15" s="1"/>
  <c r="J111" i="15" s="1"/>
  <c r="G110" i="15"/>
  <c r="I110" i="15" s="1"/>
  <c r="J110" i="15" s="1"/>
  <c r="G109" i="15"/>
  <c r="I109" i="15" s="1"/>
  <c r="J109" i="15" s="1"/>
  <c r="G108" i="15"/>
  <c r="I108" i="15" s="1"/>
  <c r="G106" i="15"/>
  <c r="I106" i="15" s="1"/>
  <c r="J106" i="15" s="1"/>
  <c r="G105" i="15"/>
  <c r="I105" i="15" s="1"/>
  <c r="J105" i="15" s="1"/>
  <c r="G104" i="15"/>
  <c r="I104" i="15" s="1"/>
  <c r="J104" i="15" s="1"/>
  <c r="G103" i="15"/>
  <c r="I103" i="15" s="1"/>
  <c r="J103" i="15" s="1"/>
  <c r="G102" i="15"/>
  <c r="I102" i="15" s="1"/>
  <c r="J102" i="15" s="1"/>
  <c r="G101" i="15"/>
  <c r="I101" i="15" s="1"/>
  <c r="J101" i="15" s="1"/>
  <c r="G100" i="15"/>
  <c r="I100" i="15" s="1"/>
  <c r="G97" i="15"/>
  <c r="I97" i="15" s="1"/>
  <c r="J97" i="15" s="1"/>
  <c r="G96" i="15"/>
  <c r="I96" i="15" s="1"/>
  <c r="J96" i="15" s="1"/>
  <c r="G95" i="15"/>
  <c r="I95" i="15" s="1"/>
  <c r="J95" i="15" s="1"/>
  <c r="G94" i="15"/>
  <c r="I94" i="15" s="1"/>
  <c r="J94" i="15" s="1"/>
  <c r="G93" i="15"/>
  <c r="I93" i="15" s="1"/>
  <c r="J93" i="15" s="1"/>
  <c r="G92" i="15"/>
  <c r="I92" i="15" s="1"/>
  <c r="G89" i="15"/>
  <c r="I89" i="15" s="1"/>
  <c r="J89" i="15" s="1"/>
  <c r="G88" i="15"/>
  <c r="I88" i="15" s="1"/>
  <c r="J88" i="15" s="1"/>
  <c r="G87" i="15"/>
  <c r="I87" i="15" s="1"/>
  <c r="G86" i="15"/>
  <c r="I86" i="15" s="1"/>
  <c r="G85" i="15"/>
  <c r="I85" i="15" s="1"/>
  <c r="J85" i="15" s="1"/>
  <c r="G84" i="15"/>
  <c r="I84" i="15" s="1"/>
  <c r="I83" i="15" s="1"/>
  <c r="G82" i="15"/>
  <c r="I82" i="15" s="1"/>
  <c r="G81" i="15"/>
  <c r="I81" i="15" s="1"/>
  <c r="J81" i="15" s="1"/>
  <c r="G80" i="15"/>
  <c r="I80" i="15" s="1"/>
  <c r="J80" i="15" s="1"/>
  <c r="G79" i="15"/>
  <c r="I79" i="15" s="1"/>
  <c r="J79" i="15" s="1"/>
  <c r="G78" i="15"/>
  <c r="I78" i="15" s="1"/>
  <c r="J78" i="15" s="1"/>
  <c r="G77" i="15"/>
  <c r="I77" i="15" s="1"/>
  <c r="J77" i="15" s="1"/>
  <c r="G76" i="15"/>
  <c r="I76" i="15" s="1"/>
  <c r="J72" i="15"/>
  <c r="J71" i="15"/>
  <c r="G70" i="15"/>
  <c r="I70" i="15" s="1"/>
  <c r="J70" i="15" s="1"/>
  <c r="G69" i="15"/>
  <c r="I69" i="15" s="1"/>
  <c r="J69" i="15" s="1"/>
  <c r="G68" i="15"/>
  <c r="I68" i="15" s="1"/>
  <c r="G58" i="15"/>
  <c r="I58" i="15" s="1"/>
  <c r="J58" i="15" s="1"/>
  <c r="G57" i="15"/>
  <c r="I57" i="15" s="1"/>
  <c r="J57" i="15" s="1"/>
  <c r="G56" i="15"/>
  <c r="I56" i="15" s="1"/>
  <c r="J56" i="15" s="1"/>
  <c r="G55" i="15"/>
  <c r="I55" i="15" s="1"/>
  <c r="J55" i="15" s="1"/>
  <c r="G54" i="15"/>
  <c r="I54" i="15" s="1"/>
  <c r="J54" i="15" s="1"/>
  <c r="G53" i="15"/>
  <c r="I53" i="15" s="1"/>
  <c r="J53" i="15" s="1"/>
  <c r="G52" i="15"/>
  <c r="I52" i="15" s="1"/>
  <c r="J50" i="15"/>
  <c r="G49" i="15"/>
  <c r="I49" i="15" s="1"/>
  <c r="J49" i="15" s="1"/>
  <c r="G48" i="15"/>
  <c r="I48" i="15" s="1"/>
  <c r="J48" i="15" s="1"/>
  <c r="G47" i="15"/>
  <c r="I47" i="15" s="1"/>
  <c r="J47" i="15" s="1"/>
  <c r="G46" i="15"/>
  <c r="I46" i="15" s="1"/>
  <c r="J46" i="15" s="1"/>
  <c r="G45" i="15"/>
  <c r="I45" i="15" s="1"/>
  <c r="J45" i="15" s="1"/>
  <c r="G44" i="15"/>
  <c r="I44" i="15" s="1"/>
  <c r="G41" i="15"/>
  <c r="I41" i="15" s="1"/>
  <c r="J41" i="15" s="1"/>
  <c r="G40" i="15"/>
  <c r="I40" i="15" s="1"/>
  <c r="J40" i="15" s="1"/>
  <c r="G39" i="15"/>
  <c r="I39" i="15" s="1"/>
  <c r="J39" i="15" s="1"/>
  <c r="G38" i="15"/>
  <c r="I38" i="15" s="1"/>
  <c r="J38" i="15" s="1"/>
  <c r="G37" i="15"/>
  <c r="I37" i="15" s="1"/>
  <c r="J37" i="15" s="1"/>
  <c r="G36" i="15"/>
  <c r="I36" i="15" s="1"/>
  <c r="G34" i="15"/>
  <c r="I34" i="15" s="1"/>
  <c r="J34" i="15" s="1"/>
  <c r="G33" i="15"/>
  <c r="I33" i="15" s="1"/>
  <c r="J33" i="15" s="1"/>
  <c r="G32" i="15"/>
  <c r="I32" i="15" s="1"/>
  <c r="J32" i="15" s="1"/>
  <c r="G31" i="15"/>
  <c r="I31" i="15" s="1"/>
  <c r="J31" i="15" s="1"/>
  <c r="G30" i="15"/>
  <c r="I30" i="15" s="1"/>
  <c r="J30" i="15" s="1"/>
  <c r="G29" i="15"/>
  <c r="I29" i="15" s="1"/>
  <c r="J29" i="15" s="1"/>
  <c r="G28" i="15"/>
  <c r="I28" i="15" s="1"/>
  <c r="G26" i="15"/>
  <c r="I26" i="15" s="1"/>
  <c r="J26" i="15" s="1"/>
  <c r="G25" i="15"/>
  <c r="I25" i="15" s="1"/>
  <c r="J25" i="15" s="1"/>
  <c r="G24" i="15"/>
  <c r="I24" i="15" s="1"/>
  <c r="J24" i="15" s="1"/>
  <c r="G23" i="15"/>
  <c r="I23" i="15" s="1"/>
  <c r="J23" i="15" s="1"/>
  <c r="G22" i="15"/>
  <c r="I22" i="15" s="1"/>
  <c r="J22" i="15" s="1"/>
  <c r="G21" i="15"/>
  <c r="I21" i="15" s="1"/>
  <c r="J21" i="15" s="1"/>
  <c r="G20" i="15"/>
  <c r="I20" i="15" s="1"/>
  <c r="I14" i="15"/>
  <c r="J14" i="15" s="1"/>
  <c r="G13" i="15"/>
  <c r="I13" i="15" s="1"/>
  <c r="J12" i="15"/>
  <c r="G186" i="14"/>
  <c r="I186" i="14" s="1"/>
  <c r="J186" i="14" s="1"/>
  <c r="G185" i="14"/>
  <c r="I185" i="14" s="1"/>
  <c r="J185" i="14" s="1"/>
  <c r="G184" i="14"/>
  <c r="I184" i="14" s="1"/>
  <c r="J184" i="14" s="1"/>
  <c r="G183" i="14"/>
  <c r="I183" i="14" s="1"/>
  <c r="J183" i="14" s="1"/>
  <c r="G182" i="14"/>
  <c r="I182" i="14" s="1"/>
  <c r="J182" i="14" s="1"/>
  <c r="G181" i="14"/>
  <c r="I181" i="14" s="1"/>
  <c r="J181" i="14" s="1"/>
  <c r="G180" i="14"/>
  <c r="I180" i="14" s="1"/>
  <c r="N179" i="14"/>
  <c r="O179" i="14" s="1"/>
  <c r="K179" i="14"/>
  <c r="H179" i="14"/>
  <c r="F179" i="14"/>
  <c r="E179" i="14"/>
  <c r="D179" i="14"/>
  <c r="C179" i="14"/>
  <c r="B179" i="14"/>
  <c r="N186" i="13"/>
  <c r="N146" i="13"/>
  <c r="N147" i="14"/>
  <c r="O147" i="14" s="1"/>
  <c r="K147" i="14"/>
  <c r="G154" i="14"/>
  <c r="I154" i="14" s="1"/>
  <c r="F147" i="14"/>
  <c r="C147" i="14"/>
  <c r="B147" i="14"/>
  <c r="E147" i="14"/>
  <c r="N98" i="13"/>
  <c r="L210" i="13"/>
  <c r="K146" i="13"/>
  <c r="K130" i="13"/>
  <c r="N66" i="13"/>
  <c r="O66" i="13" s="1"/>
  <c r="N58" i="13"/>
  <c r="O58" i="13" s="1"/>
  <c r="N50" i="13"/>
  <c r="N34" i="13"/>
  <c r="O27" i="13"/>
  <c r="N19" i="13"/>
  <c r="N192" i="13"/>
  <c r="G153" i="13"/>
  <c r="I153" i="13" s="1"/>
  <c r="N103" i="13"/>
  <c r="N54" i="13"/>
  <c r="N52" i="13"/>
  <c r="N4" i="13"/>
  <c r="N3" i="13" s="1"/>
  <c r="H155" i="13"/>
  <c r="H154" i="13" s="1"/>
  <c r="H149" i="13"/>
  <c r="H150" i="13"/>
  <c r="H151" i="13"/>
  <c r="H152" i="13"/>
  <c r="H148" i="13"/>
  <c r="H133" i="13"/>
  <c r="H131" i="13"/>
  <c r="H109" i="13"/>
  <c r="H80" i="13"/>
  <c r="H61" i="13"/>
  <c r="H60" i="13"/>
  <c r="H58" i="13" s="1"/>
  <c r="H53" i="13"/>
  <c r="H50" i="13" s="1"/>
  <c r="H40" i="13"/>
  <c r="H34" i="13" s="1"/>
  <c r="H36" i="13"/>
  <c r="H5" i="13"/>
  <c r="J81" i="13"/>
  <c r="G188" i="13"/>
  <c r="I188" i="13" s="1"/>
  <c r="J188" i="13" s="1"/>
  <c r="G189" i="13"/>
  <c r="G190" i="13"/>
  <c r="I190" i="13" s="1"/>
  <c r="J190" i="13" s="1"/>
  <c r="G191" i="13"/>
  <c r="I191" i="13" s="1"/>
  <c r="J191" i="13" s="1"/>
  <c r="I189" i="13"/>
  <c r="J189" i="13" s="1"/>
  <c r="I180" i="13"/>
  <c r="J180" i="13" s="1"/>
  <c r="G180" i="13"/>
  <c r="B3" i="13"/>
  <c r="C3" i="13"/>
  <c r="D3" i="13"/>
  <c r="E3" i="13"/>
  <c r="F3" i="13"/>
  <c r="K3" i="13"/>
  <c r="G4" i="13"/>
  <c r="G5" i="13"/>
  <c r="I5" i="13" s="1"/>
  <c r="J5" i="13" s="1"/>
  <c r="I6" i="13"/>
  <c r="J6" i="13" s="1"/>
  <c r="G8" i="13"/>
  <c r="I8" i="13" s="1"/>
  <c r="J8" i="13" s="1"/>
  <c r="G9" i="13"/>
  <c r="I9" i="13" s="1"/>
  <c r="J9" i="13" s="1"/>
  <c r="G10" i="13"/>
  <c r="I10" i="13" s="1"/>
  <c r="J10" i="13" s="1"/>
  <c r="B11" i="13"/>
  <c r="G11" i="13" s="1"/>
  <c r="C11" i="13"/>
  <c r="D11" i="13"/>
  <c r="E11" i="13"/>
  <c r="F11" i="13"/>
  <c r="H11" i="13"/>
  <c r="K11" i="13"/>
  <c r="G12" i="13"/>
  <c r="I12" i="13" s="1"/>
  <c r="J12" i="13" s="1"/>
  <c r="G13" i="13"/>
  <c r="I13" i="13" s="1"/>
  <c r="J13" i="13" s="1"/>
  <c r="N13" i="13"/>
  <c r="N11" i="13" s="1"/>
  <c r="O11" i="13" s="1"/>
  <c r="G14" i="13"/>
  <c r="I14" i="13" s="1"/>
  <c r="G15" i="13"/>
  <c r="I15" i="13" s="1"/>
  <c r="J15" i="13" s="1"/>
  <c r="G16" i="13"/>
  <c r="I16" i="13"/>
  <c r="J16" i="13" s="1"/>
  <c r="G17" i="13"/>
  <c r="I17" i="13" s="1"/>
  <c r="J17" i="13" s="1"/>
  <c r="G18" i="13"/>
  <c r="I18" i="13" s="1"/>
  <c r="J18" i="13" s="1"/>
  <c r="B19" i="13"/>
  <c r="C19" i="13"/>
  <c r="D19" i="13"/>
  <c r="F19" i="13"/>
  <c r="G19" i="13"/>
  <c r="H19" i="13"/>
  <c r="K19" i="13"/>
  <c r="O19" i="13"/>
  <c r="G20" i="13"/>
  <c r="I20" i="13" s="1"/>
  <c r="J20" i="13" s="1"/>
  <c r="G21" i="13"/>
  <c r="I21" i="13" s="1"/>
  <c r="J21" i="13" s="1"/>
  <c r="G22" i="13"/>
  <c r="I22" i="13" s="1"/>
  <c r="J22" i="13" s="1"/>
  <c r="G23" i="13"/>
  <c r="I23" i="13"/>
  <c r="J23" i="13" s="1"/>
  <c r="G24" i="13"/>
  <c r="I24" i="13" s="1"/>
  <c r="J24" i="13" s="1"/>
  <c r="G25" i="13"/>
  <c r="I25" i="13"/>
  <c r="J25" i="13"/>
  <c r="G26" i="13"/>
  <c r="I26" i="13" s="1"/>
  <c r="J26" i="13" s="1"/>
  <c r="B27" i="13"/>
  <c r="C27" i="13"/>
  <c r="D27" i="13"/>
  <c r="E27" i="13"/>
  <c r="F27" i="13"/>
  <c r="H27" i="13"/>
  <c r="K27" i="13"/>
  <c r="G28" i="13"/>
  <c r="I28" i="13"/>
  <c r="J28" i="13" s="1"/>
  <c r="G29" i="13"/>
  <c r="I29" i="13" s="1"/>
  <c r="G30" i="13"/>
  <c r="I30" i="13" s="1"/>
  <c r="J30" i="13" s="1"/>
  <c r="G31" i="13"/>
  <c r="I31" i="13" s="1"/>
  <c r="J31" i="13" s="1"/>
  <c r="G32" i="13"/>
  <c r="I32" i="13" s="1"/>
  <c r="J32" i="13" s="1"/>
  <c r="G33" i="13"/>
  <c r="I33" i="13"/>
  <c r="J33" i="13" s="1"/>
  <c r="B34" i="13"/>
  <c r="C34" i="13"/>
  <c r="D34" i="13"/>
  <c r="E34" i="13"/>
  <c r="F34" i="13"/>
  <c r="K34" i="13"/>
  <c r="O34" i="13"/>
  <c r="G35" i="13"/>
  <c r="I35" i="13" s="1"/>
  <c r="J35" i="13" s="1"/>
  <c r="G36" i="13"/>
  <c r="I36" i="13" s="1"/>
  <c r="G37" i="13"/>
  <c r="I37" i="13" s="1"/>
  <c r="J37" i="13" s="1"/>
  <c r="G38" i="13"/>
  <c r="I38" i="13"/>
  <c r="J38" i="13" s="1"/>
  <c r="G39" i="13"/>
  <c r="I39" i="13" s="1"/>
  <c r="J39" i="13" s="1"/>
  <c r="G40" i="13"/>
  <c r="I40" i="13" s="1"/>
  <c r="J40" i="13" s="1"/>
  <c r="B42" i="13"/>
  <c r="C42" i="13"/>
  <c r="D42" i="13"/>
  <c r="E42" i="13"/>
  <c r="F42" i="13"/>
  <c r="K42" i="13"/>
  <c r="G43" i="13"/>
  <c r="I43" i="13" s="1"/>
  <c r="J43" i="13" s="1"/>
  <c r="N43" i="13"/>
  <c r="G44" i="13"/>
  <c r="I44" i="13" s="1"/>
  <c r="G45" i="13"/>
  <c r="I45" i="13" s="1"/>
  <c r="J45" i="13" s="1"/>
  <c r="H45" i="13"/>
  <c r="G46" i="13"/>
  <c r="H46" i="13"/>
  <c r="I46" i="13"/>
  <c r="G47" i="13"/>
  <c r="I47" i="13" s="1"/>
  <c r="J47" i="13" s="1"/>
  <c r="G48" i="13"/>
  <c r="I48" i="13" s="1"/>
  <c r="J48" i="13" s="1"/>
  <c r="G49" i="13"/>
  <c r="I49" i="13" s="1"/>
  <c r="J49" i="13" s="1"/>
  <c r="H49" i="13"/>
  <c r="B50" i="13"/>
  <c r="C50" i="13"/>
  <c r="D50" i="13"/>
  <c r="E50" i="13"/>
  <c r="F50" i="13"/>
  <c r="K50" i="13"/>
  <c r="O50" i="13"/>
  <c r="G51" i="13"/>
  <c r="I51" i="13" s="1"/>
  <c r="G52" i="13"/>
  <c r="I52" i="13" s="1"/>
  <c r="J52" i="13" s="1"/>
  <c r="G53" i="13"/>
  <c r="I53" i="13" s="1"/>
  <c r="G54" i="13"/>
  <c r="I54" i="13" s="1"/>
  <c r="J54" i="13" s="1"/>
  <c r="G55" i="13"/>
  <c r="I55" i="13" s="1"/>
  <c r="J55" i="13" s="1"/>
  <c r="G56" i="13"/>
  <c r="I56" i="13" s="1"/>
  <c r="J56" i="13" s="1"/>
  <c r="G57" i="13"/>
  <c r="I57" i="13" s="1"/>
  <c r="J57" i="13" s="1"/>
  <c r="B58" i="13"/>
  <c r="C58" i="13"/>
  <c r="D58" i="13"/>
  <c r="E58" i="13"/>
  <c r="F58" i="13"/>
  <c r="K58" i="13"/>
  <c r="J59" i="13"/>
  <c r="G60" i="13"/>
  <c r="I60" i="13" s="1"/>
  <c r="J60" i="13" s="1"/>
  <c r="G61" i="13"/>
  <c r="I61" i="13" s="1"/>
  <c r="G62" i="13"/>
  <c r="I62" i="13"/>
  <c r="J62" i="13" s="1"/>
  <c r="G63" i="13"/>
  <c r="I63" i="13" s="1"/>
  <c r="J63" i="13" s="1"/>
  <c r="G64" i="13"/>
  <c r="I64" i="13" s="1"/>
  <c r="J64" i="13" s="1"/>
  <c r="J65" i="13"/>
  <c r="B66" i="13"/>
  <c r="C66" i="13"/>
  <c r="D66" i="13"/>
  <c r="E66" i="13"/>
  <c r="F66" i="13"/>
  <c r="G66" i="13"/>
  <c r="H66" i="13"/>
  <c r="K66" i="13"/>
  <c r="G67" i="13"/>
  <c r="I67" i="13" s="1"/>
  <c r="J67" i="13" s="1"/>
  <c r="G68" i="13"/>
  <c r="I68" i="13" s="1"/>
  <c r="G69" i="13"/>
  <c r="I69" i="13" s="1"/>
  <c r="J69" i="13" s="1"/>
  <c r="G70" i="13"/>
  <c r="I70" i="13" s="1"/>
  <c r="J70" i="13" s="1"/>
  <c r="G71" i="13"/>
  <c r="I71" i="13" s="1"/>
  <c r="J71" i="13" s="1"/>
  <c r="G72" i="13"/>
  <c r="I72" i="13" s="1"/>
  <c r="J72" i="13" s="1"/>
  <c r="B74" i="13"/>
  <c r="G74" i="13" s="1"/>
  <c r="C74" i="13"/>
  <c r="D74" i="13"/>
  <c r="E74" i="13"/>
  <c r="F74" i="13"/>
  <c r="K74" i="13"/>
  <c r="G75" i="13"/>
  <c r="I75" i="13"/>
  <c r="J75" i="13" s="1"/>
  <c r="N74" i="13"/>
  <c r="G76" i="13"/>
  <c r="I76" i="13" s="1"/>
  <c r="H76" i="13"/>
  <c r="G77" i="13"/>
  <c r="I77" i="13" s="1"/>
  <c r="J77" i="13" s="1"/>
  <c r="G78" i="13"/>
  <c r="I78" i="13" s="1"/>
  <c r="J78" i="13" s="1"/>
  <c r="G79" i="13"/>
  <c r="I79" i="13" s="1"/>
  <c r="J79" i="13" s="1"/>
  <c r="N79" i="13"/>
  <c r="G80" i="13"/>
  <c r="I80" i="13" s="1"/>
  <c r="N80" i="13"/>
  <c r="B82" i="13"/>
  <c r="C82" i="13"/>
  <c r="D82" i="13"/>
  <c r="E82" i="13"/>
  <c r="F82" i="13"/>
  <c r="H82" i="13"/>
  <c r="K82" i="13"/>
  <c r="N82" i="13"/>
  <c r="O82" i="13" s="1"/>
  <c r="G83" i="13"/>
  <c r="I83" i="13" s="1"/>
  <c r="G84" i="13"/>
  <c r="I84" i="13" s="1"/>
  <c r="J84" i="13" s="1"/>
  <c r="G85" i="13"/>
  <c r="I85" i="13" s="1"/>
  <c r="J85" i="13" s="1"/>
  <c r="G86" i="13"/>
  <c r="I86" i="13" s="1"/>
  <c r="J86" i="13" s="1"/>
  <c r="G87" i="13"/>
  <c r="I87" i="13" s="1"/>
  <c r="J87" i="13" s="1"/>
  <c r="G88" i="13"/>
  <c r="I88" i="13"/>
  <c r="J88" i="13" s="1"/>
  <c r="G89" i="13"/>
  <c r="I89" i="13" s="1"/>
  <c r="J89" i="13" s="1"/>
  <c r="B90" i="13"/>
  <c r="C90" i="13"/>
  <c r="E90" i="13"/>
  <c r="F90" i="13"/>
  <c r="H90" i="13"/>
  <c r="K90" i="13"/>
  <c r="G91" i="13"/>
  <c r="I91" i="13" s="1"/>
  <c r="G92" i="13"/>
  <c r="I92" i="13" s="1"/>
  <c r="J92" i="13" s="1"/>
  <c r="G93" i="13"/>
  <c r="I93" i="13" s="1"/>
  <c r="J93" i="13" s="1"/>
  <c r="G94" i="13"/>
  <c r="I94" i="13" s="1"/>
  <c r="J94" i="13" s="1"/>
  <c r="G95" i="13"/>
  <c r="I95" i="13" s="1"/>
  <c r="J95" i="13" s="1"/>
  <c r="G96" i="13"/>
  <c r="I96" i="13" s="1"/>
  <c r="J96" i="13" s="1"/>
  <c r="G97" i="13"/>
  <c r="I97" i="13" s="1"/>
  <c r="J97" i="13" s="1"/>
  <c r="B98" i="13"/>
  <c r="C98" i="13"/>
  <c r="E98" i="13"/>
  <c r="F98" i="13"/>
  <c r="G98" i="13"/>
  <c r="H98" i="13"/>
  <c r="K98" i="13"/>
  <c r="G99" i="13"/>
  <c r="I99" i="13" s="1"/>
  <c r="J99" i="13" s="1"/>
  <c r="G100" i="13"/>
  <c r="I100" i="13" s="1"/>
  <c r="J100" i="13" s="1"/>
  <c r="G101" i="13"/>
  <c r="I101" i="13" s="1"/>
  <c r="J101" i="13" s="1"/>
  <c r="G102" i="13"/>
  <c r="I102" i="13" s="1"/>
  <c r="J102" i="13" s="1"/>
  <c r="G103" i="13"/>
  <c r="I103" i="13" s="1"/>
  <c r="J103" i="13" s="1"/>
  <c r="G104" i="13"/>
  <c r="I104" i="13" s="1"/>
  <c r="J104" i="13" s="1"/>
  <c r="G105" i="13"/>
  <c r="I105" i="13"/>
  <c r="J105" i="13" s="1"/>
  <c r="B106" i="13"/>
  <c r="C106" i="13"/>
  <c r="D106" i="13"/>
  <c r="E106" i="13"/>
  <c r="F106" i="13"/>
  <c r="K106" i="13"/>
  <c r="N106" i="13"/>
  <c r="O106" i="13" s="1"/>
  <c r="G107" i="13"/>
  <c r="I107" i="13" s="1"/>
  <c r="G108" i="13"/>
  <c r="I108" i="13"/>
  <c r="J108" i="13" s="1"/>
  <c r="G109" i="13"/>
  <c r="H106" i="13"/>
  <c r="I109" i="13"/>
  <c r="J109" i="13" s="1"/>
  <c r="G110" i="13"/>
  <c r="I110" i="13" s="1"/>
  <c r="J110" i="13" s="1"/>
  <c r="G111" i="13"/>
  <c r="I111" i="13" s="1"/>
  <c r="J111" i="13" s="1"/>
  <c r="G112" i="13"/>
  <c r="I112" i="13" s="1"/>
  <c r="J112" i="13" s="1"/>
  <c r="G113" i="13"/>
  <c r="I113" i="13" s="1"/>
  <c r="J113" i="13" s="1"/>
  <c r="B114" i="13"/>
  <c r="C114" i="13"/>
  <c r="D114" i="13"/>
  <c r="E114" i="13"/>
  <c r="F114" i="13"/>
  <c r="G114" i="13"/>
  <c r="H114" i="13"/>
  <c r="K114" i="13"/>
  <c r="N114" i="13"/>
  <c r="G115" i="13"/>
  <c r="I115" i="13" s="1"/>
  <c r="J115" i="13" s="1"/>
  <c r="G116" i="13"/>
  <c r="I116" i="13" s="1"/>
  <c r="J116" i="13" s="1"/>
  <c r="G117" i="13"/>
  <c r="I117" i="13" s="1"/>
  <c r="G118" i="13"/>
  <c r="I118" i="13" s="1"/>
  <c r="J118" i="13" s="1"/>
  <c r="G119" i="13"/>
  <c r="I119" i="13"/>
  <c r="J119" i="13" s="1"/>
  <c r="G120" i="13"/>
  <c r="I120" i="13" s="1"/>
  <c r="J120" i="13" s="1"/>
  <c r="G121" i="13"/>
  <c r="I121" i="13" s="1"/>
  <c r="J121" i="13" s="1"/>
  <c r="B130" i="13"/>
  <c r="C130" i="13"/>
  <c r="D130" i="13"/>
  <c r="E130" i="13"/>
  <c r="F130" i="13"/>
  <c r="G131" i="13"/>
  <c r="H130" i="13"/>
  <c r="I131" i="13"/>
  <c r="J131" i="13" s="1"/>
  <c r="G132" i="13"/>
  <c r="I132" i="13" s="1"/>
  <c r="J132" i="13" s="1"/>
  <c r="G133" i="13"/>
  <c r="I133" i="13" s="1"/>
  <c r="J133" i="13" s="1"/>
  <c r="G134" i="13"/>
  <c r="G135" i="13"/>
  <c r="I135" i="13" s="1"/>
  <c r="J135" i="13" s="1"/>
  <c r="G136" i="13"/>
  <c r="I136" i="13" s="1"/>
  <c r="J136" i="13" s="1"/>
  <c r="N136" i="13"/>
  <c r="N130" i="13" s="1"/>
  <c r="O130" i="13" s="1"/>
  <c r="G137" i="13"/>
  <c r="I137" i="13" s="1"/>
  <c r="J137" i="13" s="1"/>
  <c r="B138" i="13"/>
  <c r="C138" i="13"/>
  <c r="D138" i="13"/>
  <c r="E138" i="13"/>
  <c r="F138" i="13"/>
  <c r="H138" i="13"/>
  <c r="K138" i="13"/>
  <c r="N138" i="13"/>
  <c r="G139" i="13"/>
  <c r="I139" i="13" s="1"/>
  <c r="G140" i="13"/>
  <c r="I140" i="13" s="1"/>
  <c r="J140" i="13" s="1"/>
  <c r="G141" i="13"/>
  <c r="I141" i="13" s="1"/>
  <c r="J141" i="13" s="1"/>
  <c r="G142" i="13"/>
  <c r="I142" i="13" s="1"/>
  <c r="J142" i="13" s="1"/>
  <c r="G143" i="13"/>
  <c r="I143" i="13" s="1"/>
  <c r="J143" i="13" s="1"/>
  <c r="G145" i="13"/>
  <c r="I145" i="13"/>
  <c r="J145" i="13" s="1"/>
  <c r="D146" i="13"/>
  <c r="E146" i="13"/>
  <c r="F146" i="13"/>
  <c r="G147" i="13"/>
  <c r="I147" i="13" s="1"/>
  <c r="I146" i="13" s="1"/>
  <c r="G148" i="13"/>
  <c r="I148" i="13" s="1"/>
  <c r="J148" i="13" s="1"/>
  <c r="G149" i="13"/>
  <c r="I149" i="13" s="1"/>
  <c r="G150" i="13"/>
  <c r="I150" i="13" s="1"/>
  <c r="G151" i="13"/>
  <c r="I151" i="13" s="1"/>
  <c r="G152" i="13"/>
  <c r="I152" i="13" s="1"/>
  <c r="N152" i="13"/>
  <c r="B154" i="13"/>
  <c r="C154" i="13"/>
  <c r="D154" i="13"/>
  <c r="E154" i="13"/>
  <c r="F154" i="13"/>
  <c r="K154" i="13"/>
  <c r="G155" i="13"/>
  <c r="I155" i="13" s="1"/>
  <c r="G156" i="13"/>
  <c r="I156" i="13" s="1"/>
  <c r="J156" i="13" s="1"/>
  <c r="G157" i="13"/>
  <c r="I157" i="13" s="1"/>
  <c r="J157" i="13" s="1"/>
  <c r="G158" i="13"/>
  <c r="I158" i="13" s="1"/>
  <c r="J158" i="13" s="1"/>
  <c r="G159" i="13"/>
  <c r="I159" i="13"/>
  <c r="J159" i="13" s="1"/>
  <c r="G160" i="13"/>
  <c r="I160" i="13" s="1"/>
  <c r="J160" i="13" s="1"/>
  <c r="G161" i="13"/>
  <c r="I161" i="13" s="1"/>
  <c r="J161" i="13" s="1"/>
  <c r="B162" i="13"/>
  <c r="C162" i="13"/>
  <c r="D162" i="13"/>
  <c r="E162" i="13"/>
  <c r="F162" i="13"/>
  <c r="H162" i="13"/>
  <c r="K162" i="13"/>
  <c r="N162" i="13"/>
  <c r="O162" i="13" s="1"/>
  <c r="G163" i="13"/>
  <c r="I163" i="13" s="1"/>
  <c r="J163" i="13" s="1"/>
  <c r="G164" i="13"/>
  <c r="I164" i="13" s="1"/>
  <c r="J164" i="13" s="1"/>
  <c r="G165" i="13"/>
  <c r="I165" i="13" s="1"/>
  <c r="J165" i="13" s="1"/>
  <c r="G166" i="13"/>
  <c r="I166" i="13" s="1"/>
  <c r="J166" i="13" s="1"/>
  <c r="G167" i="13"/>
  <c r="I167" i="13" s="1"/>
  <c r="J167" i="13" s="1"/>
  <c r="G168" i="13"/>
  <c r="I168" i="13" s="1"/>
  <c r="J168" i="13" s="1"/>
  <c r="G169" i="13"/>
  <c r="I169" i="13" s="1"/>
  <c r="J169" i="13" s="1"/>
  <c r="B170" i="13"/>
  <c r="C170" i="13"/>
  <c r="E170" i="13"/>
  <c r="F170" i="13"/>
  <c r="H170" i="13"/>
  <c r="K170" i="13"/>
  <c r="N170" i="13"/>
  <c r="O170" i="13" s="1"/>
  <c r="G171" i="13"/>
  <c r="I171" i="13" s="1"/>
  <c r="G172" i="13"/>
  <c r="I172" i="13" s="1"/>
  <c r="J172" i="13" s="1"/>
  <c r="G173" i="13"/>
  <c r="I173" i="13"/>
  <c r="J173" i="13" s="1"/>
  <c r="G174" i="13"/>
  <c r="I174" i="13" s="1"/>
  <c r="J174" i="13" s="1"/>
  <c r="G175" i="13"/>
  <c r="I175" i="13" s="1"/>
  <c r="J175" i="13" s="1"/>
  <c r="G176" i="13"/>
  <c r="I176" i="13" s="1"/>
  <c r="J176" i="13" s="1"/>
  <c r="G177" i="13"/>
  <c r="I177" i="13"/>
  <c r="J177" i="13" s="1"/>
  <c r="B178" i="13"/>
  <c r="C178" i="13"/>
  <c r="D178" i="13"/>
  <c r="E178" i="13"/>
  <c r="F178" i="13"/>
  <c r="H178" i="13"/>
  <c r="K178" i="13"/>
  <c r="N178" i="13"/>
  <c r="O178" i="13" s="1"/>
  <c r="G179" i="13"/>
  <c r="I179" i="13" s="1"/>
  <c r="J179" i="13" s="1"/>
  <c r="G181" i="13"/>
  <c r="I181" i="13"/>
  <c r="J181" i="13" s="1"/>
  <c r="G182" i="13"/>
  <c r="I182" i="13" s="1"/>
  <c r="J182" i="13" s="1"/>
  <c r="G183" i="13"/>
  <c r="I183" i="13" s="1"/>
  <c r="J183" i="13" s="1"/>
  <c r="G184" i="13"/>
  <c r="I184" i="13"/>
  <c r="J184" i="13" s="1"/>
  <c r="G185" i="13"/>
  <c r="I185" i="13" s="1"/>
  <c r="J185" i="13" s="1"/>
  <c r="B186" i="13"/>
  <c r="C186" i="13"/>
  <c r="D186" i="13"/>
  <c r="E186" i="13"/>
  <c r="F186" i="13"/>
  <c r="H186" i="13"/>
  <c r="K186" i="13"/>
  <c r="K210" i="13" s="1"/>
  <c r="G187" i="13"/>
  <c r="I187" i="13" s="1"/>
  <c r="N188" i="13"/>
  <c r="O186" i="13" s="1"/>
  <c r="G192" i="13"/>
  <c r="I192" i="13" s="1"/>
  <c r="J192" i="13" s="1"/>
  <c r="B194" i="13"/>
  <c r="C194" i="13"/>
  <c r="D194" i="13"/>
  <c r="E194" i="13"/>
  <c r="F194" i="13"/>
  <c r="H194" i="13"/>
  <c r="K194" i="13"/>
  <c r="N194" i="13"/>
  <c r="G195" i="13"/>
  <c r="I195" i="13" s="1"/>
  <c r="J195" i="13" s="1"/>
  <c r="G196" i="13"/>
  <c r="I196" i="13" s="1"/>
  <c r="J196" i="13" s="1"/>
  <c r="G197" i="13"/>
  <c r="I197" i="13" s="1"/>
  <c r="J197" i="13" s="1"/>
  <c r="G198" i="13"/>
  <c r="I198" i="13" s="1"/>
  <c r="J198" i="13" s="1"/>
  <c r="G199" i="13"/>
  <c r="I199" i="13" s="1"/>
  <c r="J199" i="13" s="1"/>
  <c r="G200" i="13"/>
  <c r="I200" i="13" s="1"/>
  <c r="J200" i="13" s="1"/>
  <c r="G201" i="13"/>
  <c r="I201" i="13"/>
  <c r="J201" i="13" s="1"/>
  <c r="B202" i="13"/>
  <c r="C202" i="13"/>
  <c r="D202" i="13"/>
  <c r="E202" i="13"/>
  <c r="F202" i="13"/>
  <c r="H202" i="13"/>
  <c r="K202" i="13"/>
  <c r="N202" i="13"/>
  <c r="O202" i="13"/>
  <c r="G203" i="13"/>
  <c r="I203" i="13" s="1"/>
  <c r="G204" i="13"/>
  <c r="I204" i="13" s="1"/>
  <c r="J204" i="13" s="1"/>
  <c r="G205" i="13"/>
  <c r="I205" i="13" s="1"/>
  <c r="J205" i="13" s="1"/>
  <c r="G206" i="13"/>
  <c r="I206" i="13" s="1"/>
  <c r="J206" i="13" s="1"/>
  <c r="G207" i="13"/>
  <c r="I207" i="13" s="1"/>
  <c r="J207" i="13" s="1"/>
  <c r="G208" i="13"/>
  <c r="I208" i="13" s="1"/>
  <c r="J208" i="13" s="1"/>
  <c r="G209" i="13"/>
  <c r="I209" i="13"/>
  <c r="J209" i="13" s="1"/>
  <c r="J9" i="12"/>
  <c r="I4" i="12"/>
  <c r="G4" i="12"/>
  <c r="J171" i="15" l="1"/>
  <c r="I123" i="15"/>
  <c r="J28" i="15"/>
  <c r="I27" i="15"/>
  <c r="I153" i="15"/>
  <c r="J153" i="15" s="1"/>
  <c r="I35" i="15"/>
  <c r="D155" i="15"/>
  <c r="D147" i="15" s="1"/>
  <c r="D139" i="15" s="1"/>
  <c r="J154" i="14"/>
  <c r="H195" i="14"/>
  <c r="G203" i="14"/>
  <c r="J205" i="14"/>
  <c r="J203" i="14" s="1"/>
  <c r="M203" i="14" s="1"/>
  <c r="I203" i="14"/>
  <c r="G187" i="14"/>
  <c r="I187" i="14"/>
  <c r="J189" i="14"/>
  <c r="J187" i="14" s="1"/>
  <c r="M187" i="14" s="1"/>
  <c r="G195" i="14"/>
  <c r="I195" i="14"/>
  <c r="J197" i="14"/>
  <c r="H210" i="13"/>
  <c r="I179" i="14"/>
  <c r="J186" i="13"/>
  <c r="M186" i="13" s="1"/>
  <c r="I186" i="13"/>
  <c r="O146" i="13"/>
  <c r="N210" i="13"/>
  <c r="J116" i="15"/>
  <c r="J172" i="15"/>
  <c r="J44" i="15"/>
  <c r="J132" i="15"/>
  <c r="J196" i="15"/>
  <c r="J13" i="15"/>
  <c r="J84" i="15"/>
  <c r="J83" i="15" s="1"/>
  <c r="J100" i="15"/>
  <c r="J156" i="15"/>
  <c r="J76" i="15"/>
  <c r="J36" i="15"/>
  <c r="J35" i="15" s="1"/>
  <c r="J148" i="15"/>
  <c r="J124" i="15"/>
  <c r="J123" i="15" s="1"/>
  <c r="J52" i="15"/>
  <c r="J92" i="15"/>
  <c r="J20" i="15"/>
  <c r="J68" i="15"/>
  <c r="J108" i="15"/>
  <c r="J188" i="15"/>
  <c r="J204" i="15"/>
  <c r="G179" i="14"/>
  <c r="J180" i="14"/>
  <c r="J179" i="14" s="1"/>
  <c r="M179" i="14" s="1"/>
  <c r="O98" i="13"/>
  <c r="J68" i="13"/>
  <c r="J66" i="13" s="1"/>
  <c r="I66" i="13"/>
  <c r="J53" i="13"/>
  <c r="O90" i="13"/>
  <c r="G90" i="13"/>
  <c r="G58" i="13"/>
  <c r="J46" i="13"/>
  <c r="G194" i="13"/>
  <c r="G178" i="13"/>
  <c r="J36" i="13"/>
  <c r="G162" i="13"/>
  <c r="H74" i="13"/>
  <c r="O42" i="13"/>
  <c r="I162" i="13"/>
  <c r="I27" i="13"/>
  <c r="J76" i="13"/>
  <c r="H42" i="13"/>
  <c r="J80" i="13"/>
  <c r="G42" i="13"/>
  <c r="C146" i="13"/>
  <c r="G154" i="13"/>
  <c r="J178" i="13"/>
  <c r="M178" i="13" s="1"/>
  <c r="G106" i="13"/>
  <c r="I42" i="13"/>
  <c r="O74" i="13"/>
  <c r="G27" i="13"/>
  <c r="G186" i="13"/>
  <c r="G202" i="13"/>
  <c r="I178" i="13"/>
  <c r="G130" i="13"/>
  <c r="G50" i="13"/>
  <c r="G170" i="13"/>
  <c r="I130" i="13"/>
  <c r="J194" i="13"/>
  <c r="M194" i="13" s="1"/>
  <c r="I34" i="13"/>
  <c r="I194" i="13"/>
  <c r="B146" i="13"/>
  <c r="G138" i="13"/>
  <c r="G34" i="13"/>
  <c r="G82" i="13"/>
  <c r="J44" i="13"/>
  <c r="J29" i="13"/>
  <c r="J27" i="13" s="1"/>
  <c r="M27" i="13" s="1"/>
  <c r="J14" i="13"/>
  <c r="I11" i="13"/>
  <c r="J11" i="13"/>
  <c r="M11" i="13" s="1"/>
  <c r="J162" i="13"/>
  <c r="M162" i="13" s="1"/>
  <c r="J130" i="13"/>
  <c r="M130" i="13" s="1"/>
  <c r="I98" i="13"/>
  <c r="J107" i="13"/>
  <c r="J106" i="13" s="1"/>
  <c r="M106" i="13" s="1"/>
  <c r="I106" i="13"/>
  <c r="J98" i="13"/>
  <c r="M98" i="13" s="1"/>
  <c r="I74" i="13"/>
  <c r="J171" i="13"/>
  <c r="J170" i="13" s="1"/>
  <c r="M170" i="13" s="1"/>
  <c r="I170" i="13"/>
  <c r="J51" i="13"/>
  <c r="J50" i="13" s="1"/>
  <c r="M50" i="13" s="1"/>
  <c r="I50" i="13"/>
  <c r="J34" i="13"/>
  <c r="M34" i="13" s="1"/>
  <c r="J147" i="13"/>
  <c r="J139" i="13"/>
  <c r="J138" i="13" s="1"/>
  <c r="M138" i="13" s="1"/>
  <c r="I138" i="13"/>
  <c r="J83" i="13"/>
  <c r="J82" i="13" s="1"/>
  <c r="M82" i="13" s="1"/>
  <c r="I82" i="13"/>
  <c r="J117" i="13"/>
  <c r="I114" i="13"/>
  <c r="J74" i="13"/>
  <c r="M74" i="13" s="1"/>
  <c r="J114" i="13"/>
  <c r="M114" i="13" s="1"/>
  <c r="J61" i="13"/>
  <c r="J58" i="13" s="1"/>
  <c r="M58" i="13" s="1"/>
  <c r="I58" i="13"/>
  <c r="J19" i="13"/>
  <c r="M19" i="13" s="1"/>
  <c r="I154" i="13"/>
  <c r="J155" i="13"/>
  <c r="J154" i="13" s="1"/>
  <c r="M154" i="13" s="1"/>
  <c r="J91" i="13"/>
  <c r="J90" i="13" s="1"/>
  <c r="M90" i="13" s="1"/>
  <c r="I90" i="13"/>
  <c r="J203" i="13"/>
  <c r="J202" i="13" s="1"/>
  <c r="M202" i="13" s="1"/>
  <c r="I202" i="13"/>
  <c r="I19" i="13"/>
  <c r="J4" i="13"/>
  <c r="J3" i="13" s="1"/>
  <c r="M3" i="13" s="1"/>
  <c r="I3" i="13"/>
  <c r="I210" i="13" s="1"/>
  <c r="M66" i="13"/>
  <c r="J195" i="14" l="1"/>
  <c r="M195" i="14" s="1"/>
  <c r="O210" i="13"/>
  <c r="J42" i="13"/>
  <c r="M42" i="13" s="1"/>
  <c r="J146" i="13"/>
  <c r="G146" i="13"/>
  <c r="M146" i="13" l="1"/>
  <c r="M210" i="13" s="1"/>
  <c r="J210" i="13"/>
  <c r="N133" i="12" l="1"/>
  <c r="N134" i="12"/>
  <c r="N132" i="12"/>
  <c r="N194" i="12"/>
  <c r="N66" i="12"/>
  <c r="N59" i="12" s="1"/>
  <c r="N80" i="12"/>
  <c r="N123" i="12"/>
  <c r="N129" i="12"/>
  <c r="H107" i="12"/>
  <c r="N112" i="12"/>
  <c r="N107" i="12" s="1"/>
  <c r="N111" i="12"/>
  <c r="N110" i="12"/>
  <c r="N161" i="12"/>
  <c r="J170" i="12"/>
  <c r="N150" i="12"/>
  <c r="N144" i="12"/>
  <c r="N146" i="12"/>
  <c r="J155" i="12"/>
  <c r="N106" i="12"/>
  <c r="N58" i="12"/>
  <c r="N42" i="12"/>
  <c r="J37" i="12"/>
  <c r="J38" i="12"/>
  <c r="J39" i="12"/>
  <c r="J40" i="12"/>
  <c r="J41" i="12"/>
  <c r="J141" i="12"/>
  <c r="J142" i="12"/>
  <c r="J143" i="12"/>
  <c r="J144" i="12"/>
  <c r="J145" i="12"/>
  <c r="J125" i="12"/>
  <c r="J126" i="12"/>
  <c r="J127" i="12"/>
  <c r="J128" i="12"/>
  <c r="J129" i="12"/>
  <c r="J101" i="12"/>
  <c r="J102" i="12"/>
  <c r="J103" i="12"/>
  <c r="J104" i="12"/>
  <c r="J105" i="12"/>
  <c r="J106" i="12"/>
  <c r="J82" i="12"/>
  <c r="J78" i="12"/>
  <c r="J79" i="12"/>
  <c r="J80" i="12"/>
  <c r="J81" i="12"/>
  <c r="I67" i="12"/>
  <c r="L196" i="12"/>
  <c r="N105" i="12"/>
  <c r="I104" i="12"/>
  <c r="I105" i="12"/>
  <c r="N56" i="12"/>
  <c r="I57" i="12"/>
  <c r="I58" i="12"/>
  <c r="N37" i="12"/>
  <c r="I185" i="12"/>
  <c r="J154" i="12"/>
  <c r="N81" i="12"/>
  <c r="N50" i="12"/>
  <c r="I75" i="12"/>
  <c r="J75" i="12"/>
  <c r="N47" i="12"/>
  <c r="G73" i="12"/>
  <c r="I73" i="12" s="1"/>
  <c r="J73" i="12" s="1"/>
  <c r="G74" i="12"/>
  <c r="I74" i="12" s="1"/>
  <c r="J74" i="12" s="1"/>
  <c r="I69" i="12"/>
  <c r="I70" i="12"/>
  <c r="I71" i="12"/>
  <c r="I72" i="12"/>
  <c r="J59" i="12"/>
  <c r="N85" i="12"/>
  <c r="J64" i="12"/>
  <c r="G149" i="12"/>
  <c r="I41" i="12"/>
  <c r="H48" i="12"/>
  <c r="H47" i="12"/>
  <c r="H46" i="12"/>
  <c r="H45" i="12"/>
  <c r="H44" i="12"/>
  <c r="H37" i="12"/>
  <c r="H17" i="12"/>
  <c r="H112" i="12"/>
  <c r="J158" i="12"/>
  <c r="H162" i="12"/>
  <c r="H161" i="12"/>
  <c r="H160" i="12"/>
  <c r="H159" i="12"/>
  <c r="H158" i="12"/>
  <c r="H110" i="12"/>
  <c r="J110" i="12" s="1"/>
  <c r="H23" i="12"/>
  <c r="H22" i="12"/>
  <c r="O11" i="12"/>
  <c r="N12" i="12"/>
  <c r="N17" i="12"/>
  <c r="N16" i="12"/>
  <c r="G194" i="12"/>
  <c r="I194" i="12" s="1"/>
  <c r="J194" i="12" s="1"/>
  <c r="G193" i="12"/>
  <c r="I193" i="12" s="1"/>
  <c r="J193" i="12" s="1"/>
  <c r="G192" i="12"/>
  <c r="I192" i="12" s="1"/>
  <c r="J192" i="12" s="1"/>
  <c r="G191" i="12"/>
  <c r="I191" i="12" s="1"/>
  <c r="J191" i="12" s="1"/>
  <c r="G190" i="12"/>
  <c r="I190" i="12" s="1"/>
  <c r="J190" i="12" s="1"/>
  <c r="G189" i="12"/>
  <c r="I189" i="12" s="1"/>
  <c r="G188" i="12"/>
  <c r="I188" i="12" s="1"/>
  <c r="J188" i="12" s="1"/>
  <c r="G186" i="12"/>
  <c r="I186" i="12" s="1"/>
  <c r="J186" i="12" s="1"/>
  <c r="G185" i="12"/>
  <c r="G184" i="12"/>
  <c r="I184" i="12" s="1"/>
  <c r="J184" i="12" s="1"/>
  <c r="G183" i="12"/>
  <c r="I183" i="12" s="1"/>
  <c r="J183" i="12" s="1"/>
  <c r="G182" i="12"/>
  <c r="I182" i="12" s="1"/>
  <c r="J182" i="12" s="1"/>
  <c r="G181" i="12"/>
  <c r="I181" i="12" s="1"/>
  <c r="G180" i="12"/>
  <c r="I180" i="12" s="1"/>
  <c r="J180" i="12" s="1"/>
  <c r="G178" i="12"/>
  <c r="I178" i="12" s="1"/>
  <c r="J178" i="12" s="1"/>
  <c r="G177" i="12"/>
  <c r="I177" i="12" s="1"/>
  <c r="J177" i="12" s="1"/>
  <c r="G176" i="12"/>
  <c r="I176" i="12" s="1"/>
  <c r="J176" i="12" s="1"/>
  <c r="G175" i="12"/>
  <c r="I175" i="12" s="1"/>
  <c r="J175" i="12" s="1"/>
  <c r="G174" i="12"/>
  <c r="I174" i="12" s="1"/>
  <c r="J174" i="12" s="1"/>
  <c r="G173" i="12"/>
  <c r="I173" i="12" s="1"/>
  <c r="J173" i="12" s="1"/>
  <c r="G172" i="12"/>
  <c r="I172" i="12" s="1"/>
  <c r="J172" i="12" s="1"/>
  <c r="F171" i="12"/>
  <c r="F115" i="12" s="1"/>
  <c r="F155" i="12" s="1"/>
  <c r="E171" i="12"/>
  <c r="D171" i="12"/>
  <c r="C171" i="12"/>
  <c r="C115" i="12" s="1"/>
  <c r="C155" i="12" s="1"/>
  <c r="B171" i="12"/>
  <c r="B115" i="12" s="1"/>
  <c r="B155" i="12" s="1"/>
  <c r="G165" i="12"/>
  <c r="I165" i="12" s="1"/>
  <c r="J165" i="12" s="1"/>
  <c r="G151" i="12"/>
  <c r="G55" i="12"/>
  <c r="I55" i="12" s="1"/>
  <c r="G56" i="12"/>
  <c r="I56" i="12" s="1"/>
  <c r="G57" i="12"/>
  <c r="N147" i="11"/>
  <c r="G157" i="12"/>
  <c r="I157" i="12" s="1"/>
  <c r="J157" i="12" s="1"/>
  <c r="G158" i="12"/>
  <c r="I158" i="12" s="1"/>
  <c r="G159" i="12"/>
  <c r="I159" i="12" s="1"/>
  <c r="G160" i="12"/>
  <c r="I160" i="12" s="1"/>
  <c r="J160" i="12" s="1"/>
  <c r="G161" i="12"/>
  <c r="I161" i="12" s="1"/>
  <c r="J161" i="12" s="1"/>
  <c r="N138" i="11"/>
  <c r="N89" i="11"/>
  <c r="N109" i="12"/>
  <c r="J106" i="11"/>
  <c r="I106" i="11"/>
  <c r="F27" i="11"/>
  <c r="N105" i="11"/>
  <c r="N33" i="11"/>
  <c r="N29" i="11"/>
  <c r="N171" i="11"/>
  <c r="N102" i="11"/>
  <c r="G34" i="12"/>
  <c r="I34" i="12" s="1"/>
  <c r="J34" i="12" s="1"/>
  <c r="G138" i="12"/>
  <c r="I138" i="12" s="1"/>
  <c r="J138" i="12" s="1"/>
  <c r="G170" i="12"/>
  <c r="I170" i="12" s="1"/>
  <c r="G169" i="12"/>
  <c r="I169" i="12" s="1"/>
  <c r="J169" i="12" s="1"/>
  <c r="G168" i="12"/>
  <c r="I168" i="12" s="1"/>
  <c r="J168" i="12" s="1"/>
  <c r="G167" i="12"/>
  <c r="I167" i="12" s="1"/>
  <c r="J167" i="12" s="1"/>
  <c r="G166" i="12"/>
  <c r="I166" i="12" s="1"/>
  <c r="J166" i="12" s="1"/>
  <c r="G164" i="12"/>
  <c r="I164" i="12" s="1"/>
  <c r="G162" i="12"/>
  <c r="I162" i="12" s="1"/>
  <c r="J162" i="12" s="1"/>
  <c r="G156" i="12"/>
  <c r="I156" i="12" s="1"/>
  <c r="L196" i="11"/>
  <c r="N179" i="11"/>
  <c r="N187" i="11"/>
  <c r="O187" i="11" s="1"/>
  <c r="G194" i="11"/>
  <c r="I194" i="11" s="1"/>
  <c r="J194" i="11" s="1"/>
  <c r="G193" i="11"/>
  <c r="I193" i="11" s="1"/>
  <c r="J193" i="11" s="1"/>
  <c r="G192" i="11"/>
  <c r="I192" i="11" s="1"/>
  <c r="J192" i="11" s="1"/>
  <c r="G191" i="11"/>
  <c r="I191" i="11" s="1"/>
  <c r="J191" i="11" s="1"/>
  <c r="G190" i="11"/>
  <c r="I190" i="11" s="1"/>
  <c r="I189" i="11"/>
  <c r="J189" i="11" s="1"/>
  <c r="G188" i="11"/>
  <c r="I188" i="11" s="1"/>
  <c r="K187" i="11"/>
  <c r="H187" i="11"/>
  <c r="F187" i="11"/>
  <c r="E187" i="11"/>
  <c r="D187" i="11"/>
  <c r="C187" i="11"/>
  <c r="B187" i="11"/>
  <c r="N132" i="11"/>
  <c r="N49" i="11"/>
  <c r="N80" i="11"/>
  <c r="J185" i="12" l="1"/>
  <c r="J159" i="12"/>
  <c r="J189" i="12"/>
  <c r="J181" i="12"/>
  <c r="G171" i="12"/>
  <c r="G155" i="12"/>
  <c r="J164" i="12"/>
  <c r="J156" i="12"/>
  <c r="G187" i="11"/>
  <c r="I187" i="11"/>
  <c r="J188" i="11"/>
  <c r="J187" i="11" s="1"/>
  <c r="M187" i="11" l="1"/>
  <c r="N86" i="11" l="1"/>
  <c r="N82" i="11"/>
  <c r="N113" i="11"/>
  <c r="N114" i="11"/>
  <c r="N18" i="11"/>
  <c r="H19" i="11"/>
  <c r="N73" i="11" l="1"/>
  <c r="N66" i="11" s="1"/>
  <c r="O66" i="11" s="1"/>
  <c r="O171" i="11"/>
  <c r="K131" i="11"/>
  <c r="K115" i="11"/>
  <c r="K50" i="11"/>
  <c r="G186" i="11"/>
  <c r="I186" i="11" s="1"/>
  <c r="J186" i="11" s="1"/>
  <c r="B179" i="11"/>
  <c r="C179" i="11"/>
  <c r="D179" i="11"/>
  <c r="E179" i="11"/>
  <c r="F179" i="11"/>
  <c r="G179" i="11"/>
  <c r="H179" i="11"/>
  <c r="K179" i="11"/>
  <c r="G180" i="11"/>
  <c r="I180" i="11" s="1"/>
  <c r="I181" i="11"/>
  <c r="J181" i="11" s="1"/>
  <c r="G182" i="11"/>
  <c r="I182" i="11" s="1"/>
  <c r="G183" i="11"/>
  <c r="I183" i="11" s="1"/>
  <c r="J183" i="11" s="1"/>
  <c r="G184" i="11"/>
  <c r="I184" i="11" s="1"/>
  <c r="J184" i="11" s="1"/>
  <c r="G185" i="11"/>
  <c r="I185" i="11" s="1"/>
  <c r="J185" i="11" s="1"/>
  <c r="G73" i="11"/>
  <c r="I73" i="11" s="1"/>
  <c r="J73" i="11" s="1"/>
  <c r="N39" i="11"/>
  <c r="N150" i="11"/>
  <c r="N152" i="11"/>
  <c r="I178" i="11"/>
  <c r="I195" i="11"/>
  <c r="N106" i="11"/>
  <c r="G107" i="11"/>
  <c r="I107" i="11" s="1"/>
  <c r="N47" i="11"/>
  <c r="N13" i="11"/>
  <c r="N123" i="11"/>
  <c r="N41" i="11"/>
  <c r="N52" i="11"/>
  <c r="N176" i="11"/>
  <c r="N161" i="11"/>
  <c r="N99" i="11"/>
  <c r="N100" i="11"/>
  <c r="N104" i="11"/>
  <c r="N60" i="11"/>
  <c r="N64" i="11"/>
  <c r="N58" i="11" s="1"/>
  <c r="O58" i="11" s="1"/>
  <c r="N56" i="11"/>
  <c r="N53" i="11"/>
  <c r="N51" i="11"/>
  <c r="N27" i="11"/>
  <c r="O27" i="11" s="1"/>
  <c r="K147" i="11"/>
  <c r="H147" i="11"/>
  <c r="F147" i="11"/>
  <c r="E147" i="11"/>
  <c r="C147" i="11"/>
  <c r="B147" i="11"/>
  <c r="G154" i="11"/>
  <c r="I154" i="11" s="1"/>
  <c r="J154" i="11" s="1"/>
  <c r="F115" i="11"/>
  <c r="C115" i="11"/>
  <c r="B115" i="11"/>
  <c r="K106" i="11"/>
  <c r="H106" i="11"/>
  <c r="F106" i="11"/>
  <c r="E106" i="11"/>
  <c r="C106" i="11"/>
  <c r="B106" i="11"/>
  <c r="C3" i="11"/>
  <c r="C19" i="11"/>
  <c r="B19" i="11"/>
  <c r="E19" i="11"/>
  <c r="K3" i="11"/>
  <c r="G54" i="11"/>
  <c r="I54" i="11" s="1"/>
  <c r="G55" i="11"/>
  <c r="I55" i="11" s="1"/>
  <c r="G56" i="11"/>
  <c r="I56" i="11" s="1"/>
  <c r="J56" i="11" s="1"/>
  <c r="G57" i="11"/>
  <c r="I57" i="11" s="1"/>
  <c r="G53" i="11"/>
  <c r="I53" i="11" s="1"/>
  <c r="J53" i="11" s="1"/>
  <c r="N120" i="11"/>
  <c r="N115" i="11" s="1"/>
  <c r="O115" i="11" s="1"/>
  <c r="N36" i="11"/>
  <c r="N37" i="11"/>
  <c r="N38" i="11"/>
  <c r="N5" i="11"/>
  <c r="N3" i="11" s="1"/>
  <c r="O3" i="11" s="1"/>
  <c r="G172" i="14"/>
  <c r="I172" i="14" s="1"/>
  <c r="I171" i="14" s="1"/>
  <c r="K171" i="14"/>
  <c r="H171" i="14"/>
  <c r="F171" i="14"/>
  <c r="E171" i="14"/>
  <c r="D171" i="14"/>
  <c r="C171" i="14"/>
  <c r="B171" i="14"/>
  <c r="G170" i="14"/>
  <c r="I170" i="14" s="1"/>
  <c r="G169" i="14"/>
  <c r="I169" i="14" s="1"/>
  <c r="J169" i="14" s="1"/>
  <c r="G168" i="14"/>
  <c r="I168" i="14" s="1"/>
  <c r="J168" i="14" s="1"/>
  <c r="G167" i="14"/>
  <c r="I167" i="14" s="1"/>
  <c r="J167" i="14" s="1"/>
  <c r="G166" i="14"/>
  <c r="I166" i="14" s="1"/>
  <c r="J166" i="14" s="1"/>
  <c r="G165" i="14"/>
  <c r="I165" i="14" s="1"/>
  <c r="J165" i="14" s="1"/>
  <c r="G164" i="14"/>
  <c r="I164" i="14" s="1"/>
  <c r="J164" i="14" s="1"/>
  <c r="N163" i="14"/>
  <c r="O163" i="14" s="1"/>
  <c r="K163" i="14"/>
  <c r="H163" i="14"/>
  <c r="F163" i="14"/>
  <c r="E163" i="14"/>
  <c r="C163" i="14"/>
  <c r="B163" i="14"/>
  <c r="G162" i="14"/>
  <c r="I162" i="14" s="1"/>
  <c r="J162" i="14" s="1"/>
  <c r="G161" i="14"/>
  <c r="I161" i="14" s="1"/>
  <c r="J161" i="14" s="1"/>
  <c r="G160" i="14"/>
  <c r="I160" i="14" s="1"/>
  <c r="J160" i="14" s="1"/>
  <c r="G159" i="14"/>
  <c r="I159" i="14" s="1"/>
  <c r="J159" i="14" s="1"/>
  <c r="G158" i="14"/>
  <c r="I158" i="14" s="1"/>
  <c r="J158" i="14" s="1"/>
  <c r="G157" i="14"/>
  <c r="I157" i="14" s="1"/>
  <c r="J157" i="14" s="1"/>
  <c r="G156" i="14"/>
  <c r="I156" i="14" s="1"/>
  <c r="N155" i="14"/>
  <c r="O155" i="14" s="1"/>
  <c r="K155" i="14"/>
  <c r="H155" i="14"/>
  <c r="F155" i="14"/>
  <c r="E155" i="14"/>
  <c r="D155" i="14"/>
  <c r="C155" i="14"/>
  <c r="B155" i="14"/>
  <c r="G153" i="14"/>
  <c r="I153" i="14" s="1"/>
  <c r="J153" i="14" s="1"/>
  <c r="G152" i="14"/>
  <c r="I152" i="14" s="1"/>
  <c r="J152" i="14" s="1"/>
  <c r="G151" i="14"/>
  <c r="I151" i="14" s="1"/>
  <c r="J151" i="14" s="1"/>
  <c r="G150" i="14"/>
  <c r="I150" i="14" s="1"/>
  <c r="J150" i="14" s="1"/>
  <c r="G149" i="14"/>
  <c r="I149" i="14" s="1"/>
  <c r="J149" i="14" s="1"/>
  <c r="G148" i="14"/>
  <c r="I148" i="14" s="1"/>
  <c r="I147" i="14" s="1"/>
  <c r="D147" i="14"/>
  <c r="G144" i="14"/>
  <c r="I144" i="14" s="1"/>
  <c r="J144" i="14" s="1"/>
  <c r="G143" i="14"/>
  <c r="I143" i="14" s="1"/>
  <c r="J143" i="14" s="1"/>
  <c r="G142" i="14"/>
  <c r="I142" i="14" s="1"/>
  <c r="J142" i="14" s="1"/>
  <c r="G141" i="14"/>
  <c r="I141" i="14" s="1"/>
  <c r="J141" i="14" s="1"/>
  <c r="G140" i="14"/>
  <c r="I140" i="14" s="1"/>
  <c r="N139" i="14"/>
  <c r="O139" i="14" s="1"/>
  <c r="K139" i="14"/>
  <c r="H139" i="14"/>
  <c r="F139" i="14"/>
  <c r="E139" i="14"/>
  <c r="D139" i="14"/>
  <c r="C139" i="14"/>
  <c r="B139" i="14"/>
  <c r="G138" i="14"/>
  <c r="I138" i="14" s="1"/>
  <c r="J138" i="14" s="1"/>
  <c r="G137" i="14"/>
  <c r="I137" i="14" s="1"/>
  <c r="J137" i="14" s="1"/>
  <c r="G136" i="14"/>
  <c r="I136" i="14" s="1"/>
  <c r="J136" i="14" s="1"/>
  <c r="G135" i="14"/>
  <c r="I135" i="14" s="1"/>
  <c r="J134" i="14"/>
  <c r="G134" i="14"/>
  <c r="G133" i="14"/>
  <c r="I133" i="14" s="1"/>
  <c r="J133" i="14" s="1"/>
  <c r="G132" i="14"/>
  <c r="I132" i="14" s="1"/>
  <c r="J132" i="14" s="1"/>
  <c r="N131" i="14"/>
  <c r="H131" i="14"/>
  <c r="F131" i="14"/>
  <c r="E131" i="14"/>
  <c r="D131" i="14"/>
  <c r="C131" i="14"/>
  <c r="B131" i="14"/>
  <c r="G131" i="14" s="1"/>
  <c r="G130" i="14"/>
  <c r="I130" i="14" s="1"/>
  <c r="J130" i="14" s="1"/>
  <c r="G129" i="14"/>
  <c r="I129" i="14" s="1"/>
  <c r="J129" i="14" s="1"/>
  <c r="G128" i="14"/>
  <c r="I128" i="14" s="1"/>
  <c r="J128" i="14" s="1"/>
  <c r="G127" i="14"/>
  <c r="I127" i="14" s="1"/>
  <c r="J127" i="14" s="1"/>
  <c r="G126" i="14"/>
  <c r="I126" i="14" s="1"/>
  <c r="J126" i="14" s="1"/>
  <c r="G125" i="14"/>
  <c r="I125" i="14" s="1"/>
  <c r="J125" i="14" s="1"/>
  <c r="G124" i="14"/>
  <c r="I124" i="14" s="1"/>
  <c r="N123" i="14"/>
  <c r="O123" i="14" s="1"/>
  <c r="K123" i="14"/>
  <c r="H123" i="14"/>
  <c r="F123" i="14"/>
  <c r="E123" i="14"/>
  <c r="D123" i="14"/>
  <c r="C123" i="14"/>
  <c r="B123" i="14"/>
  <c r="G122" i="14"/>
  <c r="I122" i="14" s="1"/>
  <c r="J122" i="14" s="1"/>
  <c r="G121" i="14"/>
  <c r="I121" i="14" s="1"/>
  <c r="G120" i="14"/>
  <c r="I120" i="14" s="1"/>
  <c r="G119" i="14"/>
  <c r="I119" i="14" s="1"/>
  <c r="G118" i="14"/>
  <c r="I118" i="14" s="1"/>
  <c r="G117" i="14"/>
  <c r="I117" i="14" s="1"/>
  <c r="J117" i="14" s="1"/>
  <c r="G116" i="14"/>
  <c r="I116" i="14" s="1"/>
  <c r="J116" i="14" s="1"/>
  <c r="O115" i="14"/>
  <c r="H115" i="14"/>
  <c r="F115" i="14"/>
  <c r="D115" i="14"/>
  <c r="G114" i="14"/>
  <c r="I114" i="14" s="1"/>
  <c r="J114" i="14" s="1"/>
  <c r="G113" i="14"/>
  <c r="I113" i="14" s="1"/>
  <c r="J113" i="14" s="1"/>
  <c r="G112" i="14"/>
  <c r="I112" i="14" s="1"/>
  <c r="J112" i="14" s="1"/>
  <c r="G111" i="14"/>
  <c r="I111" i="14" s="1"/>
  <c r="J111" i="14" s="1"/>
  <c r="G110" i="14"/>
  <c r="I110" i="14" s="1"/>
  <c r="J110" i="14" s="1"/>
  <c r="G109" i="14"/>
  <c r="I109" i="14" s="1"/>
  <c r="J109" i="14" s="1"/>
  <c r="G108" i="14"/>
  <c r="I108" i="14" s="1"/>
  <c r="N107" i="14"/>
  <c r="K107" i="14"/>
  <c r="H107" i="14"/>
  <c r="F107" i="14"/>
  <c r="E107" i="14"/>
  <c r="D107" i="14"/>
  <c r="C107" i="14"/>
  <c r="B107" i="14"/>
  <c r="G106" i="14"/>
  <c r="I106" i="14" s="1"/>
  <c r="J106" i="14" s="1"/>
  <c r="G105" i="14"/>
  <c r="I105" i="14" s="1"/>
  <c r="J105" i="14" s="1"/>
  <c r="G104" i="14"/>
  <c r="I104" i="14" s="1"/>
  <c r="J104" i="14" s="1"/>
  <c r="G103" i="14"/>
  <c r="I103" i="14" s="1"/>
  <c r="J103" i="14" s="1"/>
  <c r="G102" i="14"/>
  <c r="I102" i="14" s="1"/>
  <c r="J102" i="14" s="1"/>
  <c r="G101" i="14"/>
  <c r="I101" i="14" s="1"/>
  <c r="J101" i="14" s="1"/>
  <c r="G100" i="14"/>
  <c r="I100" i="14" s="1"/>
  <c r="O99" i="14"/>
  <c r="K99" i="14"/>
  <c r="H99" i="14"/>
  <c r="F99" i="14"/>
  <c r="E99" i="14"/>
  <c r="C99" i="14"/>
  <c r="B99" i="14"/>
  <c r="G98" i="14"/>
  <c r="I98" i="14" s="1"/>
  <c r="J98" i="14" s="1"/>
  <c r="G97" i="14"/>
  <c r="I97" i="14" s="1"/>
  <c r="J97" i="14" s="1"/>
  <c r="G96" i="14"/>
  <c r="I96" i="14" s="1"/>
  <c r="J96" i="14" s="1"/>
  <c r="G95" i="14"/>
  <c r="I95" i="14" s="1"/>
  <c r="J95" i="14" s="1"/>
  <c r="G94" i="14"/>
  <c r="I94" i="14" s="1"/>
  <c r="J94" i="14" s="1"/>
  <c r="G93" i="14"/>
  <c r="I93" i="14" s="1"/>
  <c r="J93" i="14" s="1"/>
  <c r="G92" i="14"/>
  <c r="I92" i="14" s="1"/>
  <c r="N91" i="14"/>
  <c r="O91" i="14" s="1"/>
  <c r="K91" i="14"/>
  <c r="H91" i="14"/>
  <c r="F91" i="14"/>
  <c r="E91" i="14"/>
  <c r="C91" i="14"/>
  <c r="B91" i="14"/>
  <c r="G91" i="14" s="1"/>
  <c r="G90" i="14"/>
  <c r="I90" i="14" s="1"/>
  <c r="J90" i="14" s="1"/>
  <c r="G89" i="14"/>
  <c r="I89" i="14" s="1"/>
  <c r="J89" i="14" s="1"/>
  <c r="G88" i="14"/>
  <c r="I88" i="14" s="1"/>
  <c r="J88" i="14" s="1"/>
  <c r="G87" i="14"/>
  <c r="I87" i="14" s="1"/>
  <c r="J87" i="14" s="1"/>
  <c r="G86" i="14"/>
  <c r="I86" i="14" s="1"/>
  <c r="J86" i="14" s="1"/>
  <c r="G85" i="14"/>
  <c r="I85" i="14" s="1"/>
  <c r="J85" i="14" s="1"/>
  <c r="G84" i="14"/>
  <c r="I84" i="14" s="1"/>
  <c r="N83" i="14"/>
  <c r="O83" i="14" s="1"/>
  <c r="K83" i="14"/>
  <c r="H83" i="14"/>
  <c r="F83" i="14"/>
  <c r="E83" i="14"/>
  <c r="D83" i="14"/>
  <c r="C83" i="14"/>
  <c r="B83" i="14"/>
  <c r="G81" i="14"/>
  <c r="I81" i="14" s="1"/>
  <c r="J81" i="14" s="1"/>
  <c r="G80" i="14"/>
  <c r="I80" i="14" s="1"/>
  <c r="J80" i="14" s="1"/>
  <c r="G79" i="14"/>
  <c r="I79" i="14" s="1"/>
  <c r="J79" i="14" s="1"/>
  <c r="G78" i="14"/>
  <c r="I78" i="14" s="1"/>
  <c r="J78" i="14" s="1"/>
  <c r="G77" i="14"/>
  <c r="I77" i="14" s="1"/>
  <c r="J77" i="14" s="1"/>
  <c r="G76" i="14"/>
  <c r="I76" i="14" s="1"/>
  <c r="O75" i="14"/>
  <c r="K75" i="14"/>
  <c r="H75" i="14"/>
  <c r="F75" i="14"/>
  <c r="E75" i="14"/>
  <c r="D75" i="14"/>
  <c r="C75" i="14"/>
  <c r="B75" i="14"/>
  <c r="G73" i="14"/>
  <c r="I73" i="14" s="1"/>
  <c r="J73" i="14" s="1"/>
  <c r="G72" i="14"/>
  <c r="I72" i="14" s="1"/>
  <c r="J72" i="14" s="1"/>
  <c r="G71" i="14"/>
  <c r="I71" i="14" s="1"/>
  <c r="J71" i="14" s="1"/>
  <c r="G70" i="14"/>
  <c r="I70" i="14" s="1"/>
  <c r="J70" i="14" s="1"/>
  <c r="G69" i="14"/>
  <c r="I69" i="14" s="1"/>
  <c r="J69" i="14" s="1"/>
  <c r="G68" i="14"/>
  <c r="I68" i="14" s="1"/>
  <c r="O67" i="14"/>
  <c r="K67" i="14"/>
  <c r="H67" i="14"/>
  <c r="F67" i="14"/>
  <c r="E67" i="14"/>
  <c r="D67" i="14"/>
  <c r="C67" i="14"/>
  <c r="B67" i="14"/>
  <c r="G66" i="14"/>
  <c r="I66" i="14" s="1"/>
  <c r="G65" i="14"/>
  <c r="I65" i="14" s="1"/>
  <c r="J65" i="14" s="1"/>
  <c r="G64" i="14"/>
  <c r="I64" i="14" s="1"/>
  <c r="J64" i="14" s="1"/>
  <c r="G63" i="14"/>
  <c r="I63" i="14" s="1"/>
  <c r="J63" i="14" s="1"/>
  <c r="G62" i="14"/>
  <c r="I62" i="14" s="1"/>
  <c r="J62" i="14" s="1"/>
  <c r="G61" i="14"/>
  <c r="I61" i="14" s="1"/>
  <c r="J61" i="14" s="1"/>
  <c r="G60" i="14"/>
  <c r="I60" i="14" s="1"/>
  <c r="J60" i="14" s="1"/>
  <c r="O59" i="14"/>
  <c r="K59" i="14"/>
  <c r="H59" i="14"/>
  <c r="F59" i="14"/>
  <c r="E59" i="14"/>
  <c r="D59" i="14"/>
  <c r="C59" i="14"/>
  <c r="B59" i="14"/>
  <c r="G54" i="14"/>
  <c r="I54" i="14" s="1"/>
  <c r="J54" i="14" s="1"/>
  <c r="G53" i="14"/>
  <c r="I53" i="14" s="1"/>
  <c r="J53" i="14" s="1"/>
  <c r="G52" i="14"/>
  <c r="I52" i="14" s="1"/>
  <c r="N51" i="14"/>
  <c r="O51" i="14" s="1"/>
  <c r="K51" i="14"/>
  <c r="H51" i="14"/>
  <c r="F51" i="14"/>
  <c r="E51" i="14"/>
  <c r="D51" i="14"/>
  <c r="C51" i="14"/>
  <c r="B51" i="14"/>
  <c r="G50" i="14"/>
  <c r="I50" i="14" s="1"/>
  <c r="J50" i="14" s="1"/>
  <c r="G49" i="14"/>
  <c r="I49" i="14" s="1"/>
  <c r="J49" i="14" s="1"/>
  <c r="G48" i="14"/>
  <c r="I48" i="14" s="1"/>
  <c r="J48" i="14" s="1"/>
  <c r="G47" i="14"/>
  <c r="I47" i="14" s="1"/>
  <c r="J47" i="14" s="1"/>
  <c r="G46" i="14"/>
  <c r="I46" i="14" s="1"/>
  <c r="J46" i="14" s="1"/>
  <c r="G45" i="14"/>
  <c r="I45" i="14" s="1"/>
  <c r="J45" i="14" s="1"/>
  <c r="G44" i="14"/>
  <c r="I44" i="14" s="1"/>
  <c r="N43" i="14"/>
  <c r="O43" i="14" s="1"/>
  <c r="K43" i="14"/>
  <c r="H43" i="14"/>
  <c r="F43" i="14"/>
  <c r="E43" i="14"/>
  <c r="D43" i="14"/>
  <c r="C43" i="14"/>
  <c r="B43" i="14"/>
  <c r="I42" i="14"/>
  <c r="J42" i="14" s="1"/>
  <c r="G41" i="14"/>
  <c r="I41" i="14" s="1"/>
  <c r="J41" i="14" s="1"/>
  <c r="G40" i="14"/>
  <c r="I40" i="14" s="1"/>
  <c r="J40" i="14" s="1"/>
  <c r="G39" i="14"/>
  <c r="I39" i="14" s="1"/>
  <c r="J39" i="14" s="1"/>
  <c r="G38" i="14"/>
  <c r="I38" i="14" s="1"/>
  <c r="J38" i="14" s="1"/>
  <c r="G37" i="14"/>
  <c r="I37" i="14" s="1"/>
  <c r="J37" i="14" s="1"/>
  <c r="G36" i="14"/>
  <c r="I36" i="14" s="1"/>
  <c r="K35" i="14"/>
  <c r="H35" i="14"/>
  <c r="F35" i="14"/>
  <c r="E35" i="14"/>
  <c r="D35" i="14"/>
  <c r="C35" i="14"/>
  <c r="B35" i="14"/>
  <c r="G33" i="14"/>
  <c r="I33" i="14" s="1"/>
  <c r="J33" i="14" s="1"/>
  <c r="G32" i="14"/>
  <c r="I32" i="14" s="1"/>
  <c r="J32" i="14" s="1"/>
  <c r="G31" i="14"/>
  <c r="I31" i="14" s="1"/>
  <c r="J31" i="14" s="1"/>
  <c r="G30" i="14"/>
  <c r="I30" i="14" s="1"/>
  <c r="J30" i="14" s="1"/>
  <c r="G29" i="14"/>
  <c r="I29" i="14" s="1"/>
  <c r="J29" i="14" s="1"/>
  <c r="G28" i="14"/>
  <c r="I28" i="14" s="1"/>
  <c r="D27" i="14"/>
  <c r="G26" i="14"/>
  <c r="I26" i="14" s="1"/>
  <c r="J26" i="14" s="1"/>
  <c r="G25" i="14"/>
  <c r="I25" i="14" s="1"/>
  <c r="J25" i="14" s="1"/>
  <c r="G24" i="14"/>
  <c r="I24" i="14" s="1"/>
  <c r="J24" i="14" s="1"/>
  <c r="G23" i="14"/>
  <c r="I23" i="14" s="1"/>
  <c r="J23" i="14" s="1"/>
  <c r="G22" i="14"/>
  <c r="I22" i="14" s="1"/>
  <c r="J22" i="14" s="1"/>
  <c r="G21" i="14"/>
  <c r="I21" i="14" s="1"/>
  <c r="J21" i="14" s="1"/>
  <c r="G20" i="14"/>
  <c r="I20" i="14" s="1"/>
  <c r="I19" i="14" s="1"/>
  <c r="N19" i="14"/>
  <c r="O19" i="14" s="1"/>
  <c r="K19" i="14"/>
  <c r="H19" i="14"/>
  <c r="D19" i="14"/>
  <c r="G18" i="14"/>
  <c r="I18" i="14" s="1"/>
  <c r="J18" i="14" s="1"/>
  <c r="G17" i="14"/>
  <c r="I17" i="14" s="1"/>
  <c r="J17" i="14" s="1"/>
  <c r="G16" i="14"/>
  <c r="I16" i="14" s="1"/>
  <c r="J16" i="14" s="1"/>
  <c r="G15" i="14"/>
  <c r="I15" i="14" s="1"/>
  <c r="J15" i="14" s="1"/>
  <c r="G14" i="14"/>
  <c r="I14" i="14" s="1"/>
  <c r="J14" i="14" s="1"/>
  <c r="G13" i="14"/>
  <c r="I13" i="14" s="1"/>
  <c r="J13" i="14" s="1"/>
  <c r="G12" i="14"/>
  <c r="I12" i="14" s="1"/>
  <c r="J12" i="14" s="1"/>
  <c r="N11" i="14"/>
  <c r="O11" i="14" s="1"/>
  <c r="K11" i="14"/>
  <c r="H11" i="14"/>
  <c r="F11" i="14"/>
  <c r="E11" i="14"/>
  <c r="D11" i="14"/>
  <c r="C11" i="14"/>
  <c r="B11" i="14"/>
  <c r="G6" i="14"/>
  <c r="I6" i="14" s="1"/>
  <c r="J6" i="14" s="1"/>
  <c r="G5" i="14"/>
  <c r="I5" i="14" s="1"/>
  <c r="J4" i="14"/>
  <c r="O3" i="14"/>
  <c r="K3" i="14"/>
  <c r="H3" i="14"/>
  <c r="F3" i="14"/>
  <c r="E3" i="14"/>
  <c r="D3" i="14"/>
  <c r="B3" i="14"/>
  <c r="G153" i="12"/>
  <c r="I153" i="12" s="1"/>
  <c r="J153" i="12" s="1"/>
  <c r="G152" i="12"/>
  <c r="I152" i="12" s="1"/>
  <c r="J152" i="12" s="1"/>
  <c r="I151" i="12"/>
  <c r="J151" i="12" s="1"/>
  <c r="G150" i="12"/>
  <c r="I150" i="12" s="1"/>
  <c r="J150" i="12" s="1"/>
  <c r="I149" i="12"/>
  <c r="J149" i="12" s="1"/>
  <c r="G148" i="12"/>
  <c r="I148" i="12" s="1"/>
  <c r="G146" i="12"/>
  <c r="I146" i="12" s="1"/>
  <c r="J146" i="12" s="1"/>
  <c r="G145" i="12"/>
  <c r="G144" i="12"/>
  <c r="I144" i="12" s="1"/>
  <c r="G143" i="12"/>
  <c r="I143" i="12" s="1"/>
  <c r="G142" i="12"/>
  <c r="I142" i="12" s="1"/>
  <c r="G141" i="12"/>
  <c r="I141" i="12" s="1"/>
  <c r="G140" i="12"/>
  <c r="I140" i="12" s="1"/>
  <c r="G137" i="12"/>
  <c r="I137" i="12" s="1"/>
  <c r="J137" i="12" s="1"/>
  <c r="G136" i="12"/>
  <c r="I136" i="12" s="1"/>
  <c r="J136" i="12" s="1"/>
  <c r="G135" i="12"/>
  <c r="I135" i="12" s="1"/>
  <c r="J135" i="12" s="1"/>
  <c r="G134" i="12"/>
  <c r="I134" i="12" s="1"/>
  <c r="J134" i="12" s="1"/>
  <c r="G133" i="12"/>
  <c r="I133" i="12" s="1"/>
  <c r="J133" i="12" s="1"/>
  <c r="G132" i="12"/>
  <c r="I132" i="12" s="1"/>
  <c r="G130" i="12"/>
  <c r="I130" i="12" s="1"/>
  <c r="J130" i="12" s="1"/>
  <c r="G129" i="12"/>
  <c r="I129" i="12" s="1"/>
  <c r="G128" i="12"/>
  <c r="I128" i="12" s="1"/>
  <c r="G127" i="12"/>
  <c r="I127" i="12" s="1"/>
  <c r="G126" i="12"/>
  <c r="G125" i="12"/>
  <c r="I125" i="12" s="1"/>
  <c r="G124" i="12"/>
  <c r="I124" i="12" s="1"/>
  <c r="E115" i="12"/>
  <c r="E155" i="12" s="1"/>
  <c r="E11" i="12" s="1"/>
  <c r="E51" i="12" s="1"/>
  <c r="E131" i="12" s="1"/>
  <c r="E35" i="12" s="1"/>
  <c r="E83" i="12" s="1"/>
  <c r="E123" i="12" s="1"/>
  <c r="E27" i="12" s="1"/>
  <c r="E179" i="12" s="1"/>
  <c r="E67" i="12" s="1"/>
  <c r="E91" i="12" s="1"/>
  <c r="E3" i="12" s="1"/>
  <c r="E19" i="12" s="1"/>
  <c r="E75" i="12" s="1"/>
  <c r="E187" i="12" s="1"/>
  <c r="E107" i="12" s="1"/>
  <c r="E139" i="12" s="1"/>
  <c r="E147" i="12" s="1"/>
  <c r="E59" i="12" s="1"/>
  <c r="E163" i="12" s="1"/>
  <c r="E43" i="12" s="1"/>
  <c r="E99" i="12" s="1"/>
  <c r="G122" i="12"/>
  <c r="I122" i="12" s="1"/>
  <c r="J122" i="12" s="1"/>
  <c r="G121" i="12"/>
  <c r="I121" i="12" s="1"/>
  <c r="J121" i="12" s="1"/>
  <c r="G120" i="12"/>
  <c r="I120" i="12" s="1"/>
  <c r="J120" i="12" s="1"/>
  <c r="G119" i="12"/>
  <c r="I119" i="12" s="1"/>
  <c r="J119" i="12" s="1"/>
  <c r="G118" i="12"/>
  <c r="I118" i="12" s="1"/>
  <c r="J118" i="12" s="1"/>
  <c r="G117" i="12"/>
  <c r="I117" i="12" s="1"/>
  <c r="G116" i="12"/>
  <c r="I116" i="12" s="1"/>
  <c r="J116" i="12" s="1"/>
  <c r="D115" i="12"/>
  <c r="D155" i="12" s="1"/>
  <c r="G114" i="12"/>
  <c r="I114" i="12" s="1"/>
  <c r="J114" i="12" s="1"/>
  <c r="G113" i="12"/>
  <c r="I113" i="12" s="1"/>
  <c r="J113" i="12" s="1"/>
  <c r="G112" i="12"/>
  <c r="I112" i="12" s="1"/>
  <c r="J112" i="12" s="1"/>
  <c r="G111" i="12"/>
  <c r="I111" i="12" s="1"/>
  <c r="J111" i="12" s="1"/>
  <c r="G110" i="12"/>
  <c r="I110" i="12" s="1"/>
  <c r="G109" i="12"/>
  <c r="I109" i="12" s="1"/>
  <c r="G108" i="12"/>
  <c r="I108" i="12" s="1"/>
  <c r="G106" i="12"/>
  <c r="I106" i="12" s="1"/>
  <c r="G105" i="12"/>
  <c r="G104" i="12"/>
  <c r="G103" i="12"/>
  <c r="I103" i="12" s="1"/>
  <c r="G102" i="12"/>
  <c r="I102" i="12" s="1"/>
  <c r="I101" i="12"/>
  <c r="G100" i="12"/>
  <c r="I100" i="12" s="1"/>
  <c r="G98" i="12"/>
  <c r="I98" i="12" s="1"/>
  <c r="J98" i="12" s="1"/>
  <c r="G97" i="12"/>
  <c r="I97" i="12" s="1"/>
  <c r="J97" i="12" s="1"/>
  <c r="G96" i="12"/>
  <c r="I96" i="12" s="1"/>
  <c r="J96" i="12" s="1"/>
  <c r="G95" i="12"/>
  <c r="I95" i="12" s="1"/>
  <c r="J95" i="12" s="1"/>
  <c r="G94" i="12"/>
  <c r="I94" i="12" s="1"/>
  <c r="J94" i="12" s="1"/>
  <c r="G93" i="12"/>
  <c r="I93" i="12" s="1"/>
  <c r="J93" i="12" s="1"/>
  <c r="G92" i="12"/>
  <c r="I92" i="12" s="1"/>
  <c r="G90" i="12"/>
  <c r="I90" i="12" s="1"/>
  <c r="J90" i="12" s="1"/>
  <c r="G89" i="12"/>
  <c r="I89" i="12" s="1"/>
  <c r="J89" i="12" s="1"/>
  <c r="G88" i="12"/>
  <c r="I88" i="12" s="1"/>
  <c r="J88" i="12" s="1"/>
  <c r="G87" i="12"/>
  <c r="I87" i="12" s="1"/>
  <c r="J87" i="12" s="1"/>
  <c r="G86" i="12"/>
  <c r="I86" i="12" s="1"/>
  <c r="J86" i="12" s="1"/>
  <c r="G85" i="12"/>
  <c r="I85" i="12" s="1"/>
  <c r="J85" i="12" s="1"/>
  <c r="G84" i="12"/>
  <c r="I84" i="12" s="1"/>
  <c r="G81" i="12"/>
  <c r="I81" i="12" s="1"/>
  <c r="G80" i="12"/>
  <c r="I80" i="12" s="1"/>
  <c r="G79" i="12"/>
  <c r="I79" i="12" s="1"/>
  <c r="G78" i="12"/>
  <c r="I78" i="12" s="1"/>
  <c r="G77" i="12"/>
  <c r="I77" i="12" s="1"/>
  <c r="G76" i="12"/>
  <c r="I76" i="12" s="1"/>
  <c r="J76" i="12" s="1"/>
  <c r="G72" i="12"/>
  <c r="J72" i="12" s="1"/>
  <c r="G71" i="12"/>
  <c r="J71" i="12" s="1"/>
  <c r="G70" i="12"/>
  <c r="J70" i="12" s="1"/>
  <c r="G69" i="12"/>
  <c r="J69" i="12" s="1"/>
  <c r="G68" i="12"/>
  <c r="I68" i="12" s="1"/>
  <c r="G66" i="12"/>
  <c r="I66" i="12" s="1"/>
  <c r="J66" i="12" s="1"/>
  <c r="G65" i="12"/>
  <c r="I65" i="12" s="1"/>
  <c r="J65" i="12" s="1"/>
  <c r="G64" i="12"/>
  <c r="I64" i="12" s="1"/>
  <c r="G63" i="12"/>
  <c r="I63" i="12" s="1"/>
  <c r="J63" i="12" s="1"/>
  <c r="G62" i="12"/>
  <c r="I62" i="12" s="1"/>
  <c r="J62" i="12" s="1"/>
  <c r="G61" i="12"/>
  <c r="I61" i="12" s="1"/>
  <c r="J61" i="12" s="1"/>
  <c r="G60" i="12"/>
  <c r="I60" i="12" s="1"/>
  <c r="G58" i="12"/>
  <c r="J58" i="12" s="1"/>
  <c r="J56" i="12"/>
  <c r="J55" i="12"/>
  <c r="G54" i="12"/>
  <c r="I54" i="12" s="1"/>
  <c r="J54" i="12" s="1"/>
  <c r="G53" i="12"/>
  <c r="I53" i="12" s="1"/>
  <c r="G52" i="12"/>
  <c r="I52" i="12" s="1"/>
  <c r="J52" i="12" s="1"/>
  <c r="F51" i="12"/>
  <c r="F131" i="12" s="1"/>
  <c r="F35" i="12" s="1"/>
  <c r="F83" i="12" s="1"/>
  <c r="F123" i="12" s="1"/>
  <c r="F27" i="12" s="1"/>
  <c r="F179" i="12" s="1"/>
  <c r="F67" i="12" s="1"/>
  <c r="F91" i="12" s="1"/>
  <c r="F3" i="12" s="1"/>
  <c r="F19" i="12" s="1"/>
  <c r="F75" i="12" s="1"/>
  <c r="F187" i="12" s="1"/>
  <c r="F107" i="12" s="1"/>
  <c r="F139" i="12" s="1"/>
  <c r="F147" i="12" s="1"/>
  <c r="F59" i="12" s="1"/>
  <c r="F163" i="12" s="1"/>
  <c r="F43" i="12" s="1"/>
  <c r="F99" i="12" s="1"/>
  <c r="G50" i="12"/>
  <c r="I50" i="12" s="1"/>
  <c r="J50" i="12" s="1"/>
  <c r="G49" i="12"/>
  <c r="I49" i="12" s="1"/>
  <c r="J49" i="12" s="1"/>
  <c r="G48" i="12"/>
  <c r="I48" i="12" s="1"/>
  <c r="J48" i="12" s="1"/>
  <c r="G47" i="12"/>
  <c r="I47" i="12" s="1"/>
  <c r="J47" i="12" s="1"/>
  <c r="G46" i="12"/>
  <c r="I46" i="12" s="1"/>
  <c r="J46" i="12" s="1"/>
  <c r="G45" i="12"/>
  <c r="I45" i="12" s="1"/>
  <c r="J45" i="12" s="1"/>
  <c r="G44" i="12"/>
  <c r="I44" i="12" s="1"/>
  <c r="I42" i="12"/>
  <c r="J42" i="12" s="1"/>
  <c r="G41" i="12"/>
  <c r="G40" i="12"/>
  <c r="I40" i="12" s="1"/>
  <c r="G39" i="12"/>
  <c r="I39" i="12" s="1"/>
  <c r="G38" i="12"/>
  <c r="G37" i="12"/>
  <c r="I37" i="12" s="1"/>
  <c r="G36" i="12"/>
  <c r="I36" i="12" s="1"/>
  <c r="J36" i="12" s="1"/>
  <c r="G33" i="12"/>
  <c r="I33" i="12" s="1"/>
  <c r="J33" i="12" s="1"/>
  <c r="G32" i="12"/>
  <c r="I32" i="12" s="1"/>
  <c r="J32" i="12" s="1"/>
  <c r="G31" i="12"/>
  <c r="I31" i="12" s="1"/>
  <c r="J31" i="12" s="1"/>
  <c r="G30" i="12"/>
  <c r="I30" i="12" s="1"/>
  <c r="J30" i="12" s="1"/>
  <c r="G29" i="12"/>
  <c r="I29" i="12" s="1"/>
  <c r="G28" i="12"/>
  <c r="I28" i="12" s="1"/>
  <c r="G26" i="12"/>
  <c r="I26" i="12" s="1"/>
  <c r="J26" i="12" s="1"/>
  <c r="G25" i="12"/>
  <c r="I25" i="12" s="1"/>
  <c r="J25" i="12" s="1"/>
  <c r="G24" i="12"/>
  <c r="I24" i="12" s="1"/>
  <c r="J24" i="12" s="1"/>
  <c r="G23" i="12"/>
  <c r="I23" i="12" s="1"/>
  <c r="G22" i="12"/>
  <c r="I22" i="12" s="1"/>
  <c r="J22" i="12" s="1"/>
  <c r="G21" i="12"/>
  <c r="I21" i="12" s="1"/>
  <c r="J21" i="12" s="1"/>
  <c r="G20" i="12"/>
  <c r="I20" i="12" s="1"/>
  <c r="G18" i="12"/>
  <c r="I18" i="12" s="1"/>
  <c r="J18" i="12" s="1"/>
  <c r="G17" i="12"/>
  <c r="I17" i="12" s="1"/>
  <c r="J17" i="12" s="1"/>
  <c r="G16" i="12"/>
  <c r="I16" i="12" s="1"/>
  <c r="J16" i="12" s="1"/>
  <c r="G15" i="12"/>
  <c r="I15" i="12" s="1"/>
  <c r="J15" i="12" s="1"/>
  <c r="G14" i="12"/>
  <c r="I14" i="12" s="1"/>
  <c r="J14" i="12" s="1"/>
  <c r="G13" i="12"/>
  <c r="I13" i="12" s="1"/>
  <c r="J13" i="12" s="1"/>
  <c r="G12" i="12"/>
  <c r="I12" i="12" s="1"/>
  <c r="F11" i="12"/>
  <c r="D11" i="12"/>
  <c r="D51" i="12" s="1"/>
  <c r="D131" i="12" s="1"/>
  <c r="D35" i="12" s="1"/>
  <c r="D83" i="12" s="1"/>
  <c r="D123" i="12" s="1"/>
  <c r="D27" i="12" s="1"/>
  <c r="D179" i="12" s="1"/>
  <c r="D67" i="12" s="1"/>
  <c r="C11" i="12"/>
  <c r="C51" i="12" s="1"/>
  <c r="C131" i="12" s="1"/>
  <c r="C35" i="12" s="1"/>
  <c r="C83" i="12" s="1"/>
  <c r="C123" i="12" s="1"/>
  <c r="C27" i="12" s="1"/>
  <c r="C179" i="12" s="1"/>
  <c r="C67" i="12" s="1"/>
  <c r="C91" i="12" s="1"/>
  <c r="C3" i="12" s="1"/>
  <c r="C19" i="12" s="1"/>
  <c r="C75" i="12" s="1"/>
  <c r="C187" i="12" s="1"/>
  <c r="C107" i="12" s="1"/>
  <c r="C139" i="12" s="1"/>
  <c r="C147" i="12" s="1"/>
  <c r="C59" i="12" s="1"/>
  <c r="C163" i="12" s="1"/>
  <c r="C43" i="12" s="1"/>
  <c r="C99" i="12" s="1"/>
  <c r="B11" i="12"/>
  <c r="B51" i="12" s="1"/>
  <c r="I10" i="12"/>
  <c r="G9" i="12"/>
  <c r="I9" i="12" s="1"/>
  <c r="G8" i="12"/>
  <c r="I8" i="12" s="1"/>
  <c r="J8" i="12" s="1"/>
  <c r="G6" i="12"/>
  <c r="I6" i="12" s="1"/>
  <c r="J6" i="12" s="1"/>
  <c r="G5" i="12"/>
  <c r="I5" i="12" s="1"/>
  <c r="J4" i="12"/>
  <c r="D3" i="12"/>
  <c r="D19" i="12" s="1"/>
  <c r="D75" i="12" s="1"/>
  <c r="D187" i="12" s="1"/>
  <c r="D107" i="12" s="1"/>
  <c r="D139" i="12" s="1"/>
  <c r="D147" i="12" s="1"/>
  <c r="D59" i="12" s="1"/>
  <c r="D163" i="12" s="1"/>
  <c r="D43" i="12" s="1"/>
  <c r="G124" i="11"/>
  <c r="I124" i="11" s="1"/>
  <c r="J124" i="11" s="1"/>
  <c r="N76" i="11"/>
  <c r="N75" i="11"/>
  <c r="N74" i="11" s="1"/>
  <c r="G84" i="11"/>
  <c r="N110" i="11"/>
  <c r="N149" i="11"/>
  <c r="N133" i="11"/>
  <c r="N131" i="11" s="1"/>
  <c r="N43" i="11"/>
  <c r="N44" i="11"/>
  <c r="N45" i="11"/>
  <c r="B171" i="11"/>
  <c r="C171" i="11"/>
  <c r="D171" i="11"/>
  <c r="E171" i="11"/>
  <c r="F171" i="11"/>
  <c r="H171" i="11"/>
  <c r="K171" i="11"/>
  <c r="G172" i="11"/>
  <c r="I172" i="11" s="1"/>
  <c r="I173" i="11"/>
  <c r="J173" i="11" s="1"/>
  <c r="G174" i="11"/>
  <c r="I174" i="11" s="1"/>
  <c r="G175" i="11"/>
  <c r="I175" i="11" s="1"/>
  <c r="J175" i="11" s="1"/>
  <c r="G176" i="11"/>
  <c r="I176" i="11" s="1"/>
  <c r="J176" i="11" s="1"/>
  <c r="G177" i="11"/>
  <c r="I177" i="11" s="1"/>
  <c r="J177" i="11" s="1"/>
  <c r="B163" i="11"/>
  <c r="C163" i="11"/>
  <c r="E163" i="11"/>
  <c r="F163" i="11"/>
  <c r="H163" i="11"/>
  <c r="K163" i="11"/>
  <c r="N163" i="11"/>
  <c r="O163" i="11" s="1"/>
  <c r="G164" i="11"/>
  <c r="I164" i="11" s="1"/>
  <c r="G165" i="11"/>
  <c r="I165" i="11" s="1"/>
  <c r="J165" i="11" s="1"/>
  <c r="G166" i="11"/>
  <c r="I166" i="11" s="1"/>
  <c r="J166" i="11" s="1"/>
  <c r="G167" i="11"/>
  <c r="I167" i="11" s="1"/>
  <c r="J167" i="11" s="1"/>
  <c r="G168" i="11"/>
  <c r="I168" i="11" s="1"/>
  <c r="J168" i="11" s="1"/>
  <c r="G169" i="11"/>
  <c r="I169" i="11" s="1"/>
  <c r="J169" i="11" s="1"/>
  <c r="G170" i="11"/>
  <c r="I170" i="11" s="1"/>
  <c r="J170" i="11" s="1"/>
  <c r="N149" i="10"/>
  <c r="O107" i="10"/>
  <c r="N126" i="10"/>
  <c r="N128" i="10"/>
  <c r="N106" i="10"/>
  <c r="H27" i="10"/>
  <c r="I27" i="10"/>
  <c r="N137" i="10"/>
  <c r="O137" i="10" s="1"/>
  <c r="N143" i="10"/>
  <c r="N42" i="10"/>
  <c r="N107" i="10"/>
  <c r="N76" i="10"/>
  <c r="N16" i="10"/>
  <c r="N15" i="10"/>
  <c r="N13" i="10"/>
  <c r="K27" i="10"/>
  <c r="N38" i="10"/>
  <c r="N39" i="10"/>
  <c r="N40" i="10"/>
  <c r="N125" i="10"/>
  <c r="N122" i="10" s="1"/>
  <c r="O122" i="10" s="1"/>
  <c r="N83" i="10"/>
  <c r="N75" i="10"/>
  <c r="N66" i="10"/>
  <c r="H122" i="10"/>
  <c r="N27" i="10"/>
  <c r="H43" i="10"/>
  <c r="N91" i="10"/>
  <c r="N99" i="10"/>
  <c r="N113" i="10"/>
  <c r="M129" i="10"/>
  <c r="N129" i="10"/>
  <c r="O129" i="10" s="1"/>
  <c r="H115" i="11"/>
  <c r="G122" i="11"/>
  <c r="I122" i="11" s="1"/>
  <c r="J122" i="11" s="1"/>
  <c r="G146" i="11"/>
  <c r="I146" i="11" s="1"/>
  <c r="J146" i="11" s="1"/>
  <c r="G144" i="11"/>
  <c r="I144" i="11" s="1"/>
  <c r="J144" i="11" s="1"/>
  <c r="G143" i="11"/>
  <c r="G142" i="11"/>
  <c r="I142" i="11" s="1"/>
  <c r="J142" i="11" s="1"/>
  <c r="G141" i="11"/>
  <c r="I141" i="11" s="1"/>
  <c r="J141" i="11" s="1"/>
  <c r="G140" i="11"/>
  <c r="I140" i="11" s="1"/>
  <c r="N139" i="11"/>
  <c r="O139" i="11" s="1"/>
  <c r="K139" i="11"/>
  <c r="H139" i="11"/>
  <c r="F139" i="11"/>
  <c r="E139" i="11"/>
  <c r="D139" i="11"/>
  <c r="C139" i="11"/>
  <c r="B139" i="11"/>
  <c r="G138" i="11"/>
  <c r="I138" i="11" s="1"/>
  <c r="J138" i="11" s="1"/>
  <c r="G137" i="11"/>
  <c r="I137" i="11" s="1"/>
  <c r="J137" i="11" s="1"/>
  <c r="G136" i="11"/>
  <c r="I136" i="11" s="1"/>
  <c r="J136" i="11" s="1"/>
  <c r="G135" i="11"/>
  <c r="I135" i="11" s="1"/>
  <c r="G134" i="11"/>
  <c r="I134" i="11" s="1"/>
  <c r="G133" i="11"/>
  <c r="I133" i="11" s="1"/>
  <c r="J133" i="11" s="1"/>
  <c r="G132" i="11"/>
  <c r="I132" i="11" s="1"/>
  <c r="O131" i="11"/>
  <c r="H131" i="11"/>
  <c r="F131" i="11"/>
  <c r="E131" i="11"/>
  <c r="D131" i="11"/>
  <c r="C131" i="11"/>
  <c r="B131" i="11"/>
  <c r="G130" i="11"/>
  <c r="I130" i="11" s="1"/>
  <c r="J130" i="11" s="1"/>
  <c r="G129" i="11"/>
  <c r="I129" i="11" s="1"/>
  <c r="J129" i="11" s="1"/>
  <c r="G128" i="11"/>
  <c r="I128" i="11" s="1"/>
  <c r="J128" i="11" s="1"/>
  <c r="G127" i="11"/>
  <c r="G126" i="11"/>
  <c r="I126" i="11" s="1"/>
  <c r="J126" i="11" s="1"/>
  <c r="G125" i="11"/>
  <c r="I125" i="11" s="1"/>
  <c r="K123" i="11"/>
  <c r="H123" i="11"/>
  <c r="F123" i="11"/>
  <c r="E123" i="11"/>
  <c r="E115" i="11" s="1"/>
  <c r="D123" i="11"/>
  <c r="C123" i="11"/>
  <c r="B123" i="11"/>
  <c r="G121" i="11"/>
  <c r="I121" i="11" s="1"/>
  <c r="J121" i="11" s="1"/>
  <c r="G120" i="11"/>
  <c r="I120" i="11" s="1"/>
  <c r="J120" i="11" s="1"/>
  <c r="G119" i="11"/>
  <c r="I119" i="11" s="1"/>
  <c r="J119" i="11" s="1"/>
  <c r="G118" i="11"/>
  <c r="I118" i="11" s="1"/>
  <c r="J118" i="11" s="1"/>
  <c r="G117" i="11"/>
  <c r="I117" i="11" s="1"/>
  <c r="J117" i="11" s="1"/>
  <c r="G116" i="11"/>
  <c r="I116" i="11" s="1"/>
  <c r="D115" i="11"/>
  <c r="N58" i="10"/>
  <c r="N103" i="10"/>
  <c r="N104" i="10"/>
  <c r="N102" i="10"/>
  <c r="N100" i="10"/>
  <c r="N86" i="10"/>
  <c r="N89" i="10"/>
  <c r="N44" i="10"/>
  <c r="N45" i="10"/>
  <c r="N46" i="10"/>
  <c r="G32" i="10"/>
  <c r="G34" i="10"/>
  <c r="I34" i="10" s="1"/>
  <c r="J34" i="10" s="1"/>
  <c r="J27" i="10" s="1"/>
  <c r="N33" i="10"/>
  <c r="H129" i="10"/>
  <c r="I82" i="10"/>
  <c r="J82" i="10" s="1"/>
  <c r="F11" i="10"/>
  <c r="G144" i="10"/>
  <c r="I144" i="10" s="1"/>
  <c r="J144" i="10" s="1"/>
  <c r="G143" i="10"/>
  <c r="I143" i="10" s="1"/>
  <c r="J143" i="10" s="1"/>
  <c r="G142" i="10"/>
  <c r="I142" i="10" s="1"/>
  <c r="J142" i="10" s="1"/>
  <c r="G141" i="10"/>
  <c r="I141" i="10" s="1"/>
  <c r="J140" i="10"/>
  <c r="G140" i="10"/>
  <c r="G139" i="10"/>
  <c r="I139" i="10" s="1"/>
  <c r="J139" i="10" s="1"/>
  <c r="G138" i="10"/>
  <c r="I138" i="10" s="1"/>
  <c r="K137" i="10"/>
  <c r="H137" i="10"/>
  <c r="F137" i="10"/>
  <c r="E137" i="10"/>
  <c r="D137" i="10"/>
  <c r="C137" i="10"/>
  <c r="B137" i="10"/>
  <c r="N37" i="10"/>
  <c r="H212" i="14" l="1"/>
  <c r="K212" i="14"/>
  <c r="O171" i="14"/>
  <c r="O212" i="14" s="1"/>
  <c r="N212" i="14"/>
  <c r="J156" i="14"/>
  <c r="J155" i="14" s="1"/>
  <c r="M155" i="14" s="1"/>
  <c r="I155" i="14"/>
  <c r="J68" i="14"/>
  <c r="J67" i="14" s="1"/>
  <c r="I67" i="14"/>
  <c r="G75" i="14"/>
  <c r="G59" i="14"/>
  <c r="G27" i="14"/>
  <c r="J11" i="14"/>
  <c r="M11" i="14" s="1"/>
  <c r="G139" i="14"/>
  <c r="G115" i="14"/>
  <c r="G35" i="14"/>
  <c r="G19" i="14"/>
  <c r="G51" i="14"/>
  <c r="G99" i="14"/>
  <c r="G155" i="14"/>
  <c r="G43" i="14"/>
  <c r="G11" i="14"/>
  <c r="G123" i="14"/>
  <c r="G3" i="14"/>
  <c r="I139" i="14"/>
  <c r="G171" i="14"/>
  <c r="J131" i="14"/>
  <c r="M131" i="14" s="1"/>
  <c r="G67" i="14"/>
  <c r="M67" i="14"/>
  <c r="G163" i="14"/>
  <c r="G147" i="14"/>
  <c r="G107" i="14"/>
  <c r="G83" i="14"/>
  <c r="J59" i="14"/>
  <c r="M59" i="14" s="1"/>
  <c r="I123" i="12"/>
  <c r="J77" i="12"/>
  <c r="J67" i="12"/>
  <c r="J23" i="12"/>
  <c r="J19" i="12" s="1"/>
  <c r="I19" i="12"/>
  <c r="G51" i="12"/>
  <c r="B131" i="12"/>
  <c r="B35" i="12" s="1"/>
  <c r="B83" i="12" s="1"/>
  <c r="B123" i="12" s="1"/>
  <c r="B27" i="12" s="1"/>
  <c r="B179" i="12" s="1"/>
  <c r="I145" i="12"/>
  <c r="I38" i="12"/>
  <c r="I131" i="11"/>
  <c r="J134" i="11"/>
  <c r="J107" i="11"/>
  <c r="J108" i="12"/>
  <c r="J28" i="12"/>
  <c r="J148" i="12"/>
  <c r="J140" i="12"/>
  <c r="O123" i="11"/>
  <c r="N50" i="11"/>
  <c r="O50" i="11" s="1"/>
  <c r="J180" i="11"/>
  <c r="J179" i="11" s="1"/>
  <c r="M179" i="11" s="1"/>
  <c r="I179" i="11"/>
  <c r="I171" i="11"/>
  <c r="N34" i="11"/>
  <c r="O34" i="11" s="1"/>
  <c r="N98" i="11"/>
  <c r="O98" i="11" s="1"/>
  <c r="J135" i="11"/>
  <c r="G171" i="11"/>
  <c r="G163" i="11"/>
  <c r="I123" i="14"/>
  <c r="I131" i="14"/>
  <c r="J92" i="14"/>
  <c r="J91" i="14" s="1"/>
  <c r="M91" i="14" s="1"/>
  <c r="I91" i="14"/>
  <c r="I99" i="14"/>
  <c r="J100" i="14"/>
  <c r="J99" i="14" s="1"/>
  <c r="M99" i="14" s="1"/>
  <c r="I75" i="14"/>
  <c r="J76" i="14"/>
  <c r="J75" i="14" s="1"/>
  <c r="I107" i="14"/>
  <c r="J108" i="14"/>
  <c r="J107" i="14" s="1"/>
  <c r="M107" i="14" s="1"/>
  <c r="J52" i="14"/>
  <c r="J51" i="14" s="1"/>
  <c r="M51" i="14" s="1"/>
  <c r="I51" i="14"/>
  <c r="I83" i="14"/>
  <c r="J84" i="14"/>
  <c r="J83" i="14" s="1"/>
  <c r="M83" i="14" s="1"/>
  <c r="I35" i="14"/>
  <c r="J36" i="14"/>
  <c r="J35" i="14" s="1"/>
  <c r="M35" i="14" s="1"/>
  <c r="I43" i="14"/>
  <c r="J44" i="14"/>
  <c r="J43" i="14" s="1"/>
  <c r="M43" i="14" s="1"/>
  <c r="J115" i="14"/>
  <c r="M115" i="14" s="1"/>
  <c r="I163" i="14"/>
  <c r="J170" i="14"/>
  <c r="J163" i="14" s="1"/>
  <c r="M163" i="14" s="1"/>
  <c r="I11" i="14"/>
  <c r="J28" i="14"/>
  <c r="I3" i="14"/>
  <c r="J5" i="14"/>
  <c r="J3" i="14" s="1"/>
  <c r="J20" i="14"/>
  <c r="J19" i="14" s="1"/>
  <c r="M19" i="14" s="1"/>
  <c r="I59" i="14"/>
  <c r="I115" i="14"/>
  <c r="J124" i="14"/>
  <c r="J123" i="14" s="1"/>
  <c r="M123" i="14" s="1"/>
  <c r="J172" i="14"/>
  <c r="J140" i="14"/>
  <c r="J139" i="14" s="1"/>
  <c r="M139" i="14" s="1"/>
  <c r="J148" i="14"/>
  <c r="G11" i="12"/>
  <c r="J60" i="12"/>
  <c r="J20" i="12"/>
  <c r="J117" i="12"/>
  <c r="J132" i="12"/>
  <c r="J29" i="12"/>
  <c r="J100" i="12"/>
  <c r="J109" i="12"/>
  <c r="J53" i="12"/>
  <c r="J12" i="12"/>
  <c r="J124" i="12"/>
  <c r="J84" i="12"/>
  <c r="J68" i="12"/>
  <c r="G115" i="12"/>
  <c r="J5" i="12"/>
  <c r="J92" i="12"/>
  <c r="J44" i="12"/>
  <c r="I127" i="11"/>
  <c r="J127" i="11" s="1"/>
  <c r="J172" i="11"/>
  <c r="J171" i="11" s="1"/>
  <c r="M171" i="11" s="1"/>
  <c r="J164" i="11"/>
  <c r="J163" i="11" s="1"/>
  <c r="M163" i="11" s="1"/>
  <c r="I163" i="11"/>
  <c r="I143" i="11"/>
  <c r="J143" i="11" s="1"/>
  <c r="N11" i="10"/>
  <c r="O11" i="10" s="1"/>
  <c r="G139" i="11"/>
  <c r="I115" i="11"/>
  <c r="G123" i="11"/>
  <c r="G131" i="11"/>
  <c r="J125" i="11"/>
  <c r="J116" i="11"/>
  <c r="J115" i="11" s="1"/>
  <c r="M115" i="11" s="1"/>
  <c r="J140" i="11"/>
  <c r="J139" i="11" s="1"/>
  <c r="J132" i="11"/>
  <c r="G115" i="11"/>
  <c r="G137" i="10"/>
  <c r="I137" i="10"/>
  <c r="J138" i="10"/>
  <c r="J137" i="10" s="1"/>
  <c r="M137" i="10" s="1"/>
  <c r="N145" i="10"/>
  <c r="O145" i="10" s="1"/>
  <c r="N61" i="10"/>
  <c r="N3" i="10"/>
  <c r="O3" i="10" s="1"/>
  <c r="G7" i="10"/>
  <c r="I7" i="10" s="1"/>
  <c r="J7" i="10" s="1"/>
  <c r="I8" i="10"/>
  <c r="J8" i="10" s="1"/>
  <c r="L153" i="10"/>
  <c r="G152" i="10"/>
  <c r="I152" i="10" s="1"/>
  <c r="J152" i="10" s="1"/>
  <c r="G150" i="10"/>
  <c r="I150" i="10" s="1"/>
  <c r="J150" i="10" s="1"/>
  <c r="G149" i="10"/>
  <c r="I149" i="10" s="1"/>
  <c r="J149" i="10" s="1"/>
  <c r="G148" i="10"/>
  <c r="I148" i="10" s="1"/>
  <c r="J148" i="10" s="1"/>
  <c r="G147" i="10"/>
  <c r="I147" i="10" s="1"/>
  <c r="J147" i="10" s="1"/>
  <c r="G146" i="10"/>
  <c r="I146" i="10" s="1"/>
  <c r="K145" i="10"/>
  <c r="H145" i="10"/>
  <c r="F145" i="10"/>
  <c r="E145" i="10"/>
  <c r="D145" i="10"/>
  <c r="C145" i="10"/>
  <c r="B145" i="10"/>
  <c r="I212" i="14" l="1"/>
  <c r="M27" i="14"/>
  <c r="J147" i="14"/>
  <c r="M147" i="14" s="1"/>
  <c r="J171" i="14"/>
  <c r="J212" i="14" s="1"/>
  <c r="M75" i="14"/>
  <c r="G123" i="12"/>
  <c r="G83" i="12"/>
  <c r="G35" i="12"/>
  <c r="G131" i="12"/>
  <c r="G27" i="12"/>
  <c r="G179" i="12"/>
  <c r="B67" i="12"/>
  <c r="J131" i="11"/>
  <c r="M131" i="11" s="1"/>
  <c r="J123" i="11"/>
  <c r="M123" i="11" s="1"/>
  <c r="I123" i="11"/>
  <c r="M3" i="14"/>
  <c r="I139" i="11"/>
  <c r="M139" i="11"/>
  <c r="N35" i="10"/>
  <c r="O35" i="10" s="1"/>
  <c r="G145" i="10"/>
  <c r="I145" i="10"/>
  <c r="J146" i="10"/>
  <c r="J145" i="10" s="1"/>
  <c r="M145" i="10" s="1"/>
  <c r="M171" i="14" l="1"/>
  <c r="M212" i="14" s="1"/>
  <c r="B91" i="12"/>
  <c r="G67" i="12"/>
  <c r="N106" i="8"/>
  <c r="N71" i="8"/>
  <c r="N66" i="8"/>
  <c r="N65" i="8"/>
  <c r="N59" i="8" s="1"/>
  <c r="N74" i="8"/>
  <c r="N102" i="8"/>
  <c r="N99" i="8" s="1"/>
  <c r="H114" i="8"/>
  <c r="H122" i="8"/>
  <c r="D122" i="8"/>
  <c r="J57" i="8"/>
  <c r="I57" i="8"/>
  <c r="N18" i="8"/>
  <c r="H3" i="8"/>
  <c r="J33" i="8"/>
  <c r="G33" i="8"/>
  <c r="I33" i="8" s="1"/>
  <c r="N83" i="8"/>
  <c r="N75" i="8"/>
  <c r="O75" i="8" s="1"/>
  <c r="N27" i="8"/>
  <c r="N67" i="8"/>
  <c r="N3" i="8"/>
  <c r="O3" i="8" s="1"/>
  <c r="C122" i="8"/>
  <c r="E122" i="8"/>
  <c r="F122" i="8"/>
  <c r="B122" i="8"/>
  <c r="G122" i="8" s="1"/>
  <c r="B114" i="8"/>
  <c r="C114" i="8"/>
  <c r="D114" i="8"/>
  <c r="E114" i="8"/>
  <c r="F114" i="8"/>
  <c r="N47" i="8"/>
  <c r="N120" i="8"/>
  <c r="N126" i="8"/>
  <c r="N122" i="8" s="1"/>
  <c r="O122" i="8" s="1"/>
  <c r="N127" i="8"/>
  <c r="N40" i="8"/>
  <c r="N93" i="8"/>
  <c r="N91" i="8" s="1"/>
  <c r="N98" i="8"/>
  <c r="N89" i="8"/>
  <c r="J82" i="8"/>
  <c r="J74" i="8"/>
  <c r="G17" i="8"/>
  <c r="N12" i="8"/>
  <c r="N16" i="8"/>
  <c r="G162" i="11"/>
  <c r="I162" i="11" s="1"/>
  <c r="J162" i="11" s="1"/>
  <c r="G161" i="11"/>
  <c r="I161" i="11" s="1"/>
  <c r="J161" i="11" s="1"/>
  <c r="G160" i="11"/>
  <c r="I160" i="11" s="1"/>
  <c r="J160" i="11" s="1"/>
  <c r="G159" i="11"/>
  <c r="G158" i="11"/>
  <c r="I158" i="11" s="1"/>
  <c r="J158" i="11" s="1"/>
  <c r="G157" i="11"/>
  <c r="G156" i="11"/>
  <c r="I156" i="11" s="1"/>
  <c r="N155" i="11"/>
  <c r="O155" i="11" s="1"/>
  <c r="K155" i="11"/>
  <c r="H155" i="11"/>
  <c r="F155" i="11"/>
  <c r="E155" i="11"/>
  <c r="D155" i="11"/>
  <c r="C155" i="11"/>
  <c r="B155" i="11"/>
  <c r="G153" i="11"/>
  <c r="G152" i="11"/>
  <c r="G151" i="11"/>
  <c r="G150" i="11"/>
  <c r="G149" i="11"/>
  <c r="G148" i="11"/>
  <c r="I148" i="11" s="1"/>
  <c r="O147" i="11"/>
  <c r="D147" i="11"/>
  <c r="G114" i="11"/>
  <c r="I114" i="11" s="1"/>
  <c r="G113" i="11"/>
  <c r="I113" i="11" s="1"/>
  <c r="J113" i="11" s="1"/>
  <c r="G112" i="11"/>
  <c r="I112" i="11" s="1"/>
  <c r="J112" i="11" s="1"/>
  <c r="G111" i="11"/>
  <c r="I111" i="11" s="1"/>
  <c r="J111" i="11" s="1"/>
  <c r="G110" i="11"/>
  <c r="I110" i="11" s="1"/>
  <c r="J110" i="11" s="1"/>
  <c r="G109" i="11"/>
  <c r="I109" i="11" s="1"/>
  <c r="J109" i="11" s="1"/>
  <c r="G108" i="11"/>
  <c r="I108" i="11" s="1"/>
  <c r="O106" i="11"/>
  <c r="D106" i="11"/>
  <c r="G105" i="11"/>
  <c r="I105" i="11" s="1"/>
  <c r="J105" i="11" s="1"/>
  <c r="G104" i="11"/>
  <c r="I104" i="11" s="1"/>
  <c r="J104" i="11" s="1"/>
  <c r="G103" i="11"/>
  <c r="I103" i="11" s="1"/>
  <c r="J103" i="11" s="1"/>
  <c r="G102" i="11"/>
  <c r="I102" i="11" s="1"/>
  <c r="J102" i="11" s="1"/>
  <c r="G101" i="11"/>
  <c r="I101" i="11" s="1"/>
  <c r="J101" i="11" s="1"/>
  <c r="G100" i="11"/>
  <c r="I100" i="11" s="1"/>
  <c r="J100" i="11" s="1"/>
  <c r="G99" i="11"/>
  <c r="I99" i="11" s="1"/>
  <c r="K98" i="11"/>
  <c r="H98" i="11"/>
  <c r="F98" i="11"/>
  <c r="E98" i="11"/>
  <c r="C98" i="11"/>
  <c r="B98" i="11"/>
  <c r="G97" i="11"/>
  <c r="I97" i="11" s="1"/>
  <c r="J97" i="11" s="1"/>
  <c r="G96" i="11"/>
  <c r="I96" i="11" s="1"/>
  <c r="J96" i="11" s="1"/>
  <c r="G95" i="11"/>
  <c r="I95" i="11" s="1"/>
  <c r="J95" i="11" s="1"/>
  <c r="G94" i="11"/>
  <c r="I94" i="11" s="1"/>
  <c r="J94" i="11" s="1"/>
  <c r="G93" i="11"/>
  <c r="I93" i="11" s="1"/>
  <c r="J93" i="11" s="1"/>
  <c r="G92" i="11"/>
  <c r="I92" i="11" s="1"/>
  <c r="J92" i="11" s="1"/>
  <c r="G91" i="11"/>
  <c r="I91" i="11" s="1"/>
  <c r="N90" i="11"/>
  <c r="O90" i="11" s="1"/>
  <c r="K90" i="11"/>
  <c r="H90" i="11"/>
  <c r="F90" i="11"/>
  <c r="E90" i="11"/>
  <c r="C90" i="11"/>
  <c r="B90" i="11"/>
  <c r="G89" i="11"/>
  <c r="I89" i="11" s="1"/>
  <c r="J89" i="11" s="1"/>
  <c r="G88" i="11"/>
  <c r="I88" i="11" s="1"/>
  <c r="J88" i="11" s="1"/>
  <c r="G87" i="11"/>
  <c r="I87" i="11" s="1"/>
  <c r="J87" i="11" s="1"/>
  <c r="G86" i="11"/>
  <c r="I86" i="11" s="1"/>
  <c r="J86" i="11" s="1"/>
  <c r="G85" i="11"/>
  <c r="I85" i="11" s="1"/>
  <c r="J85" i="11" s="1"/>
  <c r="I84" i="11"/>
  <c r="G83" i="11"/>
  <c r="I83" i="11" s="1"/>
  <c r="J83" i="11" s="1"/>
  <c r="O82" i="11"/>
  <c r="K82" i="11"/>
  <c r="H82" i="11"/>
  <c r="F82" i="11"/>
  <c r="E82" i="11"/>
  <c r="D82" i="11"/>
  <c r="C82" i="11"/>
  <c r="B82" i="11"/>
  <c r="G80" i="11"/>
  <c r="I80" i="11" s="1"/>
  <c r="J80" i="11" s="1"/>
  <c r="G79" i="11"/>
  <c r="I79" i="11" s="1"/>
  <c r="J79" i="11" s="1"/>
  <c r="G78" i="11"/>
  <c r="I78" i="11" s="1"/>
  <c r="J78" i="11" s="1"/>
  <c r="G77" i="11"/>
  <c r="I77" i="11" s="1"/>
  <c r="J77" i="11" s="1"/>
  <c r="G76" i="11"/>
  <c r="I76" i="11" s="1"/>
  <c r="J76" i="11" s="1"/>
  <c r="G75" i="11"/>
  <c r="I75" i="11" s="1"/>
  <c r="J75" i="11" s="1"/>
  <c r="O74" i="11"/>
  <c r="K74" i="11"/>
  <c r="H74" i="11"/>
  <c r="F74" i="11"/>
  <c r="E74" i="11"/>
  <c r="D74" i="11"/>
  <c r="C74" i="11"/>
  <c r="B74" i="11"/>
  <c r="G72" i="11"/>
  <c r="I72" i="11" s="1"/>
  <c r="J72" i="11" s="1"/>
  <c r="G71" i="11"/>
  <c r="I71" i="11" s="1"/>
  <c r="J71" i="11" s="1"/>
  <c r="G70" i="11"/>
  <c r="I70" i="11" s="1"/>
  <c r="J70" i="11" s="1"/>
  <c r="G69" i="11"/>
  <c r="I69" i="11" s="1"/>
  <c r="J69" i="11" s="1"/>
  <c r="G68" i="11"/>
  <c r="I68" i="11" s="1"/>
  <c r="J68" i="11" s="1"/>
  <c r="G67" i="11"/>
  <c r="I67" i="11" s="1"/>
  <c r="K66" i="11"/>
  <c r="H66" i="11"/>
  <c r="F66" i="11"/>
  <c r="E66" i="11"/>
  <c r="D66" i="11"/>
  <c r="C66" i="11"/>
  <c r="B66" i="11"/>
  <c r="G65" i="11"/>
  <c r="I65" i="11" s="1"/>
  <c r="J65" i="11" s="1"/>
  <c r="G64" i="11"/>
  <c r="I64" i="11" s="1"/>
  <c r="J64" i="11" s="1"/>
  <c r="G63" i="11"/>
  <c r="I63" i="11" s="1"/>
  <c r="J63" i="11" s="1"/>
  <c r="G62" i="11"/>
  <c r="I62" i="11" s="1"/>
  <c r="J62" i="11" s="1"/>
  <c r="G61" i="11"/>
  <c r="I61" i="11" s="1"/>
  <c r="J61" i="11" s="1"/>
  <c r="G60" i="11"/>
  <c r="I60" i="11" s="1"/>
  <c r="J60" i="11" s="1"/>
  <c r="G59" i="11"/>
  <c r="I59" i="11" s="1"/>
  <c r="K58" i="11"/>
  <c r="H58" i="11"/>
  <c r="F58" i="11"/>
  <c r="E58" i="11"/>
  <c r="D58" i="11"/>
  <c r="C58" i="11"/>
  <c r="B58" i="11"/>
  <c r="J57" i="11"/>
  <c r="J55" i="11"/>
  <c r="J54" i="11"/>
  <c r="G52" i="11"/>
  <c r="I52" i="11" s="1"/>
  <c r="J52" i="11" s="1"/>
  <c r="G51" i="11"/>
  <c r="I51" i="11" s="1"/>
  <c r="H50" i="11"/>
  <c r="F50" i="11"/>
  <c r="E50" i="11"/>
  <c r="D50" i="11"/>
  <c r="C50" i="11"/>
  <c r="B50" i="11"/>
  <c r="G49" i="11"/>
  <c r="I49" i="11" s="1"/>
  <c r="J49" i="11" s="1"/>
  <c r="G48" i="11"/>
  <c r="I48" i="11" s="1"/>
  <c r="J48" i="11" s="1"/>
  <c r="G47" i="11"/>
  <c r="I47" i="11" s="1"/>
  <c r="J47" i="11" s="1"/>
  <c r="G46" i="11"/>
  <c r="I46" i="11" s="1"/>
  <c r="J46" i="11" s="1"/>
  <c r="G45" i="11"/>
  <c r="I45" i="11" s="1"/>
  <c r="J45" i="11" s="1"/>
  <c r="G44" i="11"/>
  <c r="I44" i="11" s="1"/>
  <c r="G43" i="11"/>
  <c r="I43" i="11" s="1"/>
  <c r="J43" i="11" s="1"/>
  <c r="N42" i="11"/>
  <c r="O42" i="11" s="1"/>
  <c r="K42" i="11"/>
  <c r="H42" i="11"/>
  <c r="F42" i="11"/>
  <c r="E42" i="11"/>
  <c r="D42" i="11"/>
  <c r="C42" i="11"/>
  <c r="B42" i="11"/>
  <c r="I41" i="11"/>
  <c r="J41" i="11" s="1"/>
  <c r="G40" i="11"/>
  <c r="I40" i="11" s="1"/>
  <c r="J40" i="11" s="1"/>
  <c r="G39" i="11"/>
  <c r="I39" i="11" s="1"/>
  <c r="J39" i="11" s="1"/>
  <c r="G38" i="11"/>
  <c r="I38" i="11" s="1"/>
  <c r="J38" i="11" s="1"/>
  <c r="G37" i="11"/>
  <c r="I37" i="11" s="1"/>
  <c r="J37" i="11" s="1"/>
  <c r="G36" i="11"/>
  <c r="I36" i="11" s="1"/>
  <c r="J36" i="11" s="1"/>
  <c r="G35" i="11"/>
  <c r="I35" i="11" s="1"/>
  <c r="K34" i="11"/>
  <c r="H34" i="11"/>
  <c r="F34" i="11"/>
  <c r="E34" i="11"/>
  <c r="D34" i="11"/>
  <c r="C34" i="11"/>
  <c r="B34" i="11"/>
  <c r="G33" i="11"/>
  <c r="I33" i="11" s="1"/>
  <c r="J33" i="11" s="1"/>
  <c r="G32" i="11"/>
  <c r="I32" i="11" s="1"/>
  <c r="J32" i="11" s="1"/>
  <c r="G31" i="11"/>
  <c r="I31" i="11" s="1"/>
  <c r="J31" i="11" s="1"/>
  <c r="G30" i="11"/>
  <c r="I30" i="11" s="1"/>
  <c r="J30" i="11" s="1"/>
  <c r="G29" i="11"/>
  <c r="I29" i="11" s="1"/>
  <c r="J29" i="11" s="1"/>
  <c r="G28" i="11"/>
  <c r="I28" i="11" s="1"/>
  <c r="I27" i="11" s="1"/>
  <c r="K27" i="11"/>
  <c r="H27" i="11"/>
  <c r="E27" i="11"/>
  <c r="D27" i="11"/>
  <c r="C27" i="11"/>
  <c r="B27" i="11"/>
  <c r="G26" i="11"/>
  <c r="I26" i="11" s="1"/>
  <c r="J26" i="11" s="1"/>
  <c r="G25" i="11"/>
  <c r="I25" i="11" s="1"/>
  <c r="J25" i="11" s="1"/>
  <c r="G24" i="11"/>
  <c r="I24" i="11" s="1"/>
  <c r="J24" i="11" s="1"/>
  <c r="G23" i="11"/>
  <c r="I23" i="11" s="1"/>
  <c r="J23" i="11" s="1"/>
  <c r="G22" i="11"/>
  <c r="I22" i="11" s="1"/>
  <c r="J22" i="11" s="1"/>
  <c r="G21" i="11"/>
  <c r="I21" i="11" s="1"/>
  <c r="J21" i="11" s="1"/>
  <c r="G20" i="11"/>
  <c r="I20" i="11" s="1"/>
  <c r="N19" i="11"/>
  <c r="O19" i="11" s="1"/>
  <c r="K19" i="11"/>
  <c r="F19" i="11"/>
  <c r="D19" i="11"/>
  <c r="G18" i="11"/>
  <c r="I18" i="11" s="1"/>
  <c r="J18" i="11" s="1"/>
  <c r="G17" i="11"/>
  <c r="I17" i="11" s="1"/>
  <c r="J17" i="11" s="1"/>
  <c r="G16" i="11"/>
  <c r="I16" i="11" s="1"/>
  <c r="J16" i="11" s="1"/>
  <c r="G15" i="11"/>
  <c r="I15" i="11" s="1"/>
  <c r="J15" i="11" s="1"/>
  <c r="G14" i="11"/>
  <c r="I14" i="11" s="1"/>
  <c r="J14" i="11" s="1"/>
  <c r="G13" i="11"/>
  <c r="I13" i="11" s="1"/>
  <c r="J13" i="11" s="1"/>
  <c r="G12" i="11"/>
  <c r="I12" i="11" s="1"/>
  <c r="N11" i="11"/>
  <c r="K11" i="11"/>
  <c r="H11" i="11"/>
  <c r="F11" i="11"/>
  <c r="E11" i="11"/>
  <c r="D11" i="11"/>
  <c r="C11" i="11"/>
  <c r="B11" i="11"/>
  <c r="G10" i="11"/>
  <c r="I10" i="11" s="1"/>
  <c r="G9" i="11"/>
  <c r="I9" i="11" s="1"/>
  <c r="J9" i="11" s="1"/>
  <c r="G8" i="11"/>
  <c r="I8" i="11" s="1"/>
  <c r="J8" i="11" s="1"/>
  <c r="G6" i="11"/>
  <c r="I6" i="11" s="1"/>
  <c r="J6" i="11" s="1"/>
  <c r="G5" i="11"/>
  <c r="I5" i="11" s="1"/>
  <c r="J4" i="11"/>
  <c r="H3" i="11"/>
  <c r="F3" i="11"/>
  <c r="E3" i="11"/>
  <c r="D3" i="11"/>
  <c r="B3" i="11"/>
  <c r="L130" i="8"/>
  <c r="O27" i="8"/>
  <c r="G129" i="8"/>
  <c r="I129" i="8" s="1"/>
  <c r="J129" i="8" s="1"/>
  <c r="G128" i="8"/>
  <c r="I128" i="8" s="1"/>
  <c r="J128" i="8" s="1"/>
  <c r="G127" i="8"/>
  <c r="I127" i="8" s="1"/>
  <c r="J127" i="8" s="1"/>
  <c r="G126" i="8"/>
  <c r="I126" i="8" s="1"/>
  <c r="J126" i="8" s="1"/>
  <c r="J125" i="8"/>
  <c r="G125" i="8"/>
  <c r="G124" i="8"/>
  <c r="I124" i="8" s="1"/>
  <c r="J124" i="8" s="1"/>
  <c r="G123" i="8"/>
  <c r="I123" i="8" s="1"/>
  <c r="K122" i="8"/>
  <c r="F35" i="10"/>
  <c r="F91" i="10"/>
  <c r="F99" i="10"/>
  <c r="F122" i="10"/>
  <c r="F107" i="10"/>
  <c r="G136" i="10"/>
  <c r="I136" i="10" s="1"/>
  <c r="J136" i="10" s="1"/>
  <c r="G135" i="10"/>
  <c r="I135" i="10" s="1"/>
  <c r="J135" i="10" s="1"/>
  <c r="G134" i="10"/>
  <c r="I134" i="10" s="1"/>
  <c r="G133" i="10"/>
  <c r="I133" i="10" s="1"/>
  <c r="J133" i="10" s="1"/>
  <c r="J132" i="10"/>
  <c r="G132" i="10"/>
  <c r="G131" i="10"/>
  <c r="I131" i="10" s="1"/>
  <c r="J131" i="10" s="1"/>
  <c r="G130" i="10"/>
  <c r="I130" i="10" s="1"/>
  <c r="J130" i="10" s="1"/>
  <c r="K129" i="10"/>
  <c r="K122" i="10" s="1"/>
  <c r="F129" i="10"/>
  <c r="E129" i="10"/>
  <c r="D129" i="10"/>
  <c r="C129" i="10"/>
  <c r="C122" i="10" s="1"/>
  <c r="B129" i="10"/>
  <c r="G128" i="10"/>
  <c r="I128" i="10" s="1"/>
  <c r="J128" i="10" s="1"/>
  <c r="G127" i="10"/>
  <c r="I127" i="10" s="1"/>
  <c r="G126" i="10"/>
  <c r="I126" i="10" s="1"/>
  <c r="J126" i="10" s="1"/>
  <c r="G125" i="10"/>
  <c r="I125" i="10" s="1"/>
  <c r="J125" i="10" s="1"/>
  <c r="G124" i="10"/>
  <c r="I124" i="10" s="1"/>
  <c r="J124" i="10" s="1"/>
  <c r="G123" i="10"/>
  <c r="I123" i="10" s="1"/>
  <c r="J123" i="10" s="1"/>
  <c r="E122" i="10"/>
  <c r="D122" i="10"/>
  <c r="H114" i="10"/>
  <c r="H107" i="10"/>
  <c r="D114" i="10"/>
  <c r="C114" i="10"/>
  <c r="C107" i="10" s="1"/>
  <c r="E114" i="10"/>
  <c r="F114" i="10"/>
  <c r="B114" i="10"/>
  <c r="B107" i="10" s="1"/>
  <c r="G121" i="10"/>
  <c r="I121" i="10" s="1"/>
  <c r="J121" i="10" s="1"/>
  <c r="G120" i="10"/>
  <c r="I120" i="10" s="1"/>
  <c r="J120" i="10" s="1"/>
  <c r="G119" i="10"/>
  <c r="I119" i="10" s="1"/>
  <c r="J119" i="10" s="1"/>
  <c r="G118" i="10"/>
  <c r="I118" i="10" s="1"/>
  <c r="J117" i="10"/>
  <c r="G117" i="10"/>
  <c r="G116" i="10"/>
  <c r="I116" i="10" s="1"/>
  <c r="J116" i="10" s="1"/>
  <c r="G115" i="10"/>
  <c r="I115" i="10" s="1"/>
  <c r="J115" i="10" s="1"/>
  <c r="N114" i="10"/>
  <c r="O114" i="10" s="1"/>
  <c r="K114" i="10"/>
  <c r="K107" i="10" s="1"/>
  <c r="G113" i="10"/>
  <c r="I113" i="10" s="1"/>
  <c r="J113" i="10" s="1"/>
  <c r="G112" i="10"/>
  <c r="I112" i="10" s="1"/>
  <c r="J112" i="10" s="1"/>
  <c r="G111" i="10"/>
  <c r="I111" i="10" s="1"/>
  <c r="J111" i="10" s="1"/>
  <c r="G110" i="10"/>
  <c r="I110" i="10" s="1"/>
  <c r="J110" i="10" s="1"/>
  <c r="G109" i="10"/>
  <c r="I109" i="10" s="1"/>
  <c r="J109" i="10" s="1"/>
  <c r="G108" i="10"/>
  <c r="I108" i="10" s="1"/>
  <c r="E107" i="10"/>
  <c r="D107" i="10"/>
  <c r="G106" i="10"/>
  <c r="I106" i="10" s="1"/>
  <c r="J106" i="10" s="1"/>
  <c r="G105" i="10"/>
  <c r="I105" i="10" s="1"/>
  <c r="J105" i="10" s="1"/>
  <c r="G104" i="10"/>
  <c r="I104" i="10" s="1"/>
  <c r="J104" i="10" s="1"/>
  <c r="G103" i="10"/>
  <c r="I103" i="10" s="1"/>
  <c r="J103" i="10" s="1"/>
  <c r="G102" i="10"/>
  <c r="I102" i="10" s="1"/>
  <c r="J102" i="10" s="1"/>
  <c r="G101" i="10"/>
  <c r="I101" i="10" s="1"/>
  <c r="J101" i="10" s="1"/>
  <c r="G100" i="10"/>
  <c r="I100" i="10" s="1"/>
  <c r="O99" i="10"/>
  <c r="K99" i="10"/>
  <c r="H99" i="10"/>
  <c r="E99" i="10"/>
  <c r="C99" i="10"/>
  <c r="B99" i="10"/>
  <c r="G98" i="10"/>
  <c r="I98" i="10" s="1"/>
  <c r="J98" i="10" s="1"/>
  <c r="G97" i="10"/>
  <c r="I97" i="10" s="1"/>
  <c r="J97" i="10" s="1"/>
  <c r="G96" i="10"/>
  <c r="I96" i="10" s="1"/>
  <c r="J96" i="10" s="1"/>
  <c r="G95" i="10"/>
  <c r="I95" i="10" s="1"/>
  <c r="J95" i="10" s="1"/>
  <c r="G94" i="10"/>
  <c r="I94" i="10" s="1"/>
  <c r="J94" i="10" s="1"/>
  <c r="G93" i="10"/>
  <c r="I93" i="10" s="1"/>
  <c r="J93" i="10" s="1"/>
  <c r="G92" i="10"/>
  <c r="I92" i="10" s="1"/>
  <c r="O91" i="10"/>
  <c r="K91" i="10"/>
  <c r="H91" i="10"/>
  <c r="E91" i="10"/>
  <c r="C91" i="10"/>
  <c r="B91" i="10"/>
  <c r="G90" i="10"/>
  <c r="I90" i="10" s="1"/>
  <c r="J90" i="10" s="1"/>
  <c r="G89" i="10"/>
  <c r="I89" i="10" s="1"/>
  <c r="J89" i="10" s="1"/>
  <c r="G88" i="10"/>
  <c r="I88" i="10" s="1"/>
  <c r="J88" i="10" s="1"/>
  <c r="G87" i="10"/>
  <c r="I87" i="10" s="1"/>
  <c r="J87" i="10" s="1"/>
  <c r="G86" i="10"/>
  <c r="I86" i="10" s="1"/>
  <c r="J86" i="10" s="1"/>
  <c r="G85" i="10"/>
  <c r="I85" i="10" s="1"/>
  <c r="J85" i="10" s="1"/>
  <c r="G84" i="10"/>
  <c r="I84" i="10" s="1"/>
  <c r="J84" i="10" s="1"/>
  <c r="O83" i="10"/>
  <c r="K83" i="10"/>
  <c r="H83" i="10"/>
  <c r="F83" i="10"/>
  <c r="E83" i="10"/>
  <c r="D83" i="10"/>
  <c r="C83" i="10"/>
  <c r="B83" i="10"/>
  <c r="G81" i="10"/>
  <c r="I81" i="10" s="1"/>
  <c r="J81" i="10" s="1"/>
  <c r="G80" i="10"/>
  <c r="I80" i="10" s="1"/>
  <c r="J80" i="10" s="1"/>
  <c r="G79" i="10"/>
  <c r="I79" i="10" s="1"/>
  <c r="J79" i="10" s="1"/>
  <c r="G78" i="10"/>
  <c r="I78" i="10" s="1"/>
  <c r="J78" i="10" s="1"/>
  <c r="G77" i="10"/>
  <c r="I77" i="10" s="1"/>
  <c r="J77" i="10" s="1"/>
  <c r="G76" i="10"/>
  <c r="I76" i="10" s="1"/>
  <c r="O75" i="10"/>
  <c r="K75" i="10"/>
  <c r="H75" i="10"/>
  <c r="F75" i="10"/>
  <c r="E75" i="10"/>
  <c r="D75" i="10"/>
  <c r="C75" i="10"/>
  <c r="B75" i="10"/>
  <c r="G73" i="10"/>
  <c r="I73" i="10" s="1"/>
  <c r="G72" i="10"/>
  <c r="I72" i="10" s="1"/>
  <c r="J72" i="10" s="1"/>
  <c r="G71" i="10"/>
  <c r="I71" i="10" s="1"/>
  <c r="G70" i="10"/>
  <c r="I70" i="10" s="1"/>
  <c r="G68" i="10"/>
  <c r="I68" i="10" s="1"/>
  <c r="J68" i="10" s="1"/>
  <c r="N67" i="10"/>
  <c r="O67" i="10" s="1"/>
  <c r="K67" i="10"/>
  <c r="H67" i="10"/>
  <c r="F67" i="10"/>
  <c r="E67" i="10"/>
  <c r="D67" i="10"/>
  <c r="C67" i="10"/>
  <c r="B67" i="10"/>
  <c r="G66" i="10"/>
  <c r="I66" i="10" s="1"/>
  <c r="J66" i="10" s="1"/>
  <c r="G65" i="10"/>
  <c r="I65" i="10" s="1"/>
  <c r="J65" i="10" s="1"/>
  <c r="G64" i="10"/>
  <c r="I64" i="10" s="1"/>
  <c r="J64" i="10" s="1"/>
  <c r="G63" i="10"/>
  <c r="G62" i="10"/>
  <c r="I62" i="10" s="1"/>
  <c r="J62" i="10" s="1"/>
  <c r="G61" i="10"/>
  <c r="I61" i="10" s="1"/>
  <c r="J61" i="10" s="1"/>
  <c r="G60" i="10"/>
  <c r="I60" i="10" s="1"/>
  <c r="N59" i="10"/>
  <c r="O59" i="10" s="1"/>
  <c r="K59" i="10"/>
  <c r="H59" i="10"/>
  <c r="F59" i="10"/>
  <c r="E59" i="10"/>
  <c r="D59" i="10"/>
  <c r="C59" i="10"/>
  <c r="B59" i="10"/>
  <c r="G58" i="10"/>
  <c r="I58" i="10" s="1"/>
  <c r="J58" i="10" s="1"/>
  <c r="G57" i="10"/>
  <c r="I57" i="10" s="1"/>
  <c r="J57" i="10" s="1"/>
  <c r="G56" i="10"/>
  <c r="I56" i="10" s="1"/>
  <c r="J56" i="10" s="1"/>
  <c r="N51" i="10"/>
  <c r="O51" i="10" s="1"/>
  <c r="G55" i="10"/>
  <c r="G54" i="10"/>
  <c r="I54" i="10" s="1"/>
  <c r="J54" i="10" s="1"/>
  <c r="G53" i="10"/>
  <c r="I53" i="10" s="1"/>
  <c r="J53" i="10" s="1"/>
  <c r="G52" i="10"/>
  <c r="I52" i="10" s="1"/>
  <c r="K51" i="10"/>
  <c r="H51" i="10"/>
  <c r="F51" i="10"/>
  <c r="E51" i="10"/>
  <c r="D51" i="10"/>
  <c r="C51" i="10"/>
  <c r="B51" i="10"/>
  <c r="G50" i="10"/>
  <c r="I50" i="10" s="1"/>
  <c r="J50" i="10" s="1"/>
  <c r="G49" i="10"/>
  <c r="I49" i="10" s="1"/>
  <c r="J49" i="10" s="1"/>
  <c r="G48" i="10"/>
  <c r="I48" i="10" s="1"/>
  <c r="J48" i="10" s="1"/>
  <c r="G47" i="10"/>
  <c r="I47" i="10" s="1"/>
  <c r="J47" i="10" s="1"/>
  <c r="G46" i="10"/>
  <c r="I46" i="10" s="1"/>
  <c r="J46" i="10" s="1"/>
  <c r="G45" i="10"/>
  <c r="I45" i="10" s="1"/>
  <c r="J45" i="10" s="1"/>
  <c r="G44" i="10"/>
  <c r="I44" i="10" s="1"/>
  <c r="N43" i="10"/>
  <c r="O43" i="10" s="1"/>
  <c r="K43" i="10"/>
  <c r="F43" i="10"/>
  <c r="E43" i="10"/>
  <c r="D43" i="10"/>
  <c r="C43" i="10"/>
  <c r="B43" i="10"/>
  <c r="I42" i="10"/>
  <c r="J42" i="10" s="1"/>
  <c r="G41" i="10"/>
  <c r="I41" i="10" s="1"/>
  <c r="J41" i="10" s="1"/>
  <c r="G40" i="10"/>
  <c r="I40" i="10" s="1"/>
  <c r="J40" i="10" s="1"/>
  <c r="G39" i="10"/>
  <c r="I39" i="10" s="1"/>
  <c r="J39" i="10" s="1"/>
  <c r="G38" i="10"/>
  <c r="I38" i="10" s="1"/>
  <c r="J38" i="10" s="1"/>
  <c r="G37" i="10"/>
  <c r="I37" i="10" s="1"/>
  <c r="J37" i="10" s="1"/>
  <c r="G36" i="10"/>
  <c r="I36" i="10" s="1"/>
  <c r="K35" i="10"/>
  <c r="H35" i="10"/>
  <c r="E35" i="10"/>
  <c r="D35" i="10"/>
  <c r="C35" i="10"/>
  <c r="B35" i="10"/>
  <c r="G33" i="10"/>
  <c r="I33" i="10" s="1"/>
  <c r="J33" i="10" s="1"/>
  <c r="I32" i="10"/>
  <c r="J32" i="10" s="1"/>
  <c r="G31" i="10"/>
  <c r="I31" i="10" s="1"/>
  <c r="J31" i="10" s="1"/>
  <c r="G30" i="10"/>
  <c r="I30" i="10" s="1"/>
  <c r="J30" i="10" s="1"/>
  <c r="G29" i="10"/>
  <c r="I29" i="10" s="1"/>
  <c r="J29" i="10" s="1"/>
  <c r="G28" i="10"/>
  <c r="I28" i="10" s="1"/>
  <c r="O27" i="10"/>
  <c r="F27" i="10"/>
  <c r="E27" i="10"/>
  <c r="D27" i="10"/>
  <c r="C27" i="10"/>
  <c r="B27" i="10"/>
  <c r="G26" i="10"/>
  <c r="I26" i="10" s="1"/>
  <c r="J26" i="10" s="1"/>
  <c r="G25" i="10"/>
  <c r="I25" i="10" s="1"/>
  <c r="J25" i="10" s="1"/>
  <c r="G24" i="10"/>
  <c r="I24" i="10" s="1"/>
  <c r="J24" i="10" s="1"/>
  <c r="G23" i="10"/>
  <c r="I23" i="10" s="1"/>
  <c r="J23" i="10" s="1"/>
  <c r="G22" i="10"/>
  <c r="I22" i="10" s="1"/>
  <c r="J22" i="10" s="1"/>
  <c r="G21" i="10"/>
  <c r="I21" i="10" s="1"/>
  <c r="J21" i="10" s="1"/>
  <c r="G20" i="10"/>
  <c r="I20" i="10" s="1"/>
  <c r="N19" i="10"/>
  <c r="K19" i="10"/>
  <c r="F19" i="10"/>
  <c r="E19" i="10"/>
  <c r="D19" i="10"/>
  <c r="C19" i="10"/>
  <c r="B19" i="10"/>
  <c r="G18" i="10"/>
  <c r="I18" i="10" s="1"/>
  <c r="J18" i="10" s="1"/>
  <c r="G17" i="10"/>
  <c r="I17" i="10" s="1"/>
  <c r="J17" i="10" s="1"/>
  <c r="G16" i="10"/>
  <c r="I16" i="10" s="1"/>
  <c r="J16" i="10" s="1"/>
  <c r="G15" i="10"/>
  <c r="I15" i="10" s="1"/>
  <c r="J15" i="10" s="1"/>
  <c r="G14" i="10"/>
  <c r="I14" i="10" s="1"/>
  <c r="J14" i="10" s="1"/>
  <c r="G13" i="10"/>
  <c r="I13" i="10" s="1"/>
  <c r="J13" i="10" s="1"/>
  <c r="G12" i="10"/>
  <c r="I12" i="10" s="1"/>
  <c r="K11" i="10"/>
  <c r="H11" i="10"/>
  <c r="E11" i="10"/>
  <c r="D11" i="10"/>
  <c r="C11" i="10"/>
  <c r="B11" i="10"/>
  <c r="G10" i="10"/>
  <c r="I10" i="10" s="1"/>
  <c r="G9" i="10"/>
  <c r="I9" i="10" s="1"/>
  <c r="G6" i="10"/>
  <c r="G5" i="10"/>
  <c r="I5" i="10" s="1"/>
  <c r="K3" i="10"/>
  <c r="H3" i="10"/>
  <c r="F3" i="10"/>
  <c r="E3" i="10"/>
  <c r="D3" i="10"/>
  <c r="C3" i="10"/>
  <c r="B3" i="10"/>
  <c r="K114" i="8"/>
  <c r="G56" i="8"/>
  <c r="G57" i="8"/>
  <c r="G58" i="8"/>
  <c r="G54" i="8"/>
  <c r="B3" i="8"/>
  <c r="E3" i="8"/>
  <c r="F3" i="8"/>
  <c r="K3" i="8"/>
  <c r="K11" i="8"/>
  <c r="K19" i="8"/>
  <c r="G86" i="8"/>
  <c r="N39" i="8"/>
  <c r="N38" i="8"/>
  <c r="N35" i="8" s="1"/>
  <c r="N55" i="8"/>
  <c r="N51" i="8" s="1"/>
  <c r="N13" i="8"/>
  <c r="N114" i="8"/>
  <c r="O114" i="8" s="1"/>
  <c r="G115" i="8"/>
  <c r="I115" i="8" s="1"/>
  <c r="J115" i="8" s="1"/>
  <c r="G116" i="8"/>
  <c r="I116" i="8" s="1"/>
  <c r="J116" i="8" s="1"/>
  <c r="G117" i="8"/>
  <c r="J117" i="8"/>
  <c r="G118" i="8"/>
  <c r="I118" i="8" s="1"/>
  <c r="G119" i="8"/>
  <c r="I119" i="8" s="1"/>
  <c r="J119" i="8" s="1"/>
  <c r="G120" i="8"/>
  <c r="I120" i="8" s="1"/>
  <c r="J120" i="8" s="1"/>
  <c r="G121" i="8"/>
  <c r="I121" i="8" s="1"/>
  <c r="J121" i="8" s="1"/>
  <c r="H99" i="8"/>
  <c r="K11" i="9"/>
  <c r="B3" i="12" l="1"/>
  <c r="G91" i="12"/>
  <c r="J114" i="11"/>
  <c r="H196" i="11"/>
  <c r="K196" i="11"/>
  <c r="N196" i="11"/>
  <c r="I19" i="11"/>
  <c r="O11" i="11"/>
  <c r="I66" i="11"/>
  <c r="J108" i="11"/>
  <c r="G82" i="11"/>
  <c r="I149" i="11"/>
  <c r="J149" i="11" s="1"/>
  <c r="I159" i="11"/>
  <c r="J159" i="11" s="1"/>
  <c r="I150" i="11"/>
  <c r="J150" i="11" s="1"/>
  <c r="I151" i="11"/>
  <c r="I152" i="11"/>
  <c r="J152" i="11" s="1"/>
  <c r="G74" i="11"/>
  <c r="I153" i="11"/>
  <c r="J153" i="11" s="1"/>
  <c r="I157" i="11"/>
  <c r="J157" i="11" s="1"/>
  <c r="G3" i="11"/>
  <c r="G19" i="11"/>
  <c r="G98" i="11"/>
  <c r="O153" i="10"/>
  <c r="G42" i="11"/>
  <c r="G27" i="11"/>
  <c r="G66" i="11"/>
  <c r="G58" i="11"/>
  <c r="G11" i="11"/>
  <c r="G147" i="11"/>
  <c r="G50" i="11"/>
  <c r="G34" i="11"/>
  <c r="I58" i="11"/>
  <c r="G155" i="11"/>
  <c r="G90" i="11"/>
  <c r="G106" i="11"/>
  <c r="G129" i="10"/>
  <c r="H153" i="10"/>
  <c r="I11" i="10"/>
  <c r="I55" i="10"/>
  <c r="J55" i="10" s="1"/>
  <c r="B122" i="10"/>
  <c r="G122" i="10" s="1"/>
  <c r="I63" i="10"/>
  <c r="J63" i="10" s="1"/>
  <c r="N153" i="10"/>
  <c r="K153" i="10"/>
  <c r="G114" i="10"/>
  <c r="I6" i="10"/>
  <c r="J6" i="10" s="1"/>
  <c r="G83" i="10"/>
  <c r="G43" i="10"/>
  <c r="G59" i="10"/>
  <c r="G114" i="8"/>
  <c r="J35" i="11"/>
  <c r="I34" i="11"/>
  <c r="J67" i="11"/>
  <c r="J28" i="11"/>
  <c r="J27" i="11" s="1"/>
  <c r="I50" i="11"/>
  <c r="J51" i="11"/>
  <c r="J50" i="11" s="1"/>
  <c r="M50" i="11" s="1"/>
  <c r="J20" i="11"/>
  <c r="J19" i="11" s="1"/>
  <c r="I11" i="11"/>
  <c r="J44" i="11"/>
  <c r="J42" i="11" s="1"/>
  <c r="M42" i="11" s="1"/>
  <c r="I42" i="11"/>
  <c r="J5" i="11"/>
  <c r="J3" i="11" s="1"/>
  <c r="I3" i="11"/>
  <c r="I90" i="11"/>
  <c r="J91" i="11"/>
  <c r="J90" i="11" s="1"/>
  <c r="M90" i="11" s="1"/>
  <c r="J156" i="11"/>
  <c r="I74" i="11"/>
  <c r="I98" i="11"/>
  <c r="J74" i="11"/>
  <c r="M74" i="11" s="1"/>
  <c r="J84" i="11"/>
  <c r="J82" i="11" s="1"/>
  <c r="M82" i="11" s="1"/>
  <c r="I82" i="11"/>
  <c r="J12" i="11"/>
  <c r="J59" i="11"/>
  <c r="J148" i="11"/>
  <c r="J99" i="11"/>
  <c r="I122" i="8"/>
  <c r="J123" i="8"/>
  <c r="J122" i="8" s="1"/>
  <c r="M122" i="8" s="1"/>
  <c r="I122" i="10"/>
  <c r="J127" i="10"/>
  <c r="J122" i="10" s="1"/>
  <c r="M122" i="10" s="1"/>
  <c r="I129" i="10"/>
  <c r="J134" i="10"/>
  <c r="J129" i="10" s="1"/>
  <c r="G35" i="10"/>
  <c r="G51" i="10"/>
  <c r="G3" i="10"/>
  <c r="G107" i="10"/>
  <c r="G99" i="10"/>
  <c r="G91" i="10"/>
  <c r="G75" i="10"/>
  <c r="I75" i="10"/>
  <c r="G67" i="10"/>
  <c r="J67" i="10"/>
  <c r="M67" i="10" s="1"/>
  <c r="G27" i="10"/>
  <c r="G19" i="10"/>
  <c r="G11" i="10"/>
  <c r="I51" i="10"/>
  <c r="J52" i="10"/>
  <c r="I91" i="10"/>
  <c r="J92" i="10"/>
  <c r="J91" i="10" s="1"/>
  <c r="M91" i="10" s="1"/>
  <c r="J12" i="10"/>
  <c r="J11" i="10" s="1"/>
  <c r="M11" i="10" s="1"/>
  <c r="J36" i="10"/>
  <c r="J35" i="10" s="1"/>
  <c r="M35" i="10" s="1"/>
  <c r="I35" i="10"/>
  <c r="I43" i="10"/>
  <c r="J44" i="10"/>
  <c r="J43" i="10" s="1"/>
  <c r="M43" i="10" s="1"/>
  <c r="I83" i="10"/>
  <c r="I114" i="10"/>
  <c r="J118" i="10"/>
  <c r="J114" i="10" s="1"/>
  <c r="M114" i="10" s="1"/>
  <c r="J28" i="10"/>
  <c r="J83" i="10"/>
  <c r="M83" i="10" s="1"/>
  <c r="I107" i="10"/>
  <c r="J108" i="10"/>
  <c r="J107" i="10" s="1"/>
  <c r="J60" i="10"/>
  <c r="I19" i="10"/>
  <c r="J20" i="10"/>
  <c r="J19" i="10" s="1"/>
  <c r="I99" i="10"/>
  <c r="I67" i="10"/>
  <c r="J76" i="10"/>
  <c r="J75" i="10" s="1"/>
  <c r="M75" i="10" s="1"/>
  <c r="J5" i="10"/>
  <c r="J100" i="10"/>
  <c r="J99" i="10" s="1"/>
  <c r="M99" i="10" s="1"/>
  <c r="I114" i="8"/>
  <c r="J118" i="8"/>
  <c r="J114" i="8" s="1"/>
  <c r="M114" i="8" s="1"/>
  <c r="B19" i="12" l="1"/>
  <c r="G3" i="12"/>
  <c r="M106" i="11"/>
  <c r="J66" i="11"/>
  <c r="M66" i="11" s="1"/>
  <c r="M27" i="11"/>
  <c r="I155" i="11"/>
  <c r="I147" i="11"/>
  <c r="J155" i="11"/>
  <c r="M155" i="11" s="1"/>
  <c r="J34" i="11"/>
  <c r="M34" i="11" s="1"/>
  <c r="J98" i="11"/>
  <c r="M98" i="11" s="1"/>
  <c r="J58" i="11"/>
  <c r="M58" i="11" s="1"/>
  <c r="J151" i="11"/>
  <c r="J147" i="11" s="1"/>
  <c r="M3" i="11"/>
  <c r="I3" i="10"/>
  <c r="J51" i="10"/>
  <c r="M51" i="10" s="1"/>
  <c r="I59" i="10"/>
  <c r="I153" i="10" s="1"/>
  <c r="J59" i="10"/>
  <c r="M59" i="10" s="1"/>
  <c r="M107" i="10"/>
  <c r="J3" i="10"/>
  <c r="M3" i="10" s="1"/>
  <c r="M19" i="11"/>
  <c r="M27" i="10"/>
  <c r="M19" i="10"/>
  <c r="B203" i="15" l="1"/>
  <c r="B75" i="12"/>
  <c r="G19" i="12"/>
  <c r="I196" i="11"/>
  <c r="M147" i="11"/>
  <c r="J153" i="10"/>
  <c r="M153" i="10"/>
  <c r="J203" i="15" l="1"/>
  <c r="B187" i="12"/>
  <c r="G75" i="12"/>
  <c r="N18" i="9"/>
  <c r="N66" i="9"/>
  <c r="N47" i="9"/>
  <c r="G106" i="8"/>
  <c r="G105" i="8"/>
  <c r="G104" i="8"/>
  <c r="G103" i="8"/>
  <c r="G102" i="8"/>
  <c r="I102" i="8" s="1"/>
  <c r="J102" i="8" s="1"/>
  <c r="G101" i="8"/>
  <c r="I101" i="8" s="1"/>
  <c r="J101" i="8" s="1"/>
  <c r="G100" i="8"/>
  <c r="I100" i="8" s="1"/>
  <c r="O99" i="8"/>
  <c r="K99" i="8"/>
  <c r="E99" i="8"/>
  <c r="C99" i="8"/>
  <c r="B99" i="8"/>
  <c r="G98" i="8"/>
  <c r="I98" i="8" s="1"/>
  <c r="J98" i="8" s="1"/>
  <c r="G97" i="8"/>
  <c r="I97" i="8" s="1"/>
  <c r="J97" i="8" s="1"/>
  <c r="O91" i="8"/>
  <c r="G96" i="8"/>
  <c r="I96" i="8" s="1"/>
  <c r="J96" i="8" s="1"/>
  <c r="G95" i="8"/>
  <c r="I95" i="8" s="1"/>
  <c r="J95" i="8" s="1"/>
  <c r="G94" i="8"/>
  <c r="I94" i="8" s="1"/>
  <c r="J94" i="8" s="1"/>
  <c r="G93" i="8"/>
  <c r="I93" i="8" s="1"/>
  <c r="J93" i="8" s="1"/>
  <c r="G92" i="8"/>
  <c r="I92" i="8" s="1"/>
  <c r="K91" i="8"/>
  <c r="H91" i="8"/>
  <c r="E91" i="8"/>
  <c r="C91" i="8"/>
  <c r="B91" i="8"/>
  <c r="G90" i="8"/>
  <c r="I90" i="8" s="1"/>
  <c r="J90" i="8" s="1"/>
  <c r="G89" i="8"/>
  <c r="I89" i="8" s="1"/>
  <c r="J89" i="8" s="1"/>
  <c r="G88" i="8"/>
  <c r="I88" i="8" s="1"/>
  <c r="J88" i="8" s="1"/>
  <c r="G87" i="8"/>
  <c r="I87" i="8" s="1"/>
  <c r="J87" i="8" s="1"/>
  <c r="I86" i="8"/>
  <c r="J86" i="8" s="1"/>
  <c r="G85" i="8"/>
  <c r="I85" i="8" s="1"/>
  <c r="J85" i="8" s="1"/>
  <c r="G84" i="8"/>
  <c r="I84" i="8" s="1"/>
  <c r="J84" i="8" s="1"/>
  <c r="K83" i="8"/>
  <c r="H83" i="8"/>
  <c r="F83" i="8"/>
  <c r="E83" i="8"/>
  <c r="D83" i="8"/>
  <c r="C83" i="8"/>
  <c r="B83" i="8"/>
  <c r="N51" i="9"/>
  <c r="J3" i="9"/>
  <c r="I3" i="9"/>
  <c r="G3" i="9"/>
  <c r="C3" i="9"/>
  <c r="N29" i="9"/>
  <c r="B3" i="9"/>
  <c r="N52" i="9"/>
  <c r="N58" i="9"/>
  <c r="H107" i="9"/>
  <c r="N99" i="9"/>
  <c r="N91" i="9"/>
  <c r="N59" i="9"/>
  <c r="J28" i="9"/>
  <c r="J20" i="9"/>
  <c r="J24" i="9"/>
  <c r="H91" i="9"/>
  <c r="I91" i="9"/>
  <c r="J91" i="9"/>
  <c r="N42" i="9"/>
  <c r="F59" i="9"/>
  <c r="H59" i="9"/>
  <c r="B59" i="9"/>
  <c r="C59" i="9"/>
  <c r="G66" i="9"/>
  <c r="I66" i="9" s="1"/>
  <c r="J66" i="9" s="1"/>
  <c r="H83" i="9"/>
  <c r="C99" i="9"/>
  <c r="B99" i="9"/>
  <c r="E91" i="9"/>
  <c r="C91" i="9"/>
  <c r="B91" i="9"/>
  <c r="H99" i="9"/>
  <c r="E99" i="9"/>
  <c r="O99" i="9"/>
  <c r="N27" i="9"/>
  <c r="O27" i="9" s="1"/>
  <c r="K27" i="9"/>
  <c r="H27" i="9"/>
  <c r="C27" i="9"/>
  <c r="B27" i="9"/>
  <c r="F27" i="9"/>
  <c r="E27" i="9"/>
  <c r="G34" i="9"/>
  <c r="I34" i="9" s="1"/>
  <c r="J34" i="9" s="1"/>
  <c r="G33" i="9"/>
  <c r="I33" i="9" s="1"/>
  <c r="N75" i="9"/>
  <c r="K19" i="9"/>
  <c r="C19" i="9"/>
  <c r="B19" i="9"/>
  <c r="N49" i="9"/>
  <c r="N50" i="9"/>
  <c r="N96" i="9"/>
  <c r="N24" i="9"/>
  <c r="G90" i="9"/>
  <c r="I90" i="9" s="1"/>
  <c r="G106" i="9"/>
  <c r="I106" i="9" s="1"/>
  <c r="J106" i="9" s="1"/>
  <c r="G42" i="9"/>
  <c r="I42" i="9" s="1"/>
  <c r="J42" i="9" s="1"/>
  <c r="K3" i="9"/>
  <c r="H75" i="9"/>
  <c r="L107" i="9"/>
  <c r="G98" i="9"/>
  <c r="I98" i="9" s="1"/>
  <c r="G57" i="9"/>
  <c r="I57" i="9" s="1"/>
  <c r="J57" i="9" s="1"/>
  <c r="N3" i="9"/>
  <c r="G105" i="9"/>
  <c r="I105" i="9" s="1"/>
  <c r="J105" i="9" s="1"/>
  <c r="G104" i="9"/>
  <c r="I104" i="9" s="1"/>
  <c r="J104" i="9" s="1"/>
  <c r="G103" i="9"/>
  <c r="I103" i="9" s="1"/>
  <c r="J103" i="9" s="1"/>
  <c r="G102" i="9"/>
  <c r="J102" i="9" s="1"/>
  <c r="G101" i="9"/>
  <c r="I101" i="9" s="1"/>
  <c r="J101" i="9" s="1"/>
  <c r="G100" i="9"/>
  <c r="I100" i="9" s="1"/>
  <c r="J100" i="9" s="1"/>
  <c r="K99" i="9"/>
  <c r="M203" i="15" l="1"/>
  <c r="G187" i="12"/>
  <c r="B107" i="12"/>
  <c r="I104" i="8"/>
  <c r="J104" i="8" s="1"/>
  <c r="J92" i="8"/>
  <c r="J91" i="8" s="1"/>
  <c r="M91" i="8" s="1"/>
  <c r="I91" i="8"/>
  <c r="I103" i="8"/>
  <c r="J103" i="8" s="1"/>
  <c r="I105" i="8"/>
  <c r="J105" i="8" s="1"/>
  <c r="I106" i="8"/>
  <c r="J106" i="8" s="1"/>
  <c r="G91" i="8"/>
  <c r="G99" i="8"/>
  <c r="J100" i="8"/>
  <c r="G83" i="8"/>
  <c r="O83" i="8"/>
  <c r="J83" i="8"/>
  <c r="I83" i="8"/>
  <c r="G99" i="9"/>
  <c r="I99" i="9"/>
  <c r="J99" i="9"/>
  <c r="M99" i="9" s="1"/>
  <c r="B195" i="15" l="1"/>
  <c r="B187" i="15" s="1"/>
  <c r="B139" i="12"/>
  <c r="G107" i="12"/>
  <c r="I99" i="8"/>
  <c r="J99" i="8"/>
  <c r="M99" i="8" s="1"/>
  <c r="M83" i="8"/>
  <c r="Q5" i="4"/>
  <c r="J8" i="4"/>
  <c r="N38" i="9"/>
  <c r="N35" i="9" s="1"/>
  <c r="J98" i="9"/>
  <c r="G97" i="9"/>
  <c r="I97" i="9" s="1"/>
  <c r="J97" i="9" s="1"/>
  <c r="G96" i="9"/>
  <c r="I96" i="9" s="1"/>
  <c r="J96" i="9" s="1"/>
  <c r="G95" i="9"/>
  <c r="I95" i="9" s="1"/>
  <c r="J95" i="9" s="1"/>
  <c r="G94" i="9"/>
  <c r="I94" i="9" s="1"/>
  <c r="J94" i="9" s="1"/>
  <c r="G93" i="9"/>
  <c r="I93" i="9" s="1"/>
  <c r="J93" i="9" s="1"/>
  <c r="G92" i="9"/>
  <c r="I92" i="9" s="1"/>
  <c r="J92" i="9" s="1"/>
  <c r="O91" i="9"/>
  <c r="K91" i="9"/>
  <c r="G91" i="9"/>
  <c r="N84" i="9"/>
  <c r="N85" i="9"/>
  <c r="N46" i="9"/>
  <c r="B83" i="9"/>
  <c r="C83" i="9"/>
  <c r="D83" i="9"/>
  <c r="E83" i="9"/>
  <c r="F83" i="9"/>
  <c r="K83" i="9"/>
  <c r="G84" i="9"/>
  <c r="I84" i="9" s="1"/>
  <c r="J84" i="9" s="1"/>
  <c r="G85" i="9"/>
  <c r="I85" i="9" s="1"/>
  <c r="G86" i="9"/>
  <c r="I86" i="9" s="1"/>
  <c r="J86" i="9" s="1"/>
  <c r="G87" i="9"/>
  <c r="I87" i="9" s="1"/>
  <c r="J87" i="9" s="1"/>
  <c r="G88" i="9"/>
  <c r="I88" i="9" s="1"/>
  <c r="J88" i="9" s="1"/>
  <c r="G89" i="9"/>
  <c r="I89" i="9" s="1"/>
  <c r="J89" i="9" s="1"/>
  <c r="J90" i="9"/>
  <c r="N18" i="7"/>
  <c r="J66" i="7"/>
  <c r="B179" i="15" l="1"/>
  <c r="B171" i="15" s="1"/>
  <c r="J195" i="15"/>
  <c r="J187" i="15" s="1"/>
  <c r="B147" i="12"/>
  <c r="G139" i="12"/>
  <c r="N83" i="9"/>
  <c r="O83" i="9" s="1"/>
  <c r="M91" i="9"/>
  <c r="I83" i="9"/>
  <c r="G83" i="9"/>
  <c r="J85" i="9"/>
  <c r="M187" i="15" l="1"/>
  <c r="J179" i="15"/>
  <c r="B155" i="15"/>
  <c r="M195" i="15"/>
  <c r="B59" i="12"/>
  <c r="G147" i="12"/>
  <c r="J83" i="9"/>
  <c r="M83" i="9" s="1"/>
  <c r="N57" i="7"/>
  <c r="J80" i="7"/>
  <c r="J74" i="7"/>
  <c r="N27" i="7"/>
  <c r="H19" i="7"/>
  <c r="M179" i="15" l="1"/>
  <c r="B147" i="15"/>
  <c r="B163" i="12"/>
  <c r="G59" i="12"/>
  <c r="C38" i="7"/>
  <c r="B38" i="7"/>
  <c r="N25" i="7"/>
  <c r="N23" i="7"/>
  <c r="I33" i="7"/>
  <c r="K3" i="7"/>
  <c r="J3" i="7"/>
  <c r="I3" i="7"/>
  <c r="J69" i="7"/>
  <c r="J70" i="7"/>
  <c r="J71" i="7"/>
  <c r="J72" i="7"/>
  <c r="J73" i="7"/>
  <c r="I66" i="7"/>
  <c r="M66" i="7"/>
  <c r="N66" i="7"/>
  <c r="N40" i="7"/>
  <c r="N34" i="7"/>
  <c r="N29" i="7"/>
  <c r="N3" i="7"/>
  <c r="O3" i="7" s="1"/>
  <c r="N8" i="7"/>
  <c r="O3" i="6"/>
  <c r="O82" i="7"/>
  <c r="O74" i="7"/>
  <c r="O42" i="7"/>
  <c r="M82" i="7"/>
  <c r="N49" i="7"/>
  <c r="M74" i="7"/>
  <c r="M58" i="7"/>
  <c r="N47" i="7"/>
  <c r="L90" i="7"/>
  <c r="G81" i="9"/>
  <c r="I81" i="9" s="1"/>
  <c r="J81" i="9" s="1"/>
  <c r="G80" i="9"/>
  <c r="I80" i="9" s="1"/>
  <c r="J80" i="9" s="1"/>
  <c r="G79" i="9"/>
  <c r="I79" i="9" s="1"/>
  <c r="J79" i="9" s="1"/>
  <c r="G78" i="9"/>
  <c r="I78" i="9" s="1"/>
  <c r="J78" i="9" s="1"/>
  <c r="G77" i="9"/>
  <c r="I77" i="9" s="1"/>
  <c r="J77" i="9" s="1"/>
  <c r="G76" i="9"/>
  <c r="I76" i="9" s="1"/>
  <c r="O75" i="9"/>
  <c r="K75" i="9"/>
  <c r="F75" i="9"/>
  <c r="E75" i="9"/>
  <c r="D75" i="9"/>
  <c r="C75" i="9"/>
  <c r="B75" i="9"/>
  <c r="G73" i="9"/>
  <c r="I73" i="9" s="1"/>
  <c r="G72" i="9"/>
  <c r="I72" i="9" s="1"/>
  <c r="J72" i="9" s="1"/>
  <c r="G71" i="9"/>
  <c r="I71" i="9" s="1"/>
  <c r="G70" i="9"/>
  <c r="I70" i="9" s="1"/>
  <c r="G69" i="9"/>
  <c r="I69" i="9" s="1"/>
  <c r="J69" i="9" s="1"/>
  <c r="I68" i="9"/>
  <c r="N67" i="9"/>
  <c r="K67" i="9"/>
  <c r="H67" i="9"/>
  <c r="F67" i="9"/>
  <c r="E67" i="9"/>
  <c r="D67" i="9"/>
  <c r="C67" i="9"/>
  <c r="B67" i="9"/>
  <c r="G67" i="9" s="1"/>
  <c r="G65" i="9"/>
  <c r="I65" i="9" s="1"/>
  <c r="J65" i="9" s="1"/>
  <c r="G64" i="9"/>
  <c r="I64" i="9" s="1"/>
  <c r="G63" i="9"/>
  <c r="I63" i="9" s="1"/>
  <c r="J63" i="9" s="1"/>
  <c r="G62" i="9"/>
  <c r="I62" i="9" s="1"/>
  <c r="J62" i="9" s="1"/>
  <c r="G61" i="9"/>
  <c r="I61" i="9" s="1"/>
  <c r="G60" i="9"/>
  <c r="I60" i="9" s="1"/>
  <c r="J60" i="9" s="1"/>
  <c r="O59" i="9"/>
  <c r="K59" i="9"/>
  <c r="E59" i="9"/>
  <c r="D59" i="9"/>
  <c r="G58" i="9"/>
  <c r="I58" i="9" s="1"/>
  <c r="J58" i="9" s="1"/>
  <c r="G56" i="9"/>
  <c r="I56" i="9" s="1"/>
  <c r="J56" i="9" s="1"/>
  <c r="G55" i="9"/>
  <c r="I55" i="9" s="1"/>
  <c r="J55" i="9" s="1"/>
  <c r="G54" i="9"/>
  <c r="I54" i="9" s="1"/>
  <c r="J54" i="9" s="1"/>
  <c r="G53" i="9"/>
  <c r="I53" i="9" s="1"/>
  <c r="G52" i="9"/>
  <c r="I52" i="9" s="1"/>
  <c r="J52" i="9" s="1"/>
  <c r="K51" i="9"/>
  <c r="H51" i="9"/>
  <c r="F51" i="9"/>
  <c r="E51" i="9"/>
  <c r="D51" i="9"/>
  <c r="C51" i="9"/>
  <c r="B51" i="9"/>
  <c r="G50" i="9"/>
  <c r="I50" i="9" s="1"/>
  <c r="J50" i="9" s="1"/>
  <c r="G49" i="9"/>
  <c r="I49" i="9" s="1"/>
  <c r="J49" i="9" s="1"/>
  <c r="G48" i="9"/>
  <c r="I48" i="9" s="1"/>
  <c r="J48" i="9" s="1"/>
  <c r="G47" i="9"/>
  <c r="I47" i="9" s="1"/>
  <c r="J47" i="9" s="1"/>
  <c r="G46" i="9"/>
  <c r="I46" i="9" s="1"/>
  <c r="J46" i="9" s="1"/>
  <c r="G45" i="9"/>
  <c r="I45" i="9" s="1"/>
  <c r="J45" i="9" s="1"/>
  <c r="G44" i="9"/>
  <c r="I44" i="9" s="1"/>
  <c r="N43" i="9"/>
  <c r="O43" i="9" s="1"/>
  <c r="K43" i="9"/>
  <c r="H43" i="9"/>
  <c r="F43" i="9"/>
  <c r="E43" i="9"/>
  <c r="D43" i="9"/>
  <c r="C43" i="9"/>
  <c r="B43" i="9"/>
  <c r="G41" i="9"/>
  <c r="I41" i="9" s="1"/>
  <c r="J41" i="9" s="1"/>
  <c r="G40" i="9"/>
  <c r="I40" i="9" s="1"/>
  <c r="J40" i="9" s="1"/>
  <c r="G39" i="9"/>
  <c r="I39" i="9" s="1"/>
  <c r="J39" i="9" s="1"/>
  <c r="G38" i="9"/>
  <c r="I38" i="9" s="1"/>
  <c r="J38" i="9" s="1"/>
  <c r="G37" i="9"/>
  <c r="I37" i="9" s="1"/>
  <c r="J37" i="9" s="1"/>
  <c r="I36" i="9"/>
  <c r="O35" i="9"/>
  <c r="K35" i="9"/>
  <c r="H35" i="9"/>
  <c r="F35" i="9"/>
  <c r="E35" i="9"/>
  <c r="C35" i="9"/>
  <c r="B35" i="9"/>
  <c r="G32" i="9"/>
  <c r="I32" i="9" s="1"/>
  <c r="J32" i="9" s="1"/>
  <c r="G31" i="9"/>
  <c r="I31" i="9" s="1"/>
  <c r="J31" i="9" s="1"/>
  <c r="G30" i="9"/>
  <c r="I30" i="9" s="1"/>
  <c r="J30" i="9" s="1"/>
  <c r="G29" i="9"/>
  <c r="I29" i="9" s="1"/>
  <c r="J29" i="9" s="1"/>
  <c r="G28" i="9"/>
  <c r="I28" i="9" s="1"/>
  <c r="I27" i="9" s="1"/>
  <c r="D27" i="9"/>
  <c r="G26" i="9"/>
  <c r="I26" i="9" s="1"/>
  <c r="J26" i="9" s="1"/>
  <c r="G25" i="9"/>
  <c r="I25" i="9" s="1"/>
  <c r="J25" i="9" s="1"/>
  <c r="G24" i="9"/>
  <c r="I24" i="9" s="1"/>
  <c r="G23" i="9"/>
  <c r="I23" i="9" s="1"/>
  <c r="J23" i="9" s="1"/>
  <c r="G22" i="9"/>
  <c r="I22" i="9" s="1"/>
  <c r="J22" i="9" s="1"/>
  <c r="G21" i="9"/>
  <c r="I21" i="9" s="1"/>
  <c r="J21" i="9" s="1"/>
  <c r="G20" i="9"/>
  <c r="I20" i="9" s="1"/>
  <c r="N19" i="9"/>
  <c r="O19" i="9" s="1"/>
  <c r="H19" i="9"/>
  <c r="F19" i="9"/>
  <c r="E19" i="9"/>
  <c r="G18" i="9"/>
  <c r="I18" i="9" s="1"/>
  <c r="J18" i="9" s="1"/>
  <c r="G17" i="9"/>
  <c r="I17" i="9" s="1"/>
  <c r="J17" i="9" s="1"/>
  <c r="G16" i="9"/>
  <c r="I16" i="9" s="1"/>
  <c r="J16" i="9" s="1"/>
  <c r="G15" i="9"/>
  <c r="I15" i="9" s="1"/>
  <c r="J15" i="9" s="1"/>
  <c r="G14" i="9"/>
  <c r="I14" i="9" s="1"/>
  <c r="J14" i="9" s="1"/>
  <c r="G13" i="9"/>
  <c r="I13" i="9" s="1"/>
  <c r="G12" i="9"/>
  <c r="I12" i="9" s="1"/>
  <c r="J12" i="9" s="1"/>
  <c r="N11" i="9"/>
  <c r="O11" i="9" s="1"/>
  <c r="H11" i="9"/>
  <c r="F11" i="9"/>
  <c r="E11" i="9"/>
  <c r="D11" i="9"/>
  <c r="C11" i="9"/>
  <c r="B11" i="9"/>
  <c r="G10" i="9"/>
  <c r="I10" i="9" s="1"/>
  <c r="G9" i="9"/>
  <c r="I9" i="9" s="1"/>
  <c r="J9" i="9" s="1"/>
  <c r="G8" i="9"/>
  <c r="I8" i="9" s="1"/>
  <c r="J8" i="9" s="1"/>
  <c r="G7" i="9"/>
  <c r="I7" i="9" s="1"/>
  <c r="J7" i="9" s="1"/>
  <c r="G6" i="9"/>
  <c r="I6" i="9" s="1"/>
  <c r="J6" i="9" s="1"/>
  <c r="G5" i="9"/>
  <c r="I5" i="9" s="1"/>
  <c r="J5" i="9" s="1"/>
  <c r="G4" i="9"/>
  <c r="I4" i="9" s="1"/>
  <c r="O3" i="9"/>
  <c r="H3" i="9"/>
  <c r="F3" i="9"/>
  <c r="E3" i="9"/>
  <c r="G113" i="8"/>
  <c r="I113" i="8" s="1"/>
  <c r="J113" i="8" s="1"/>
  <c r="G112" i="8"/>
  <c r="I112" i="8" s="1"/>
  <c r="J112" i="8" s="1"/>
  <c r="G111" i="8"/>
  <c r="I111" i="8" s="1"/>
  <c r="J111" i="8" s="1"/>
  <c r="G110" i="8"/>
  <c r="I110" i="8" s="1"/>
  <c r="J110" i="8" s="1"/>
  <c r="G109" i="8"/>
  <c r="I109" i="8" s="1"/>
  <c r="J109" i="8" s="1"/>
  <c r="G108" i="8"/>
  <c r="I108" i="8" s="1"/>
  <c r="N107" i="8"/>
  <c r="K107" i="8"/>
  <c r="H107" i="8"/>
  <c r="F107" i="8"/>
  <c r="E107" i="8"/>
  <c r="D107" i="8"/>
  <c r="C107" i="8"/>
  <c r="B107" i="8"/>
  <c r="G81" i="8"/>
  <c r="I81" i="8" s="1"/>
  <c r="J81" i="8" s="1"/>
  <c r="G80" i="8"/>
  <c r="I80" i="8" s="1"/>
  <c r="J80" i="8" s="1"/>
  <c r="G79" i="8"/>
  <c r="I79" i="8" s="1"/>
  <c r="J79" i="8" s="1"/>
  <c r="G78" i="8"/>
  <c r="I78" i="8" s="1"/>
  <c r="J78" i="8" s="1"/>
  <c r="G77" i="8"/>
  <c r="I77" i="8" s="1"/>
  <c r="J77" i="8" s="1"/>
  <c r="G76" i="8"/>
  <c r="I76" i="8" s="1"/>
  <c r="K75" i="8"/>
  <c r="H75" i="8"/>
  <c r="F75" i="8"/>
  <c r="E75" i="8"/>
  <c r="D75" i="8"/>
  <c r="C75" i="8"/>
  <c r="B75" i="8"/>
  <c r="G73" i="8"/>
  <c r="I73" i="8" s="1"/>
  <c r="J73" i="8" s="1"/>
  <c r="G72" i="8"/>
  <c r="I72" i="8" s="1"/>
  <c r="J72" i="8" s="1"/>
  <c r="G71" i="8"/>
  <c r="I71" i="8" s="1"/>
  <c r="J71" i="8" s="1"/>
  <c r="G70" i="8"/>
  <c r="I70" i="8" s="1"/>
  <c r="J70" i="8" s="1"/>
  <c r="G69" i="8"/>
  <c r="I69" i="8" s="1"/>
  <c r="I67" i="8" s="1"/>
  <c r="G68" i="8"/>
  <c r="I68" i="8" s="1"/>
  <c r="J68" i="8" s="1"/>
  <c r="O67" i="8"/>
  <c r="K67" i="8"/>
  <c r="H67" i="8"/>
  <c r="F67" i="8"/>
  <c r="E67" i="8"/>
  <c r="D67" i="8"/>
  <c r="C67" i="8"/>
  <c r="B67" i="8"/>
  <c r="G66" i="8"/>
  <c r="I66" i="8" s="1"/>
  <c r="J66" i="8" s="1"/>
  <c r="G65" i="8"/>
  <c r="I65" i="8" s="1"/>
  <c r="J65" i="8" s="1"/>
  <c r="G64" i="8"/>
  <c r="I64" i="8" s="1"/>
  <c r="J64" i="8" s="1"/>
  <c r="G63" i="8"/>
  <c r="I63" i="8" s="1"/>
  <c r="J63" i="8" s="1"/>
  <c r="G62" i="8"/>
  <c r="I62" i="8" s="1"/>
  <c r="J62" i="8" s="1"/>
  <c r="G61" i="8"/>
  <c r="I61" i="8" s="1"/>
  <c r="J61" i="8" s="1"/>
  <c r="G60" i="8"/>
  <c r="I60" i="8" s="1"/>
  <c r="O59" i="8"/>
  <c r="K59" i="8"/>
  <c r="H59" i="8"/>
  <c r="F59" i="8"/>
  <c r="E59" i="8"/>
  <c r="D59" i="8"/>
  <c r="C59" i="8"/>
  <c r="B59" i="8"/>
  <c r="I58" i="8"/>
  <c r="J58" i="8" s="1"/>
  <c r="I56" i="8"/>
  <c r="G55" i="8"/>
  <c r="I55" i="8" s="1"/>
  <c r="J55" i="8" s="1"/>
  <c r="G53" i="8"/>
  <c r="I53" i="8" s="1"/>
  <c r="J53" i="8" s="1"/>
  <c r="G52" i="8"/>
  <c r="I52" i="8" s="1"/>
  <c r="O51" i="8"/>
  <c r="K51" i="8"/>
  <c r="H51" i="8"/>
  <c r="F51" i="8"/>
  <c r="E51" i="8"/>
  <c r="D51" i="8"/>
  <c r="C51" i="8"/>
  <c r="B51" i="8"/>
  <c r="G50" i="8"/>
  <c r="I50" i="8" s="1"/>
  <c r="J50" i="8" s="1"/>
  <c r="G49" i="8"/>
  <c r="I49" i="8" s="1"/>
  <c r="J49" i="8" s="1"/>
  <c r="G48" i="8"/>
  <c r="I48" i="8" s="1"/>
  <c r="J48" i="8" s="1"/>
  <c r="G47" i="8"/>
  <c r="I47" i="8" s="1"/>
  <c r="J47" i="8" s="1"/>
  <c r="G46" i="8"/>
  <c r="I46" i="8" s="1"/>
  <c r="J46" i="8" s="1"/>
  <c r="G45" i="8"/>
  <c r="I45" i="8" s="1"/>
  <c r="J45" i="8" s="1"/>
  <c r="G44" i="8"/>
  <c r="I44" i="8" s="1"/>
  <c r="N43" i="8"/>
  <c r="O43" i="8" s="1"/>
  <c r="K43" i="8"/>
  <c r="H43" i="8"/>
  <c r="F43" i="8"/>
  <c r="E43" i="8"/>
  <c r="D43" i="8"/>
  <c r="C43" i="8"/>
  <c r="B43" i="8"/>
  <c r="G41" i="8"/>
  <c r="I41" i="8" s="1"/>
  <c r="J41" i="8" s="1"/>
  <c r="G40" i="8"/>
  <c r="I40" i="8" s="1"/>
  <c r="J40" i="8" s="1"/>
  <c r="G39" i="8"/>
  <c r="I39" i="8" s="1"/>
  <c r="J39" i="8" s="1"/>
  <c r="G38" i="8"/>
  <c r="I38" i="8" s="1"/>
  <c r="J38" i="8" s="1"/>
  <c r="O35" i="8"/>
  <c r="G37" i="8"/>
  <c r="I37" i="8" s="1"/>
  <c r="J37" i="8" s="1"/>
  <c r="G36" i="8"/>
  <c r="I36" i="8" s="1"/>
  <c r="K35" i="8"/>
  <c r="H35" i="8"/>
  <c r="F35" i="8"/>
  <c r="E35" i="8"/>
  <c r="D35" i="8"/>
  <c r="C35" i="8"/>
  <c r="B35" i="8"/>
  <c r="G34" i="8"/>
  <c r="I34" i="8" s="1"/>
  <c r="G32" i="8"/>
  <c r="I32" i="8" s="1"/>
  <c r="H27" i="8"/>
  <c r="G31" i="8"/>
  <c r="I31" i="8" s="1"/>
  <c r="G30" i="8"/>
  <c r="I30" i="8" s="1"/>
  <c r="J30" i="8" s="1"/>
  <c r="G29" i="8"/>
  <c r="I29" i="8" s="1"/>
  <c r="J29" i="8" s="1"/>
  <c r="G28" i="8"/>
  <c r="I28" i="8" s="1"/>
  <c r="K27" i="8"/>
  <c r="F27" i="8"/>
  <c r="E27" i="8"/>
  <c r="D27" i="8"/>
  <c r="C27" i="8"/>
  <c r="B27" i="8"/>
  <c r="G26" i="8"/>
  <c r="I26" i="8" s="1"/>
  <c r="J26" i="8" s="1"/>
  <c r="G25" i="8"/>
  <c r="I25" i="8" s="1"/>
  <c r="J25" i="8" s="1"/>
  <c r="G24" i="8"/>
  <c r="I24" i="8" s="1"/>
  <c r="J24" i="8" s="1"/>
  <c r="G23" i="8"/>
  <c r="I23" i="8" s="1"/>
  <c r="J23" i="8" s="1"/>
  <c r="G22" i="8"/>
  <c r="I22" i="8" s="1"/>
  <c r="J22" i="8" s="1"/>
  <c r="G21" i="8"/>
  <c r="I21" i="8" s="1"/>
  <c r="J21" i="8" s="1"/>
  <c r="G20" i="8"/>
  <c r="I20" i="8" s="1"/>
  <c r="N19" i="8"/>
  <c r="O19" i="8" s="1"/>
  <c r="H19" i="8"/>
  <c r="F19" i="8"/>
  <c r="E19" i="8"/>
  <c r="D19" i="8"/>
  <c r="C19" i="8"/>
  <c r="B19" i="8"/>
  <c r="G18" i="8"/>
  <c r="I18" i="8" s="1"/>
  <c r="J18" i="8" s="1"/>
  <c r="I17" i="8"/>
  <c r="J17" i="8" s="1"/>
  <c r="G16" i="8"/>
  <c r="I16" i="8" s="1"/>
  <c r="J16" i="8" s="1"/>
  <c r="G15" i="8"/>
  <c r="I15" i="8" s="1"/>
  <c r="J15" i="8" s="1"/>
  <c r="G14" i="8"/>
  <c r="I14" i="8" s="1"/>
  <c r="J14" i="8" s="1"/>
  <c r="G13" i="8"/>
  <c r="I13" i="8" s="1"/>
  <c r="J13" i="8" s="1"/>
  <c r="G12" i="8"/>
  <c r="I12" i="8" s="1"/>
  <c r="N11" i="8"/>
  <c r="H11" i="8"/>
  <c r="F11" i="8"/>
  <c r="E11" i="8"/>
  <c r="D11" i="8"/>
  <c r="C11" i="8"/>
  <c r="B11" i="8"/>
  <c r="G10" i="8"/>
  <c r="I10" i="8" s="1"/>
  <c r="J10" i="8" s="1"/>
  <c r="G9" i="8"/>
  <c r="I9" i="8" s="1"/>
  <c r="J9" i="8" s="1"/>
  <c r="G8" i="8"/>
  <c r="I8" i="8" s="1"/>
  <c r="J8" i="8" s="1"/>
  <c r="G6" i="8"/>
  <c r="I6" i="8" s="1"/>
  <c r="J6" i="8" s="1"/>
  <c r="G5" i="8"/>
  <c r="I5" i="8" s="1"/>
  <c r="D3" i="8"/>
  <c r="C3" i="8"/>
  <c r="J85" i="7"/>
  <c r="J86" i="7"/>
  <c r="J87" i="7"/>
  <c r="J88" i="7"/>
  <c r="J89" i="7"/>
  <c r="G88" i="7"/>
  <c r="I88" i="7" s="1"/>
  <c r="I87" i="7"/>
  <c r="G87" i="7"/>
  <c r="G86" i="7"/>
  <c r="I86" i="7" s="1"/>
  <c r="G85" i="7"/>
  <c r="I85" i="7" s="1"/>
  <c r="G84" i="7"/>
  <c r="I84" i="7" s="1"/>
  <c r="J84" i="7" s="1"/>
  <c r="G83" i="7"/>
  <c r="I83" i="7" s="1"/>
  <c r="N82" i="7"/>
  <c r="K82" i="7"/>
  <c r="H82" i="7"/>
  <c r="F82" i="7"/>
  <c r="E82" i="7"/>
  <c r="D82" i="7"/>
  <c r="C82" i="7"/>
  <c r="B82" i="7"/>
  <c r="G80" i="7"/>
  <c r="I80" i="7" s="1"/>
  <c r="G79" i="7"/>
  <c r="I79" i="7" s="1"/>
  <c r="J79" i="7" s="1"/>
  <c r="G78" i="7"/>
  <c r="I78" i="7" s="1"/>
  <c r="G77" i="7"/>
  <c r="I77" i="7" s="1"/>
  <c r="G76" i="7"/>
  <c r="I76" i="7" s="1"/>
  <c r="J76" i="7" s="1"/>
  <c r="G75" i="7"/>
  <c r="I75" i="7" s="1"/>
  <c r="N74" i="7"/>
  <c r="K74" i="7"/>
  <c r="H74" i="7"/>
  <c r="F74" i="7"/>
  <c r="E74" i="7"/>
  <c r="D74" i="7"/>
  <c r="C74" i="7"/>
  <c r="B74" i="7"/>
  <c r="N39" i="7"/>
  <c r="N38" i="7"/>
  <c r="I62" i="7"/>
  <c r="I64" i="7"/>
  <c r="J64" i="7" s="1"/>
  <c r="I65" i="7"/>
  <c r="G60" i="7"/>
  <c r="I60" i="7" s="1"/>
  <c r="G61" i="7"/>
  <c r="I61" i="7" s="1"/>
  <c r="G62" i="7"/>
  <c r="G63" i="7"/>
  <c r="I63" i="7" s="1"/>
  <c r="J63" i="7" s="1"/>
  <c r="G64" i="7"/>
  <c r="G65" i="7"/>
  <c r="G71" i="7"/>
  <c r="I71" i="7" s="1"/>
  <c r="G72" i="7"/>
  <c r="I72" i="7" s="1"/>
  <c r="E19" i="7"/>
  <c r="E3" i="7"/>
  <c r="H3" i="7"/>
  <c r="H34" i="7"/>
  <c r="H58" i="7"/>
  <c r="H66" i="7"/>
  <c r="G68" i="7"/>
  <c r="G69" i="7"/>
  <c r="G70" i="7"/>
  <c r="G67" i="7"/>
  <c r="I51" i="7"/>
  <c r="G52" i="7"/>
  <c r="I52" i="7" s="1"/>
  <c r="G53" i="7"/>
  <c r="I53" i="7" s="1"/>
  <c r="G54" i="7"/>
  <c r="I54" i="7" s="1"/>
  <c r="G55" i="7"/>
  <c r="I55" i="7" s="1"/>
  <c r="G57" i="7"/>
  <c r="I57" i="7" s="1"/>
  <c r="G51" i="7"/>
  <c r="G45" i="7"/>
  <c r="G46" i="7"/>
  <c r="G47" i="7"/>
  <c r="G48" i="7"/>
  <c r="G49" i="7"/>
  <c r="G36" i="7"/>
  <c r="G37" i="7"/>
  <c r="G38" i="7"/>
  <c r="G39" i="7"/>
  <c r="I39" i="7" s="1"/>
  <c r="J39" i="7" s="1"/>
  <c r="G40" i="7"/>
  <c r="G35" i="7"/>
  <c r="I7" i="7"/>
  <c r="I8" i="7"/>
  <c r="I9" i="7"/>
  <c r="I10" i="7"/>
  <c r="I40" i="7"/>
  <c r="J40" i="7" s="1"/>
  <c r="G29" i="7"/>
  <c r="G30" i="7"/>
  <c r="G31" i="7"/>
  <c r="G32" i="7"/>
  <c r="I32" i="7" s="1"/>
  <c r="G33" i="7"/>
  <c r="G28" i="7"/>
  <c r="G21" i="7"/>
  <c r="G22" i="7"/>
  <c r="G23" i="7"/>
  <c r="G24" i="7"/>
  <c r="G25" i="7"/>
  <c r="G26" i="7"/>
  <c r="G20" i="7"/>
  <c r="G13" i="7"/>
  <c r="G14" i="7"/>
  <c r="G15" i="7"/>
  <c r="G16" i="7"/>
  <c r="G17" i="7"/>
  <c r="G18" i="7"/>
  <c r="G5" i="7"/>
  <c r="I5" i="7" s="1"/>
  <c r="G6" i="7"/>
  <c r="I6" i="7" s="1"/>
  <c r="G7" i="7"/>
  <c r="G8" i="7"/>
  <c r="G9" i="7"/>
  <c r="G10" i="7"/>
  <c r="G4" i="7"/>
  <c r="G12" i="7"/>
  <c r="J8" i="7"/>
  <c r="N42" i="7"/>
  <c r="B139" i="15" l="1"/>
  <c r="J155" i="15"/>
  <c r="B115" i="15"/>
  <c r="B107" i="15" s="1"/>
  <c r="B99" i="15" s="1"/>
  <c r="G163" i="12"/>
  <c r="B43" i="12"/>
  <c r="J32" i="8"/>
  <c r="J27" i="8" s="1"/>
  <c r="I27" i="8"/>
  <c r="K130" i="8"/>
  <c r="I107" i="8"/>
  <c r="J56" i="8"/>
  <c r="I51" i="8"/>
  <c r="H130" i="8"/>
  <c r="N130" i="8"/>
  <c r="O11" i="8"/>
  <c r="O130" i="8" s="1"/>
  <c r="J5" i="8"/>
  <c r="I3" i="8"/>
  <c r="J64" i="9"/>
  <c r="J59" i="9" s="1"/>
  <c r="I59" i="9"/>
  <c r="J19" i="9"/>
  <c r="M19" i="9" s="1"/>
  <c r="I19" i="9"/>
  <c r="G27" i="9"/>
  <c r="N107" i="9"/>
  <c r="G11" i="9"/>
  <c r="K107" i="9"/>
  <c r="O51" i="9"/>
  <c r="O107" i="9" s="1"/>
  <c r="G35" i="9"/>
  <c r="G59" i="9"/>
  <c r="G51" i="9"/>
  <c r="J33" i="9"/>
  <c r="J27" i="9" s="1"/>
  <c r="M27" i="9" s="1"/>
  <c r="G75" i="9"/>
  <c r="G19" i="9"/>
  <c r="G43" i="9"/>
  <c r="G43" i="8"/>
  <c r="I43" i="9"/>
  <c r="J44" i="9"/>
  <c r="J43" i="9" s="1"/>
  <c r="J53" i="9"/>
  <c r="J51" i="9" s="1"/>
  <c r="M51" i="9" s="1"/>
  <c r="I51" i="9"/>
  <c r="J61" i="9"/>
  <c r="J4" i="9"/>
  <c r="I11" i="9"/>
  <c r="J13" i="9"/>
  <c r="J11" i="9" s="1"/>
  <c r="M11" i="9" s="1"/>
  <c r="I35" i="9"/>
  <c r="J36" i="9"/>
  <c r="J35" i="9" s="1"/>
  <c r="M35" i="9" s="1"/>
  <c r="J76" i="9"/>
  <c r="J75" i="9" s="1"/>
  <c r="I75" i="9"/>
  <c r="I67" i="9"/>
  <c r="J68" i="9"/>
  <c r="J67" i="9" s="1"/>
  <c r="J34" i="8"/>
  <c r="J31" i="8"/>
  <c r="G3" i="8"/>
  <c r="G19" i="8"/>
  <c r="G59" i="8"/>
  <c r="G67" i="8"/>
  <c r="G75" i="8"/>
  <c r="G107" i="8"/>
  <c r="G51" i="8"/>
  <c r="G35" i="8"/>
  <c r="G27" i="8"/>
  <c r="G11" i="8"/>
  <c r="I19" i="8"/>
  <c r="J20" i="8"/>
  <c r="J60" i="8"/>
  <c r="J59" i="8" s="1"/>
  <c r="M59" i="8" s="1"/>
  <c r="I59" i="8"/>
  <c r="J4" i="8"/>
  <c r="J69" i="8"/>
  <c r="J67" i="8" s="1"/>
  <c r="J28" i="8"/>
  <c r="I43" i="8"/>
  <c r="J36" i="8"/>
  <c r="J35" i="8" s="1"/>
  <c r="I35" i="8"/>
  <c r="I11" i="8"/>
  <c r="J12" i="8"/>
  <c r="J11" i="8" s="1"/>
  <c r="M11" i="8" s="1"/>
  <c r="J108" i="8"/>
  <c r="J52" i="8"/>
  <c r="J51" i="8" s="1"/>
  <c r="J76" i="8"/>
  <c r="J75" i="8" s="1"/>
  <c r="M75" i="8" s="1"/>
  <c r="I75" i="8"/>
  <c r="J44" i="8"/>
  <c r="J43" i="8" s="1"/>
  <c r="M43" i="8" s="1"/>
  <c r="G82" i="7"/>
  <c r="I82" i="7"/>
  <c r="J83" i="7"/>
  <c r="J82" i="7" s="1"/>
  <c r="I74" i="7"/>
  <c r="G74" i="7"/>
  <c r="J75" i="7"/>
  <c r="I70" i="7"/>
  <c r="J62" i="7"/>
  <c r="J54" i="7"/>
  <c r="I38" i="7"/>
  <c r="J38" i="7" s="1"/>
  <c r="J7" i="7"/>
  <c r="I67" i="7"/>
  <c r="J67" i="7" s="1"/>
  <c r="I68" i="7"/>
  <c r="J68" i="7" s="1"/>
  <c r="I69" i="7"/>
  <c r="N36" i="7"/>
  <c r="N12" i="7"/>
  <c r="N11" i="7" s="1"/>
  <c r="O11" i="7" s="1"/>
  <c r="J6" i="7"/>
  <c r="J5" i="7"/>
  <c r="I4" i="7"/>
  <c r="J4" i="7" s="1"/>
  <c r="D66" i="7"/>
  <c r="J51" i="7"/>
  <c r="I37" i="7"/>
  <c r="J37" i="7" s="1"/>
  <c r="I36" i="7"/>
  <c r="J36" i="7" s="1"/>
  <c r="B11" i="7"/>
  <c r="C11" i="7"/>
  <c r="D11" i="7"/>
  <c r="E11" i="7"/>
  <c r="F11" i="7"/>
  <c r="H11" i="7"/>
  <c r="K11" i="7"/>
  <c r="J65" i="6"/>
  <c r="J57" i="6"/>
  <c r="J49" i="6"/>
  <c r="J33" i="6"/>
  <c r="M3" i="6"/>
  <c r="J3" i="6"/>
  <c r="O26" i="6"/>
  <c r="I35" i="7"/>
  <c r="H18" i="6"/>
  <c r="H10" i="6"/>
  <c r="O66" i="7"/>
  <c r="K66" i="7"/>
  <c r="F66" i="7"/>
  <c r="E66" i="7"/>
  <c r="C66" i="7"/>
  <c r="B66" i="7"/>
  <c r="J61" i="7"/>
  <c r="J60" i="7"/>
  <c r="G59" i="7"/>
  <c r="I59" i="7" s="1"/>
  <c r="J59" i="7" s="1"/>
  <c r="N58" i="7"/>
  <c r="O58" i="7" s="1"/>
  <c r="K58" i="7"/>
  <c r="F58" i="7"/>
  <c r="E58" i="7"/>
  <c r="D58" i="7"/>
  <c r="C58" i="7"/>
  <c r="B58" i="7"/>
  <c r="J57" i="7"/>
  <c r="J55" i="7"/>
  <c r="J53" i="7"/>
  <c r="J52" i="7"/>
  <c r="N50" i="7"/>
  <c r="K50" i="7"/>
  <c r="H50" i="7"/>
  <c r="F50" i="7"/>
  <c r="E50" i="7"/>
  <c r="D50" i="7"/>
  <c r="C50" i="7"/>
  <c r="B50" i="7"/>
  <c r="I49" i="7"/>
  <c r="J49" i="7" s="1"/>
  <c r="I48" i="7"/>
  <c r="J48" i="7" s="1"/>
  <c r="I47" i="7"/>
  <c r="J47" i="7" s="1"/>
  <c r="I46" i="7"/>
  <c r="J46" i="7" s="1"/>
  <c r="I45" i="7"/>
  <c r="J45" i="7" s="1"/>
  <c r="G44" i="7"/>
  <c r="I44" i="7" s="1"/>
  <c r="J44" i="7" s="1"/>
  <c r="G43" i="7"/>
  <c r="I43" i="7" s="1"/>
  <c r="J43" i="7" s="1"/>
  <c r="K42" i="7"/>
  <c r="H42" i="7"/>
  <c r="F42" i="7"/>
  <c r="E42" i="7"/>
  <c r="D42" i="7"/>
  <c r="C42" i="7"/>
  <c r="B42" i="7"/>
  <c r="K34" i="7"/>
  <c r="F34" i="7"/>
  <c r="E34" i="7"/>
  <c r="D34" i="7"/>
  <c r="C34" i="7"/>
  <c r="B34" i="7"/>
  <c r="J32" i="7"/>
  <c r="I31" i="7"/>
  <c r="I30" i="7"/>
  <c r="I29" i="7"/>
  <c r="I28" i="7"/>
  <c r="O27" i="7"/>
  <c r="K27" i="7"/>
  <c r="F27" i="7"/>
  <c r="E27" i="7"/>
  <c r="D27" i="7"/>
  <c r="C27" i="7"/>
  <c r="B27" i="7"/>
  <c r="I26" i="7"/>
  <c r="J26" i="7" s="1"/>
  <c r="I25" i="7"/>
  <c r="J25" i="7" s="1"/>
  <c r="N19" i="7"/>
  <c r="O19" i="7" s="1"/>
  <c r="I24" i="7"/>
  <c r="J24" i="7" s="1"/>
  <c r="I23" i="7"/>
  <c r="I22" i="7"/>
  <c r="J22" i="7" s="1"/>
  <c r="I21" i="7"/>
  <c r="J21" i="7" s="1"/>
  <c r="I20" i="7"/>
  <c r="K19" i="7"/>
  <c r="F19" i="7"/>
  <c r="D19" i="7"/>
  <c r="C19" i="7"/>
  <c r="B19" i="7"/>
  <c r="I18" i="7"/>
  <c r="J18" i="7" s="1"/>
  <c r="I17" i="7"/>
  <c r="J17" i="7" s="1"/>
  <c r="I16" i="7"/>
  <c r="J16" i="7" s="1"/>
  <c r="I15" i="7"/>
  <c r="J15" i="7" s="1"/>
  <c r="I14" i="7"/>
  <c r="J14" i="7" s="1"/>
  <c r="I13" i="7"/>
  <c r="J13" i="7" s="1"/>
  <c r="I12" i="7"/>
  <c r="J12" i="7" s="1"/>
  <c r="F3" i="7"/>
  <c r="D3" i="7"/>
  <c r="C3" i="7"/>
  <c r="B3" i="7"/>
  <c r="I57" i="6"/>
  <c r="N49" i="6"/>
  <c r="O49" i="6" s="1"/>
  <c r="N52" i="6"/>
  <c r="J41" i="6"/>
  <c r="N3" i="6"/>
  <c r="N10" i="6"/>
  <c r="N50" i="6"/>
  <c r="N11" i="6"/>
  <c r="N16" i="6"/>
  <c r="N9" i="6"/>
  <c r="N24" i="6"/>
  <c r="N65" i="6"/>
  <c r="O65" i="6" s="1"/>
  <c r="N23" i="6"/>
  <c r="N44" i="6"/>
  <c r="I65" i="6"/>
  <c r="K65" i="6"/>
  <c r="M65" i="6"/>
  <c r="G65" i="6"/>
  <c r="F65" i="6"/>
  <c r="E65" i="6"/>
  <c r="D65" i="6"/>
  <c r="C65" i="6"/>
  <c r="B65" i="6"/>
  <c r="G69" i="6"/>
  <c r="I69" i="6" s="1"/>
  <c r="J69" i="6" s="1"/>
  <c r="G68" i="6"/>
  <c r="I68" i="6" s="1"/>
  <c r="J68" i="6" s="1"/>
  <c r="G67" i="6"/>
  <c r="I67" i="6" s="1"/>
  <c r="J67" i="6" s="1"/>
  <c r="G66" i="6"/>
  <c r="I66" i="6" s="1"/>
  <c r="J66" i="6" s="1"/>
  <c r="B91" i="15" l="1"/>
  <c r="B83" i="15" s="1"/>
  <c r="B75" i="15" s="1"/>
  <c r="B67" i="15" s="1"/>
  <c r="M155" i="15"/>
  <c r="J147" i="15"/>
  <c r="B99" i="12"/>
  <c r="G99" i="12" s="1"/>
  <c r="G43" i="12"/>
  <c r="J3" i="8"/>
  <c r="M3" i="8" s="1"/>
  <c r="I130" i="8"/>
  <c r="J19" i="8"/>
  <c r="M19" i="8" s="1"/>
  <c r="J107" i="8"/>
  <c r="M107" i="8" s="1"/>
  <c r="M51" i="8"/>
  <c r="M35" i="8"/>
  <c r="M27" i="8"/>
  <c r="I107" i="9"/>
  <c r="M59" i="9"/>
  <c r="M75" i="9"/>
  <c r="M3" i="9"/>
  <c r="M43" i="9"/>
  <c r="I27" i="7"/>
  <c r="J23" i="7"/>
  <c r="J19" i="7" s="1"/>
  <c r="I19" i="7"/>
  <c r="N90" i="7"/>
  <c r="M67" i="9"/>
  <c r="M67" i="8"/>
  <c r="O50" i="7"/>
  <c r="M3" i="7"/>
  <c r="G11" i="7"/>
  <c r="G66" i="7"/>
  <c r="J11" i="7"/>
  <c r="M11" i="7" s="1"/>
  <c r="O34" i="7"/>
  <c r="G50" i="7"/>
  <c r="I11" i="7"/>
  <c r="H27" i="7"/>
  <c r="H90" i="7" s="1"/>
  <c r="J35" i="7"/>
  <c r="J34" i="7" s="1"/>
  <c r="J33" i="7"/>
  <c r="J31" i="7"/>
  <c r="J30" i="7"/>
  <c r="J29" i="7"/>
  <c r="G58" i="7"/>
  <c r="I50" i="7"/>
  <c r="G19" i="7"/>
  <c r="G27" i="7"/>
  <c r="G42" i="7"/>
  <c r="G34" i="7"/>
  <c r="G3" i="7"/>
  <c r="J20" i="7"/>
  <c r="J58" i="7"/>
  <c r="I34" i="7"/>
  <c r="J42" i="7"/>
  <c r="J28" i="7"/>
  <c r="I42" i="7"/>
  <c r="I58" i="7"/>
  <c r="J50" i="7"/>
  <c r="M50" i="7" s="1"/>
  <c r="M147" i="15" l="1"/>
  <c r="J139" i="15"/>
  <c r="B51" i="15"/>
  <c r="B43" i="15" s="1"/>
  <c r="M130" i="8"/>
  <c r="J130" i="8"/>
  <c r="J107" i="9"/>
  <c r="M107" i="9"/>
  <c r="J27" i="7"/>
  <c r="M19" i="7"/>
  <c r="O90" i="7"/>
  <c r="I90" i="7"/>
  <c r="M42" i="7"/>
  <c r="M34" i="7"/>
  <c r="M27" i="7"/>
  <c r="G5" i="6"/>
  <c r="J131" i="15" l="1"/>
  <c r="M139" i="15"/>
  <c r="J90" i="7"/>
  <c r="M90" i="7"/>
  <c r="G25" i="6"/>
  <c r="I25" i="6" s="1"/>
  <c r="J25" i="6" s="1"/>
  <c r="N6" i="5"/>
  <c r="N56" i="5"/>
  <c r="N24" i="5"/>
  <c r="F3" i="6"/>
  <c r="G9" i="6"/>
  <c r="I9" i="6" s="1"/>
  <c r="J9" i="6" s="1"/>
  <c r="G64" i="6"/>
  <c r="I64" i="6" s="1"/>
  <c r="J64" i="6" s="1"/>
  <c r="G63" i="6"/>
  <c r="I63" i="6" s="1"/>
  <c r="J63" i="6" s="1"/>
  <c r="G62" i="6"/>
  <c r="I62" i="6" s="1"/>
  <c r="J62" i="6" s="1"/>
  <c r="G61" i="6"/>
  <c r="I61" i="6" s="1"/>
  <c r="J61" i="6" s="1"/>
  <c r="G60" i="6"/>
  <c r="I60" i="6" s="1"/>
  <c r="J60" i="6" s="1"/>
  <c r="G59" i="6"/>
  <c r="I59" i="6" s="1"/>
  <c r="G58" i="6"/>
  <c r="I58" i="6" s="1"/>
  <c r="K57" i="6"/>
  <c r="F57" i="6"/>
  <c r="E57" i="6"/>
  <c r="D57" i="6"/>
  <c r="C57" i="6"/>
  <c r="B57" i="6"/>
  <c r="G56" i="6"/>
  <c r="I56" i="6" s="1"/>
  <c r="J56" i="6" s="1"/>
  <c r="G55" i="6"/>
  <c r="I55" i="6" s="1"/>
  <c r="J55" i="6" s="1"/>
  <c r="G54" i="6"/>
  <c r="I54" i="6" s="1"/>
  <c r="J54" i="6" s="1"/>
  <c r="G53" i="6"/>
  <c r="I53" i="6" s="1"/>
  <c r="J53" i="6" s="1"/>
  <c r="G52" i="6"/>
  <c r="I52" i="6" s="1"/>
  <c r="J52" i="6" s="1"/>
  <c r="G51" i="6"/>
  <c r="I51" i="6" s="1"/>
  <c r="J51" i="6" s="1"/>
  <c r="H49" i="6"/>
  <c r="G50" i="6"/>
  <c r="I50" i="6" s="1"/>
  <c r="K49" i="6"/>
  <c r="F49" i="6"/>
  <c r="E49" i="6"/>
  <c r="D49" i="6"/>
  <c r="C49" i="6"/>
  <c r="B49" i="6"/>
  <c r="G48" i="6"/>
  <c r="I48" i="6" s="1"/>
  <c r="J48" i="6" s="1"/>
  <c r="G47" i="6"/>
  <c r="I47" i="6" s="1"/>
  <c r="J47" i="6" s="1"/>
  <c r="G46" i="6"/>
  <c r="I46" i="6" s="1"/>
  <c r="J46" i="6" s="1"/>
  <c r="G45" i="6"/>
  <c r="I45" i="6" s="1"/>
  <c r="J45" i="6" s="1"/>
  <c r="G44" i="6"/>
  <c r="I44" i="6" s="1"/>
  <c r="J44" i="6" s="1"/>
  <c r="G43" i="6"/>
  <c r="I43" i="6" s="1"/>
  <c r="J43" i="6" s="1"/>
  <c r="G42" i="6"/>
  <c r="I42" i="6" s="1"/>
  <c r="N41" i="6"/>
  <c r="O41" i="6" s="1"/>
  <c r="K41" i="6"/>
  <c r="H41" i="6"/>
  <c r="F41" i="6"/>
  <c r="E41" i="6"/>
  <c r="D41" i="6"/>
  <c r="C41" i="6"/>
  <c r="B41" i="6"/>
  <c r="G40" i="6"/>
  <c r="I40" i="6" s="1"/>
  <c r="J40" i="6" s="1"/>
  <c r="G39" i="6"/>
  <c r="J39" i="6" s="1"/>
  <c r="G38" i="6"/>
  <c r="I38" i="6" s="1"/>
  <c r="J38" i="6" s="1"/>
  <c r="G37" i="6"/>
  <c r="I37" i="6" s="1"/>
  <c r="G36" i="6"/>
  <c r="I36" i="6" s="1"/>
  <c r="J36" i="6" s="1"/>
  <c r="G35" i="6"/>
  <c r="I35" i="6" s="1"/>
  <c r="J35" i="6" s="1"/>
  <c r="G34" i="6"/>
  <c r="I34" i="6" s="1"/>
  <c r="N33" i="6"/>
  <c r="O33" i="6" s="1"/>
  <c r="K33" i="6"/>
  <c r="F33" i="6"/>
  <c r="E33" i="6"/>
  <c r="D33" i="6"/>
  <c r="C33" i="6"/>
  <c r="B33" i="6"/>
  <c r="H32" i="6"/>
  <c r="G32" i="6"/>
  <c r="I32" i="6" s="1"/>
  <c r="G31" i="6"/>
  <c r="I31" i="6" s="1"/>
  <c r="H30" i="6"/>
  <c r="G30" i="6"/>
  <c r="I30" i="6" s="1"/>
  <c r="H29" i="6"/>
  <c r="G29" i="6"/>
  <c r="I29" i="6" s="1"/>
  <c r="H28" i="6"/>
  <c r="G28" i="6"/>
  <c r="I28" i="6" s="1"/>
  <c r="J28" i="6" s="1"/>
  <c r="G27" i="6"/>
  <c r="I27" i="6" s="1"/>
  <c r="N26" i="6"/>
  <c r="K26" i="6"/>
  <c r="F26" i="6"/>
  <c r="E26" i="6"/>
  <c r="D26" i="6"/>
  <c r="C26" i="6"/>
  <c r="B26" i="6"/>
  <c r="G24" i="6"/>
  <c r="I24" i="6" s="1"/>
  <c r="J24" i="6" s="1"/>
  <c r="G23" i="6"/>
  <c r="I23" i="6" s="1"/>
  <c r="J23" i="6" s="1"/>
  <c r="G22" i="6"/>
  <c r="I22" i="6" s="1"/>
  <c r="J22" i="6" s="1"/>
  <c r="G21" i="6"/>
  <c r="I21" i="6" s="1"/>
  <c r="G20" i="6"/>
  <c r="I20" i="6" s="1"/>
  <c r="G19" i="6"/>
  <c r="I19" i="6" s="1"/>
  <c r="J19" i="6" s="1"/>
  <c r="N18" i="6"/>
  <c r="O18" i="6" s="1"/>
  <c r="K18" i="6"/>
  <c r="F18" i="6"/>
  <c r="E18" i="6"/>
  <c r="D18" i="6"/>
  <c r="C18" i="6"/>
  <c r="B18" i="6"/>
  <c r="G17" i="6"/>
  <c r="I17" i="6" s="1"/>
  <c r="J17" i="6" s="1"/>
  <c r="G16" i="6"/>
  <c r="I16" i="6" s="1"/>
  <c r="J16" i="6" s="1"/>
  <c r="G15" i="6"/>
  <c r="I15" i="6" s="1"/>
  <c r="J15" i="6" s="1"/>
  <c r="O10" i="6"/>
  <c r="G14" i="6"/>
  <c r="I14" i="6" s="1"/>
  <c r="J14" i="6" s="1"/>
  <c r="G13" i="6"/>
  <c r="I13" i="6" s="1"/>
  <c r="J13" i="6" s="1"/>
  <c r="G12" i="6"/>
  <c r="I12" i="6" s="1"/>
  <c r="J12" i="6" s="1"/>
  <c r="J10" i="6" s="1"/>
  <c r="G11" i="6"/>
  <c r="I11" i="6" s="1"/>
  <c r="K10" i="6"/>
  <c r="F10" i="6"/>
  <c r="E10" i="6"/>
  <c r="D10" i="6"/>
  <c r="C10" i="6"/>
  <c r="B10" i="6"/>
  <c r="G8" i="6"/>
  <c r="I8" i="6" s="1"/>
  <c r="J8" i="6" s="1"/>
  <c r="G7" i="6"/>
  <c r="I7" i="6" s="1"/>
  <c r="J7" i="6" s="1"/>
  <c r="G6" i="6"/>
  <c r="I6" i="6" s="1"/>
  <c r="J6" i="6" s="1"/>
  <c r="I5" i="6"/>
  <c r="J5" i="6" s="1"/>
  <c r="G4" i="6"/>
  <c r="K3" i="6"/>
  <c r="H3" i="6"/>
  <c r="E3" i="6"/>
  <c r="D3" i="6"/>
  <c r="C3" i="6"/>
  <c r="B3" i="6"/>
  <c r="N16" i="5"/>
  <c r="N13" i="5"/>
  <c r="O25" i="5"/>
  <c r="O56" i="5"/>
  <c r="N25" i="5"/>
  <c r="N17" i="5"/>
  <c r="O17" i="5" s="1"/>
  <c r="N40" i="5"/>
  <c r="O40" i="5" s="1"/>
  <c r="N3" i="5"/>
  <c r="O3" i="5" s="1"/>
  <c r="N9" i="5"/>
  <c r="O9" i="5" s="1"/>
  <c r="N32" i="5"/>
  <c r="O32" i="5" s="1"/>
  <c r="N48" i="5"/>
  <c r="O48" i="5" s="1"/>
  <c r="K56" i="5"/>
  <c r="J56" i="5"/>
  <c r="I56" i="5"/>
  <c r="F56" i="5"/>
  <c r="C56" i="5"/>
  <c r="B56" i="5"/>
  <c r="J48" i="5"/>
  <c r="I48" i="5"/>
  <c r="F48" i="5"/>
  <c r="H48" i="5"/>
  <c r="C48" i="5"/>
  <c r="B48" i="5"/>
  <c r="K48" i="5"/>
  <c r="D32" i="5"/>
  <c r="J17" i="5"/>
  <c r="I17" i="5"/>
  <c r="H17" i="5"/>
  <c r="F17" i="5"/>
  <c r="I3" i="5"/>
  <c r="J3" i="5"/>
  <c r="M3" i="5" s="1"/>
  <c r="J9" i="5"/>
  <c r="M9" i="5" s="1"/>
  <c r="I9" i="5"/>
  <c r="H9" i="5"/>
  <c r="F9" i="5"/>
  <c r="C9" i="5"/>
  <c r="B9" i="5"/>
  <c r="H3" i="5"/>
  <c r="F3" i="5"/>
  <c r="C3" i="5"/>
  <c r="K3" i="5"/>
  <c r="B3" i="5"/>
  <c r="M17" i="5"/>
  <c r="M32" i="5"/>
  <c r="E56" i="5"/>
  <c r="G63" i="5"/>
  <c r="I63" i="5" s="1"/>
  <c r="J63" i="5" s="1"/>
  <c r="G62" i="5"/>
  <c r="I62" i="5" s="1"/>
  <c r="J62" i="5" s="1"/>
  <c r="G61" i="5"/>
  <c r="I61" i="5" s="1"/>
  <c r="J61" i="5" s="1"/>
  <c r="G60" i="5"/>
  <c r="I60" i="5" s="1"/>
  <c r="J60" i="5" s="1"/>
  <c r="G59" i="5"/>
  <c r="I59" i="5" s="1"/>
  <c r="J59" i="5" s="1"/>
  <c r="H58" i="5"/>
  <c r="G58" i="5"/>
  <c r="I58" i="5" s="1"/>
  <c r="H57" i="5"/>
  <c r="G57" i="5"/>
  <c r="I57" i="5" s="1"/>
  <c r="D56" i="5"/>
  <c r="E48" i="5"/>
  <c r="E9" i="5"/>
  <c r="E3" i="5"/>
  <c r="G8" i="5"/>
  <c r="I8" i="5" s="1"/>
  <c r="J8" i="5" s="1"/>
  <c r="G7" i="5"/>
  <c r="I7" i="5" s="1"/>
  <c r="J7" i="5" s="1"/>
  <c r="G16" i="5"/>
  <c r="I16" i="5" s="1"/>
  <c r="J16" i="5" s="1"/>
  <c r="G55" i="5"/>
  <c r="I55" i="5" s="1"/>
  <c r="J55" i="5" s="1"/>
  <c r="F32" i="5"/>
  <c r="F40" i="5"/>
  <c r="M131" i="15" l="1"/>
  <c r="J31" i="6"/>
  <c r="J29" i="6"/>
  <c r="G18" i="6"/>
  <c r="G26" i="6"/>
  <c r="G41" i="6"/>
  <c r="G10" i="6"/>
  <c r="G33" i="6"/>
  <c r="O64" i="5"/>
  <c r="G57" i="6"/>
  <c r="J32" i="6"/>
  <c r="G3" i="6"/>
  <c r="H57" i="6"/>
  <c r="H26" i="6"/>
  <c r="J37" i="6"/>
  <c r="G49" i="6"/>
  <c r="J59" i="6"/>
  <c r="J21" i="6"/>
  <c r="J18" i="6" s="1"/>
  <c r="H33" i="6"/>
  <c r="J30" i="6"/>
  <c r="J20" i="6"/>
  <c r="I18" i="6"/>
  <c r="I26" i="6"/>
  <c r="J27" i="6"/>
  <c r="I41" i="6"/>
  <c r="I33" i="6"/>
  <c r="J34" i="6"/>
  <c r="I10" i="6"/>
  <c r="J11" i="6"/>
  <c r="M10" i="6" s="1"/>
  <c r="I49" i="6"/>
  <c r="J50" i="6"/>
  <c r="M49" i="6" s="1"/>
  <c r="I3" i="6"/>
  <c r="J58" i="6"/>
  <c r="J42" i="6"/>
  <c r="M41" i="6" s="1"/>
  <c r="N64" i="5"/>
  <c r="J58" i="5"/>
  <c r="H56" i="5"/>
  <c r="G56" i="5"/>
  <c r="J57" i="5"/>
  <c r="M123" i="15" l="1"/>
  <c r="J115" i="15"/>
  <c r="H70" i="6"/>
  <c r="H65" i="6" s="1"/>
  <c r="I70" i="6"/>
  <c r="M57" i="6"/>
  <c r="J26" i="6"/>
  <c r="M26" i="6" s="1"/>
  <c r="M56" i="5"/>
  <c r="M115" i="15" l="1"/>
  <c r="J107" i="15"/>
  <c r="M33" i="6"/>
  <c r="J70" i="6"/>
  <c r="M18" i="6"/>
  <c r="M70" i="6" s="1"/>
  <c r="G54" i="5"/>
  <c r="I54" i="5" s="1"/>
  <c r="J54" i="5" s="1"/>
  <c r="G53" i="5"/>
  <c r="I53" i="5" s="1"/>
  <c r="J53" i="5" s="1"/>
  <c r="G52" i="5"/>
  <c r="I52" i="5" s="1"/>
  <c r="J52" i="5" s="1"/>
  <c r="G51" i="5"/>
  <c r="I51" i="5" s="1"/>
  <c r="J51" i="5" s="1"/>
  <c r="H50" i="5"/>
  <c r="G50" i="5"/>
  <c r="I50" i="5" s="1"/>
  <c r="J50" i="5" s="1"/>
  <c r="H49" i="5"/>
  <c r="G49" i="5"/>
  <c r="I49" i="5" s="1"/>
  <c r="D48" i="5"/>
  <c r="G47" i="5"/>
  <c r="I47" i="5" s="1"/>
  <c r="J47" i="5" s="1"/>
  <c r="G46" i="5"/>
  <c r="I46" i="5" s="1"/>
  <c r="J46" i="5" s="1"/>
  <c r="G45" i="5"/>
  <c r="I45" i="5" s="1"/>
  <c r="J45" i="5" s="1"/>
  <c r="G44" i="5"/>
  <c r="I44" i="5" s="1"/>
  <c r="J44" i="5" s="1"/>
  <c r="G43" i="5"/>
  <c r="I43" i="5" s="1"/>
  <c r="J43" i="5" s="1"/>
  <c r="G42" i="5"/>
  <c r="I42" i="5" s="1"/>
  <c r="J42" i="5" s="1"/>
  <c r="H41" i="5"/>
  <c r="H40" i="5" s="1"/>
  <c r="G41" i="5"/>
  <c r="I41" i="5" s="1"/>
  <c r="K40" i="5"/>
  <c r="E40" i="5"/>
  <c r="D40" i="5"/>
  <c r="C40" i="5"/>
  <c r="B40" i="5"/>
  <c r="G39" i="5"/>
  <c r="I39" i="5" s="1"/>
  <c r="J39" i="5" s="1"/>
  <c r="G38" i="5"/>
  <c r="I38" i="5" s="1"/>
  <c r="J38" i="5" s="1"/>
  <c r="H37" i="5"/>
  <c r="G37" i="5"/>
  <c r="I37" i="5" s="1"/>
  <c r="H36" i="5"/>
  <c r="G36" i="5"/>
  <c r="I36" i="5" s="1"/>
  <c r="H35" i="5"/>
  <c r="G35" i="5"/>
  <c r="I35" i="5" s="1"/>
  <c r="H34" i="5"/>
  <c r="G34" i="5"/>
  <c r="I34" i="5" s="1"/>
  <c r="H33" i="5"/>
  <c r="G33" i="5"/>
  <c r="I33" i="5" s="1"/>
  <c r="K32" i="5"/>
  <c r="E32" i="5"/>
  <c r="C32" i="5"/>
  <c r="B32" i="5"/>
  <c r="H31" i="5"/>
  <c r="G31" i="5"/>
  <c r="I31" i="5" s="1"/>
  <c r="H30" i="5"/>
  <c r="G30" i="5"/>
  <c r="I30" i="5" s="1"/>
  <c r="H29" i="5"/>
  <c r="G29" i="5"/>
  <c r="I29" i="5" s="1"/>
  <c r="H28" i="5"/>
  <c r="G28" i="5"/>
  <c r="I28" i="5" s="1"/>
  <c r="H27" i="5"/>
  <c r="G27" i="5"/>
  <c r="I27" i="5" s="1"/>
  <c r="H26" i="5"/>
  <c r="G26" i="5"/>
  <c r="I26" i="5" s="1"/>
  <c r="K25" i="5"/>
  <c r="F25" i="5"/>
  <c r="E25" i="5"/>
  <c r="D25" i="5"/>
  <c r="C25" i="5"/>
  <c r="B25" i="5"/>
  <c r="H23" i="5"/>
  <c r="G23" i="5"/>
  <c r="I23" i="5" s="1"/>
  <c r="H22" i="5"/>
  <c r="G22" i="5"/>
  <c r="I22" i="5" s="1"/>
  <c r="H21" i="5"/>
  <c r="G21" i="5"/>
  <c r="I21" i="5" s="1"/>
  <c r="J21" i="5" s="1"/>
  <c r="H20" i="5"/>
  <c r="G20" i="5"/>
  <c r="I20" i="5" s="1"/>
  <c r="H19" i="5"/>
  <c r="G19" i="5"/>
  <c r="I19" i="5" s="1"/>
  <c r="H18" i="5"/>
  <c r="G18" i="5"/>
  <c r="I18" i="5" s="1"/>
  <c r="K17" i="5"/>
  <c r="E17" i="5"/>
  <c r="D17" i="5"/>
  <c r="C17" i="5"/>
  <c r="B17" i="5"/>
  <c r="G15" i="5"/>
  <c r="I15" i="5" s="1"/>
  <c r="J15" i="5" s="1"/>
  <c r="G14" i="5"/>
  <c r="I14" i="5" s="1"/>
  <c r="J14" i="5" s="1"/>
  <c r="G13" i="5"/>
  <c r="I13" i="5" s="1"/>
  <c r="J13" i="5" s="1"/>
  <c r="G12" i="5"/>
  <c r="I12" i="5" s="1"/>
  <c r="J12" i="5" s="1"/>
  <c r="G11" i="5"/>
  <c r="I11" i="5" s="1"/>
  <c r="J11" i="5" s="1"/>
  <c r="G10" i="5"/>
  <c r="I10" i="5" s="1"/>
  <c r="K9" i="5"/>
  <c r="D9" i="5"/>
  <c r="G6" i="5"/>
  <c r="I6" i="5" s="1"/>
  <c r="J6" i="5" s="1"/>
  <c r="G5" i="5"/>
  <c r="I5" i="5" s="1"/>
  <c r="J5" i="5" s="1"/>
  <c r="G4" i="5"/>
  <c r="I4" i="5" s="1"/>
  <c r="D3" i="5"/>
  <c r="K3" i="4"/>
  <c r="K8" i="4"/>
  <c r="K15" i="4"/>
  <c r="K29" i="4"/>
  <c r="K22" i="4"/>
  <c r="K45" i="4"/>
  <c r="K37" i="4"/>
  <c r="E45" i="4"/>
  <c r="E37" i="4"/>
  <c r="E29" i="4"/>
  <c r="E22" i="4"/>
  <c r="E15" i="4"/>
  <c r="E8" i="4"/>
  <c r="C29" i="4"/>
  <c r="B29" i="4"/>
  <c r="C15" i="4"/>
  <c r="B15" i="4"/>
  <c r="B3" i="4"/>
  <c r="C3" i="4"/>
  <c r="D3" i="4"/>
  <c r="E3" i="4"/>
  <c r="F3" i="4"/>
  <c r="H3" i="4"/>
  <c r="G4" i="4"/>
  <c r="I4" i="4" s="1"/>
  <c r="G5" i="4"/>
  <c r="I5" i="4" s="1"/>
  <c r="J5" i="4" s="1"/>
  <c r="G6" i="4"/>
  <c r="I6" i="4" s="1"/>
  <c r="J6" i="4" s="1"/>
  <c r="G7" i="4"/>
  <c r="I7" i="4" s="1"/>
  <c r="J7" i="4" s="1"/>
  <c r="B8" i="4"/>
  <c r="C8" i="4"/>
  <c r="D8" i="4"/>
  <c r="F8" i="4"/>
  <c r="H8" i="4"/>
  <c r="G9" i="4"/>
  <c r="I9" i="4" s="1"/>
  <c r="G10" i="4"/>
  <c r="I10" i="4" s="1"/>
  <c r="J10" i="4" s="1"/>
  <c r="G11" i="4"/>
  <c r="I11" i="4"/>
  <c r="J11" i="4" s="1"/>
  <c r="G12" i="4"/>
  <c r="I12" i="4" s="1"/>
  <c r="J12" i="4" s="1"/>
  <c r="G13" i="4"/>
  <c r="I13" i="4"/>
  <c r="J13" i="4" s="1"/>
  <c r="G14" i="4"/>
  <c r="I14" i="4" s="1"/>
  <c r="J14" i="4" s="1"/>
  <c r="D15" i="4"/>
  <c r="F15" i="4"/>
  <c r="G16" i="4"/>
  <c r="H16" i="4"/>
  <c r="I16" i="4"/>
  <c r="J16" i="4" s="1"/>
  <c r="G17" i="4"/>
  <c r="I17" i="4" s="1"/>
  <c r="J17" i="4" s="1"/>
  <c r="H17" i="4"/>
  <c r="G18" i="4"/>
  <c r="I18" i="4" s="1"/>
  <c r="J18" i="4" s="1"/>
  <c r="H18" i="4"/>
  <c r="G19" i="4"/>
  <c r="I19" i="4" s="1"/>
  <c r="H19" i="4"/>
  <c r="G20" i="4"/>
  <c r="I20" i="4" s="1"/>
  <c r="H20" i="4"/>
  <c r="G21" i="4"/>
  <c r="I21" i="4" s="1"/>
  <c r="J21" i="4" s="1"/>
  <c r="H21" i="4"/>
  <c r="B22" i="4"/>
  <c r="C22" i="4"/>
  <c r="G22" i="4" s="1"/>
  <c r="D22" i="4"/>
  <c r="F22" i="4"/>
  <c r="G23" i="4"/>
  <c r="I23" i="4" s="1"/>
  <c r="H23" i="4"/>
  <c r="G24" i="4"/>
  <c r="I24" i="4" s="1"/>
  <c r="H24" i="4"/>
  <c r="G25" i="4"/>
  <c r="I25" i="4" s="1"/>
  <c r="H25" i="4"/>
  <c r="G26" i="4"/>
  <c r="I26" i="4" s="1"/>
  <c r="H26" i="4"/>
  <c r="G27" i="4"/>
  <c r="I27" i="4" s="1"/>
  <c r="H27" i="4"/>
  <c r="G28" i="4"/>
  <c r="I28" i="4" s="1"/>
  <c r="H28" i="4"/>
  <c r="D29" i="4"/>
  <c r="F29" i="4"/>
  <c r="G30" i="4"/>
  <c r="I30" i="4" s="1"/>
  <c r="H30" i="4"/>
  <c r="G31" i="4"/>
  <c r="I31" i="4" s="1"/>
  <c r="H31" i="4"/>
  <c r="G32" i="4"/>
  <c r="H32" i="4"/>
  <c r="I32" i="4"/>
  <c r="J32" i="4" s="1"/>
  <c r="G33" i="4"/>
  <c r="I33" i="4" s="1"/>
  <c r="H33" i="4"/>
  <c r="G34" i="4"/>
  <c r="I34" i="4" s="1"/>
  <c r="H34" i="4"/>
  <c r="G35" i="4"/>
  <c r="I35" i="4" s="1"/>
  <c r="J35" i="4" s="1"/>
  <c r="G36" i="4"/>
  <c r="I36" i="4" s="1"/>
  <c r="J36" i="4" s="1"/>
  <c r="B37" i="4"/>
  <c r="C37" i="4"/>
  <c r="D37" i="4"/>
  <c r="F37" i="4"/>
  <c r="G38" i="4"/>
  <c r="I38" i="4" s="1"/>
  <c r="H38" i="4"/>
  <c r="H37" i="4" s="1"/>
  <c r="G39" i="4"/>
  <c r="I39" i="4" s="1"/>
  <c r="J39" i="4" s="1"/>
  <c r="G40" i="4"/>
  <c r="I40" i="4"/>
  <c r="J40" i="4" s="1"/>
  <c r="G41" i="4"/>
  <c r="I41" i="4" s="1"/>
  <c r="J41" i="4" s="1"/>
  <c r="G42" i="4"/>
  <c r="I42" i="4" s="1"/>
  <c r="J42" i="4" s="1"/>
  <c r="G43" i="4"/>
  <c r="I43" i="4"/>
  <c r="J43" i="4" s="1"/>
  <c r="G44" i="4"/>
  <c r="I44" i="4" s="1"/>
  <c r="J44" i="4" s="1"/>
  <c r="B45" i="4"/>
  <c r="C45" i="4"/>
  <c r="D45" i="4"/>
  <c r="F45" i="4"/>
  <c r="G46" i="4"/>
  <c r="I46" i="4" s="1"/>
  <c r="H46" i="4"/>
  <c r="G47" i="4"/>
  <c r="H47" i="4"/>
  <c r="H45" i="4" s="1"/>
  <c r="I47" i="4"/>
  <c r="J47" i="4"/>
  <c r="G48" i="4"/>
  <c r="I48" i="4" s="1"/>
  <c r="J48" i="4" s="1"/>
  <c r="G49" i="4"/>
  <c r="I49" i="4" s="1"/>
  <c r="J49" i="4" s="1"/>
  <c r="G50" i="4"/>
  <c r="I50" i="4" s="1"/>
  <c r="J50" i="4" s="1"/>
  <c r="G51" i="4"/>
  <c r="I51" i="4" s="1"/>
  <c r="J51" i="4" s="1"/>
  <c r="J13" i="3"/>
  <c r="I13" i="3"/>
  <c r="G11" i="3"/>
  <c r="I11" i="3" s="1"/>
  <c r="J11" i="3" s="1"/>
  <c r="H11" i="3"/>
  <c r="G12" i="3"/>
  <c r="I12" i="3" s="1"/>
  <c r="J12" i="3" s="1"/>
  <c r="H12" i="3"/>
  <c r="H10" i="3"/>
  <c r="G10" i="3"/>
  <c r="I10" i="3" s="1"/>
  <c r="H9" i="3"/>
  <c r="G9" i="3"/>
  <c r="I9" i="3" s="1"/>
  <c r="J9" i="3" s="1"/>
  <c r="H8" i="3"/>
  <c r="G8" i="3"/>
  <c r="I8" i="3" s="1"/>
  <c r="H7" i="3"/>
  <c r="G7" i="3"/>
  <c r="I7" i="3" s="1"/>
  <c r="J7" i="3" s="1"/>
  <c r="H6" i="3"/>
  <c r="G6" i="3"/>
  <c r="I6" i="3" s="1"/>
  <c r="H5" i="3"/>
  <c r="G5" i="3"/>
  <c r="I5" i="3" s="1"/>
  <c r="J5" i="3" s="1"/>
  <c r="H4" i="3"/>
  <c r="G4" i="3"/>
  <c r="I4" i="3" s="1"/>
  <c r="J4" i="3" s="1"/>
  <c r="H3" i="3"/>
  <c r="G3" i="3"/>
  <c r="I3" i="3" s="1"/>
  <c r="H2" i="3"/>
  <c r="G2" i="3"/>
  <c r="I2" i="3" s="1"/>
  <c r="H7" i="2"/>
  <c r="G7" i="2"/>
  <c r="I7" i="2" s="1"/>
  <c r="G10" i="2"/>
  <c r="I10" i="2" s="1"/>
  <c r="H10" i="2"/>
  <c r="H9" i="2"/>
  <c r="G9" i="2"/>
  <c r="I9" i="2" s="1"/>
  <c r="H8" i="2"/>
  <c r="G8" i="2"/>
  <c r="I8" i="2" s="1"/>
  <c r="H6" i="2"/>
  <c r="G6" i="2"/>
  <c r="I6" i="2" s="1"/>
  <c r="H5" i="2"/>
  <c r="G5" i="2"/>
  <c r="I5" i="2" s="1"/>
  <c r="H4" i="2"/>
  <c r="G4" i="2"/>
  <c r="I4" i="2" s="1"/>
  <c r="J4" i="2" s="1"/>
  <c r="H3" i="2"/>
  <c r="G3" i="2"/>
  <c r="I3" i="2" s="1"/>
  <c r="J3" i="2" s="1"/>
  <c r="H2" i="2"/>
  <c r="G2" i="2"/>
  <c r="I2" i="2" s="1"/>
  <c r="H8" i="1"/>
  <c r="G8" i="1"/>
  <c r="I8" i="1" s="1"/>
  <c r="J8" i="1" s="1"/>
  <c r="H7" i="1"/>
  <c r="G7" i="1"/>
  <c r="I7" i="1" s="1"/>
  <c r="J7" i="1" s="1"/>
  <c r="K7" i="1" s="1"/>
  <c r="H6" i="1"/>
  <c r="G6" i="1"/>
  <c r="I6" i="1" s="1"/>
  <c r="J6" i="1" s="1"/>
  <c r="H5" i="1"/>
  <c r="G5" i="1"/>
  <c r="I5" i="1" s="1"/>
  <c r="J5" i="1" s="1"/>
  <c r="H4" i="1"/>
  <c r="G4" i="1"/>
  <c r="I4" i="1" s="1"/>
  <c r="H3" i="1"/>
  <c r="G3" i="1"/>
  <c r="I3" i="1" s="1"/>
  <c r="J3" i="1" s="1"/>
  <c r="H2" i="1"/>
  <c r="G2" i="1"/>
  <c r="I2" i="1" s="1"/>
  <c r="J99" i="15" l="1"/>
  <c r="M107" i="15"/>
  <c r="J19" i="5"/>
  <c r="J34" i="5"/>
  <c r="H32" i="5"/>
  <c r="J31" i="5"/>
  <c r="J27" i="5"/>
  <c r="G25" i="5"/>
  <c r="J28" i="5"/>
  <c r="J20" i="5"/>
  <c r="J23" i="5"/>
  <c r="J29" i="5"/>
  <c r="H25" i="5"/>
  <c r="J30" i="5"/>
  <c r="J22" i="5"/>
  <c r="G17" i="5"/>
  <c r="J37" i="5"/>
  <c r="G3" i="5"/>
  <c r="G40" i="5"/>
  <c r="J35" i="5"/>
  <c r="J36" i="5"/>
  <c r="G32" i="5"/>
  <c r="G48" i="5"/>
  <c r="G9" i="5"/>
  <c r="J41" i="5"/>
  <c r="J40" i="5" s="1"/>
  <c r="M40" i="5" s="1"/>
  <c r="I40" i="5"/>
  <c r="J26" i="5"/>
  <c r="I25" i="5"/>
  <c r="I32" i="5"/>
  <c r="J33" i="5"/>
  <c r="J49" i="5"/>
  <c r="M48" i="5" s="1"/>
  <c r="J4" i="5"/>
  <c r="J18" i="5"/>
  <c r="J10" i="5"/>
  <c r="J30" i="4"/>
  <c r="G8" i="4"/>
  <c r="G3" i="4"/>
  <c r="J27" i="4"/>
  <c r="G37" i="4"/>
  <c r="J24" i="4"/>
  <c r="J26" i="4"/>
  <c r="J31" i="4"/>
  <c r="J29" i="4" s="1"/>
  <c r="G45" i="4"/>
  <c r="J33" i="4"/>
  <c r="G29" i="4"/>
  <c r="G15" i="4"/>
  <c r="J20" i="4"/>
  <c r="H15" i="4"/>
  <c r="H29" i="4"/>
  <c r="J19" i="4"/>
  <c r="H22" i="4"/>
  <c r="J28" i="4"/>
  <c r="J34" i="4"/>
  <c r="J25" i="4"/>
  <c r="J38" i="4"/>
  <c r="J37" i="4" s="1"/>
  <c r="I37" i="4"/>
  <c r="I29" i="4"/>
  <c r="I3" i="4"/>
  <c r="J4" i="4"/>
  <c r="J3" i="4" s="1"/>
  <c r="J15" i="4"/>
  <c r="J46" i="4"/>
  <c r="J45" i="4" s="1"/>
  <c r="M45" i="4" s="1"/>
  <c r="I45" i="4"/>
  <c r="I22" i="4"/>
  <c r="J23" i="4"/>
  <c r="I8" i="4"/>
  <c r="J9" i="4"/>
  <c r="I15" i="4"/>
  <c r="J10" i="3"/>
  <c r="J8" i="3"/>
  <c r="K8" i="3"/>
  <c r="J6" i="3"/>
  <c r="K7" i="3" s="1"/>
  <c r="H13" i="3"/>
  <c r="J3" i="3"/>
  <c r="J2" i="3"/>
  <c r="J5" i="2"/>
  <c r="J6" i="2"/>
  <c r="J7" i="2"/>
  <c r="K7" i="2" s="1"/>
  <c r="J9" i="2"/>
  <c r="K8" i="2" s="1"/>
  <c r="J8" i="2"/>
  <c r="J10" i="2"/>
  <c r="H11" i="2"/>
  <c r="I11" i="2"/>
  <c r="J2" i="2"/>
  <c r="J11" i="2" s="1"/>
  <c r="J4" i="1"/>
  <c r="H9" i="1"/>
  <c r="I9" i="1"/>
  <c r="J2" i="1"/>
  <c r="J9" i="1" s="1"/>
  <c r="M99" i="15" l="1"/>
  <c r="J91" i="15"/>
  <c r="J212" i="15" s="1"/>
  <c r="H64" i="5"/>
  <c r="J32" i="5"/>
  <c r="J25" i="5"/>
  <c r="M25" i="5" s="1"/>
  <c r="M64" i="5" s="1"/>
  <c r="I64" i="5"/>
  <c r="J22" i="4"/>
  <c r="H52" i="4"/>
  <c r="J52" i="4"/>
  <c r="M52" i="4" s="1"/>
  <c r="I52" i="4"/>
  <c r="M91" i="15" l="1"/>
  <c r="M212" i="15" s="1"/>
  <c r="J64" i="5"/>
  <c r="M83" i="15" l="1"/>
  <c r="J75" i="15"/>
  <c r="N57" i="6"/>
  <c r="J67" i="15" l="1"/>
  <c r="M75" i="15"/>
  <c r="O57" i="6"/>
  <c r="O70" i="6" s="1"/>
  <c r="N70" i="6"/>
  <c r="M67" i="15" l="1"/>
  <c r="J51" i="15"/>
  <c r="J11" i="11"/>
  <c r="J196" i="11" s="1"/>
  <c r="J43" i="15" l="1"/>
  <c r="M51" i="15"/>
  <c r="M11" i="11"/>
  <c r="M196" i="11" s="1"/>
  <c r="O179" i="11"/>
  <c r="O196" i="11" s="1"/>
  <c r="M43" i="15" l="1"/>
  <c r="N115" i="12"/>
  <c r="M35" i="15" l="1"/>
  <c r="J27" i="15"/>
  <c r="O115" i="12"/>
  <c r="N155" i="12"/>
  <c r="O155" i="12" s="1"/>
  <c r="N11" i="12" l="1"/>
  <c r="J115" i="12"/>
  <c r="M115" i="12" l="1"/>
  <c r="N51" i="12"/>
  <c r="O51" i="12" l="1"/>
  <c r="N131" i="12"/>
  <c r="J11" i="12"/>
  <c r="M155" i="12"/>
  <c r="O131" i="12" l="1"/>
  <c r="N35" i="12"/>
  <c r="M11" i="12"/>
  <c r="J51" i="12"/>
  <c r="M51" i="12" l="1"/>
  <c r="J131" i="12"/>
  <c r="O35" i="12"/>
  <c r="N83" i="12"/>
  <c r="O83" i="12" s="1"/>
  <c r="O123" i="12" l="1"/>
  <c r="N27" i="12"/>
  <c r="M131" i="12"/>
  <c r="J35" i="12"/>
  <c r="M35" i="12" s="1"/>
  <c r="J83" i="12" l="1"/>
  <c r="O27" i="12"/>
  <c r="N179" i="12"/>
  <c r="O179" i="12" s="1"/>
  <c r="O67" i="12" l="1"/>
  <c r="J123" i="12"/>
  <c r="M83" i="12"/>
  <c r="M123" i="12" l="1"/>
  <c r="J27" i="12"/>
  <c r="N91" i="12"/>
  <c r="O91" i="12" l="1"/>
  <c r="N3" i="12"/>
  <c r="J179" i="12"/>
  <c r="M27" i="12"/>
  <c r="M179" i="12" l="1"/>
  <c r="N19" i="12"/>
  <c r="O3" i="12"/>
  <c r="O19" i="12" l="1"/>
  <c r="N75" i="12"/>
  <c r="M67" i="12"/>
  <c r="J91" i="12"/>
  <c r="M91" i="12" l="1"/>
  <c r="J3" i="12"/>
  <c r="O75" i="12"/>
  <c r="N187" i="12"/>
  <c r="O187" i="12" s="1"/>
  <c r="M3" i="12" l="1"/>
  <c r="M19" i="12" l="1"/>
  <c r="O107" i="12"/>
  <c r="N139" i="12"/>
  <c r="O139" i="12" l="1"/>
  <c r="N147" i="12"/>
  <c r="M75" i="12"/>
  <c r="J187" i="12"/>
  <c r="M187" i="12" l="1"/>
  <c r="J107" i="12"/>
  <c r="O147" i="12"/>
  <c r="O59" i="12"/>
  <c r="N163" i="12" l="1"/>
  <c r="M107" i="12"/>
  <c r="J139" i="12"/>
  <c r="M139" i="12" l="1"/>
  <c r="J147" i="12"/>
  <c r="N43" i="12"/>
  <c r="O163" i="12"/>
  <c r="O43" i="12" l="1"/>
  <c r="N99" i="12"/>
  <c r="M147" i="12"/>
  <c r="O99" i="12" l="1"/>
  <c r="N171" i="12"/>
  <c r="O171" i="12" s="1"/>
  <c r="M59" i="12"/>
  <c r="J163" i="12"/>
  <c r="N196" i="12" l="1"/>
  <c r="O196" i="12"/>
  <c r="M163" i="12"/>
  <c r="J43" i="12"/>
  <c r="M43" i="12" l="1"/>
  <c r="J99" i="12"/>
  <c r="K35" i="12"/>
  <c r="K83" i="12"/>
  <c r="K27" i="12"/>
  <c r="K179" i="12"/>
  <c r="K67" i="12"/>
  <c r="K91" i="12"/>
  <c r="K3" i="12"/>
  <c r="K196" i="12" s="1"/>
  <c r="K19" i="12"/>
  <c r="K75" i="12"/>
  <c r="K187" i="12"/>
  <c r="K107" i="12"/>
  <c r="K139" i="12"/>
  <c r="K131" i="12" s="1"/>
  <c r="K147" i="12"/>
  <c r="K59" i="12"/>
  <c r="K163" i="12"/>
  <c r="K43" i="12"/>
  <c r="K99" i="12"/>
  <c r="M99" i="12" l="1"/>
  <c r="M196" i="12" s="1"/>
  <c r="J196" i="12"/>
  <c r="J171" i="12"/>
  <c r="M171" i="12" s="1"/>
  <c r="K171" i="12"/>
  <c r="K115" i="12"/>
  <c r="K155" i="12"/>
  <c r="K11" i="12"/>
  <c r="K51" i="12"/>
  <c r="H171" i="12"/>
  <c r="H115" i="12"/>
  <c r="H155" i="12"/>
  <c r="H11" i="12"/>
  <c r="H51" i="12"/>
  <c r="H131" i="12"/>
  <c r="H35" i="12"/>
  <c r="H83" i="12"/>
  <c r="H123" i="12"/>
  <c r="H27" i="12"/>
  <c r="H179" i="12"/>
  <c r="H67" i="12"/>
  <c r="H91" i="12"/>
  <c r="H3" i="12"/>
  <c r="H196" i="12" s="1"/>
  <c r="H19" i="12"/>
  <c r="H43" i="12"/>
  <c r="H59" i="12"/>
  <c r="H75" i="12"/>
  <c r="H99" i="12"/>
  <c r="H139" i="12"/>
  <c r="H147" i="12"/>
  <c r="H163" i="12"/>
  <c r="H187" i="12"/>
  <c r="I171" i="12"/>
  <c r="I115" i="12"/>
  <c r="I155" i="12"/>
  <c r="I11" i="12"/>
  <c r="I51" i="12"/>
  <c r="I131" i="12"/>
  <c r="I35" i="12"/>
  <c r="I83" i="12"/>
  <c r="I27" i="12"/>
  <c r="I179" i="12"/>
  <c r="I91" i="12"/>
  <c r="I3" i="12"/>
  <c r="I196" i="12" s="1"/>
  <c r="I43" i="12"/>
  <c r="I59" i="12"/>
  <c r="I99" i="12"/>
  <c r="I107" i="12"/>
  <c r="I139" i="12"/>
  <c r="I147" i="12"/>
  <c r="I163" i="12"/>
  <c r="I187" i="12"/>
  <c r="C203" i="15"/>
  <c r="G203" i="15" s="1"/>
  <c r="C195" i="15"/>
  <c r="G195" i="15" s="1"/>
  <c r="H203" i="15"/>
  <c r="H195" i="15" s="1"/>
  <c r="H187" i="15" s="1"/>
  <c r="H179" i="15" s="1"/>
  <c r="H155" i="15" s="1"/>
  <c r="H147" i="15" s="1"/>
  <c r="H139" i="15" s="1"/>
  <c r="H131" i="15" s="1"/>
  <c r="K203" i="15"/>
  <c r="K195" i="15" s="1"/>
  <c r="K187" i="15" s="1"/>
  <c r="E203" i="15"/>
  <c r="E195" i="15"/>
  <c r="K171" i="15" l="1"/>
  <c r="K155" i="15" s="1"/>
  <c r="K139" i="15" s="1"/>
  <c r="K115" i="15" s="1"/>
  <c r="K107" i="15" s="1"/>
  <c r="K99" i="15" s="1"/>
  <c r="K91" i="15" s="1"/>
  <c r="K83" i="15" s="1"/>
  <c r="K75" i="15" s="1"/>
  <c r="K67" i="15" s="1"/>
  <c r="K51" i="15" s="1"/>
  <c r="K43" i="15" s="1"/>
  <c r="K19" i="15" s="1"/>
  <c r="K11" i="15" s="1"/>
  <c r="K212" i="15"/>
  <c r="H115" i="15"/>
  <c r="H107" i="15" s="1"/>
  <c r="H99" i="15" s="1"/>
  <c r="H91" i="15" s="1"/>
  <c r="H83" i="15" s="1"/>
  <c r="H75" i="15" s="1"/>
  <c r="H67" i="15" s="1"/>
  <c r="H51" i="15" s="1"/>
  <c r="H43" i="15" s="1"/>
  <c r="H27" i="15" s="1"/>
  <c r="H19" i="15" s="1"/>
  <c r="H11" i="15" s="1"/>
  <c r="H212" i="15"/>
  <c r="J19" i="15"/>
  <c r="J11" i="15" s="1"/>
  <c r="M11" i="15" s="1"/>
  <c r="M19" i="15"/>
  <c r="I203" i="15"/>
  <c r="I195" i="15" s="1"/>
  <c r="I187" i="15" s="1"/>
  <c r="I212" i="15" s="1"/>
  <c r="C187" i="15"/>
  <c r="G187" i="15" s="1"/>
  <c r="C179" i="15"/>
  <c r="G179" i="15" s="1"/>
  <c r="I155" i="15"/>
  <c r="I147" i="15"/>
  <c r="I139" i="15"/>
  <c r="I131" i="15"/>
  <c r="I115" i="15"/>
  <c r="I107" i="15"/>
  <c r="I99" i="15"/>
  <c r="I91" i="15"/>
  <c r="I75" i="15"/>
  <c r="I67" i="15"/>
  <c r="I51" i="15"/>
  <c r="I43" i="15"/>
  <c r="I19" i="15"/>
  <c r="I11" i="15"/>
  <c r="N203" i="15"/>
  <c r="O203" i="15" s="1"/>
  <c r="N195" i="15"/>
  <c r="N187" i="15"/>
  <c r="O187" i="15" s="1"/>
  <c r="N179" i="15"/>
  <c r="O179" i="15" s="1"/>
  <c r="N171" i="15"/>
  <c r="O171" i="15" s="1"/>
  <c r="N155" i="15"/>
  <c r="O155" i="15" s="1"/>
  <c r="N139" i="15"/>
  <c r="N115" i="15"/>
  <c r="O115" i="15" s="1"/>
  <c r="N107" i="15"/>
  <c r="O107" i="15" s="1"/>
  <c r="N99" i="15"/>
  <c r="O99" i="15" s="1"/>
  <c r="N75" i="15"/>
  <c r="N67" i="15"/>
  <c r="O67" i="15" s="1"/>
  <c r="N51" i="15"/>
  <c r="O51" i="15" s="1"/>
  <c r="N43" i="15"/>
  <c r="N19" i="15"/>
  <c r="E187" i="15"/>
  <c r="E179" i="15"/>
  <c r="E171" i="15"/>
  <c r="E155" i="15"/>
  <c r="E147" i="15"/>
  <c r="E139" i="15"/>
  <c r="E115" i="15"/>
  <c r="E107" i="15"/>
  <c r="E99" i="15"/>
  <c r="E91" i="15"/>
  <c r="E83" i="15"/>
  <c r="E75" i="15"/>
  <c r="E67" i="15"/>
  <c r="E51" i="15"/>
  <c r="E43" i="15"/>
  <c r="C171" i="15"/>
  <c r="G171" i="15" s="1"/>
  <c r="C155" i="15"/>
  <c r="G155" i="15" s="1"/>
  <c r="C147" i="15"/>
  <c r="G147" i="15" s="1"/>
  <c r="C139" i="15"/>
  <c r="G139" i="15" s="1"/>
  <c r="G123" i="15"/>
  <c r="C115" i="15"/>
  <c r="G115" i="15" s="1"/>
  <c r="C107" i="15"/>
  <c r="G107" i="15" s="1"/>
  <c r="C99" i="15"/>
  <c r="G99" i="15" s="1"/>
  <c r="C91" i="15"/>
  <c r="G91" i="15" s="1"/>
  <c r="C83" i="15"/>
  <c r="G83" i="15" s="1"/>
  <c r="C75" i="15"/>
  <c r="G75" i="15" s="1"/>
  <c r="C67" i="15"/>
  <c r="G67" i="15" s="1"/>
  <c r="C51" i="15"/>
  <c r="G51" i="15" s="1"/>
  <c r="C43" i="15"/>
  <c r="G43" i="15" s="1"/>
  <c r="C27" i="15"/>
  <c r="C19" i="15"/>
  <c r="E19" i="15"/>
  <c r="E11" i="15"/>
  <c r="B27" i="15"/>
  <c r="B19" i="15"/>
  <c r="B11" i="15"/>
  <c r="G35" i="15"/>
  <c r="O11" i="15"/>
  <c r="D99" i="15"/>
  <c r="D91" i="15"/>
  <c r="D83" i="15"/>
  <c r="D75" i="15"/>
  <c r="D67" i="15"/>
  <c r="D51" i="15"/>
  <c r="D43" i="15"/>
  <c r="D35" i="15"/>
  <c r="D27" i="15"/>
  <c r="D19" i="15"/>
  <c r="D11" i="15"/>
  <c r="D131" i="15"/>
  <c r="F203" i="15"/>
  <c r="F195" i="15"/>
  <c r="F187" i="15"/>
  <c r="F179" i="15"/>
  <c r="F171" i="15"/>
  <c r="F155" i="15"/>
  <c r="F147" i="15"/>
  <c r="F139" i="15"/>
  <c r="F123" i="15"/>
  <c r="F115" i="15"/>
  <c r="F107" i="15"/>
  <c r="F99" i="15"/>
  <c r="F91" i="15"/>
  <c r="F83" i="15"/>
  <c r="F75" i="15"/>
  <c r="F67" i="15"/>
  <c r="F51" i="15"/>
  <c r="F43" i="15"/>
  <c r="F27" i="15"/>
  <c r="F19" i="15"/>
  <c r="F11" i="15"/>
  <c r="D203" i="15"/>
  <c r="D195" i="15"/>
  <c r="D123" i="15"/>
  <c r="O43" i="15" l="1"/>
  <c r="N212" i="15"/>
  <c r="O212" i="15"/>
  <c r="G27" i="15"/>
  <c r="G11" i="15"/>
  <c r="G19" i="15"/>
  <c r="B66" i="18"/>
  <c r="C66" i="18"/>
  <c r="G66" i="18" s="1"/>
  <c r="E66" i="18"/>
  <c r="F66" i="18"/>
  <c r="M66" i="18"/>
  <c r="K66" i="18"/>
  <c r="I257" i="20"/>
  <c r="I338" i="20" s="1"/>
  <c r="J257" i="20"/>
  <c r="M257" i="20"/>
  <c r="N257" i="20"/>
  <c r="K257" i="20"/>
  <c r="K338" i="20" s="1"/>
  <c r="H257" i="20"/>
  <c r="F257" i="20"/>
  <c r="E257" i="20"/>
  <c r="E218" i="20" s="1"/>
  <c r="C257" i="20"/>
  <c r="B257" i="20"/>
  <c r="G218" i="20" s="1"/>
  <c r="G257" i="20"/>
  <c r="O297" i="20"/>
  <c r="M297" i="20"/>
  <c r="M321" i="20"/>
  <c r="H338" i="20" l="1"/>
  <c r="O257" i="20"/>
  <c r="O338" i="20" s="1"/>
  <c r="N338" i="20"/>
  <c r="M218" i="20"/>
  <c r="M338" i="20" s="1"/>
  <c r="J338" i="20"/>
  <c r="B199" i="23"/>
  <c r="C199" i="23"/>
  <c r="G199" i="23" s="1"/>
  <c r="E199" i="23"/>
  <c r="E356" i="23" s="1"/>
  <c r="F199" i="23"/>
  <c r="H199" i="23"/>
  <c r="H356" i="23" s="1"/>
  <c r="I199" i="23"/>
  <c r="I356" i="23" s="1"/>
  <c r="J199" i="23"/>
  <c r="J356" i="23" s="1"/>
  <c r="M199" i="23"/>
  <c r="M356" i="23" s="1"/>
  <c r="K199" i="23"/>
  <c r="K356" i="23" s="1"/>
  <c r="N199" i="23"/>
  <c r="O199" i="23" s="1"/>
  <c r="O356" i="23" l="1"/>
  <c r="N356" i="23"/>
  <c r="P58" i="12" l="1"/>
</calcChain>
</file>

<file path=xl/sharedStrings.xml><?xml version="1.0" encoding="utf-8"?>
<sst xmlns="http://schemas.openxmlformats.org/spreadsheetml/2006/main" count="4023" uniqueCount="1399">
  <si>
    <t>Driver</t>
  </si>
  <si>
    <t>Hours</t>
  </si>
  <si>
    <t>Minutes</t>
  </si>
  <si>
    <t>Hourly Rate (R)</t>
  </si>
  <si>
    <t>Shifts</t>
  </si>
  <si>
    <t>Rental/Shift (R)</t>
  </si>
  <si>
    <t>Hours (Decimal)</t>
  </si>
  <si>
    <t>Rental Total (R)</t>
  </si>
  <si>
    <t>Gross Earnings (R)</t>
  </si>
  <si>
    <t>Net Pay (R)</t>
  </si>
  <si>
    <t>Mahlomola</t>
  </si>
  <si>
    <t>Thandekile</t>
  </si>
  <si>
    <t>Sipho (R45)</t>
  </si>
  <si>
    <t>Sipho (R55)</t>
  </si>
  <si>
    <t>Strike</t>
  </si>
  <si>
    <t>Njabulo</t>
  </si>
  <si>
    <t>Njabulo (65)</t>
  </si>
  <si>
    <t>TOTAL</t>
  </si>
  <si>
    <t>Simon</t>
  </si>
  <si>
    <t>Trips</t>
  </si>
  <si>
    <t>Bonus</t>
  </si>
  <si>
    <t>Net After Bonus</t>
  </si>
  <si>
    <t>Cash Received</t>
  </si>
  <si>
    <t>Cash still outstanding</t>
  </si>
  <si>
    <t>Comments</t>
  </si>
  <si>
    <t>02-03 feb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</si>
  <si>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</si>
  <si>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150 petrol</t>
  </si>
  <si>
    <t>03-04 feb</t>
  </si>
  <si>
    <t>04-05 feb'</t>
  </si>
  <si>
    <t>05-06 feb</t>
  </si>
  <si>
    <t>06-07 Feb</t>
  </si>
  <si>
    <t>08-09 Feb</t>
  </si>
  <si>
    <t>he finished his shift late 04:28 (i still calculated to 03;30) I deducted 217 minutes for all the waiting and cancelling</t>
  </si>
  <si>
    <t xml:space="preserve">03-04 feb </t>
  </si>
  <si>
    <t xml:space="preserve">Deducted 272 minutes </t>
  </si>
  <si>
    <t>deducted 54min</t>
  </si>
  <si>
    <t xml:space="preserve">05-06 feb </t>
  </si>
  <si>
    <t>Deducted 211minutes</t>
  </si>
  <si>
    <t>06-07 feb</t>
  </si>
  <si>
    <t>deducted 1 hour 48 min he was waiting and rejecting trips</t>
  </si>
  <si>
    <t>07-08 feb</t>
  </si>
  <si>
    <t>08-09 feb</t>
  </si>
  <si>
    <t>Deducted 1h8m for all the rejected trips while waiting</t>
  </si>
  <si>
    <t>07-08 Feb</t>
  </si>
  <si>
    <t xml:space="preserve">Driver had to go in to lace ,to fix proken mirror </t>
  </si>
  <si>
    <t xml:space="preserve">R150 Petrol </t>
  </si>
  <si>
    <t xml:space="preserve">Driver had to go to Ergon ,due to gas problem /R150 Petrol </t>
  </si>
  <si>
    <t>Banfield</t>
  </si>
  <si>
    <t>200 petrol</t>
  </si>
  <si>
    <t>Tembani</t>
  </si>
  <si>
    <t xml:space="preserve">Cash </t>
  </si>
  <si>
    <t>Driver started late due to driver that had the vehcile before him accidently took the key with him .Had to wait for him .</t>
  </si>
  <si>
    <t xml:space="preserve">petrol </t>
  </si>
  <si>
    <t xml:space="preserve">150 Petrol +826 Cash </t>
  </si>
  <si>
    <t xml:space="preserve">cash </t>
  </si>
  <si>
    <t>1150 +50</t>
  </si>
  <si>
    <t>Bongani Rabonda</t>
  </si>
  <si>
    <t>2-3 Feb</t>
  </si>
  <si>
    <t xml:space="preserve">Driver had a flat tire /petrol </t>
  </si>
  <si>
    <t>3-4 Feb</t>
  </si>
  <si>
    <t xml:space="preserve">Petrol </t>
  </si>
  <si>
    <t>4-5 Feb</t>
  </si>
  <si>
    <t xml:space="preserve">Driver ws feeling light headed ,stopped the vehcilel and went offline for an hour tilll he got better /petrol </t>
  </si>
  <si>
    <t>A</t>
  </si>
  <si>
    <t>mf</t>
  </si>
  <si>
    <t xml:space="preserve">6-7 Feb </t>
  </si>
  <si>
    <t>7-8 Feb</t>
  </si>
  <si>
    <t>8-9 Feb</t>
  </si>
  <si>
    <t xml:space="preserve">R100 petrol </t>
  </si>
  <si>
    <t>Mpho</t>
  </si>
  <si>
    <t xml:space="preserve">Driver had to go and collect vehcile MF65JCGP at Toyota </t>
  </si>
  <si>
    <t xml:space="preserve">5-6 Feb </t>
  </si>
  <si>
    <t xml:space="preserve">Driver had a problem with MH99SPGP ,said it didnt pick up gas/R100 PETROL </t>
  </si>
  <si>
    <t>Letsatsi</t>
  </si>
  <si>
    <t>deducted 49 mins and 23 mins for times he was offline</t>
  </si>
  <si>
    <t xml:space="preserve">Philisani </t>
  </si>
  <si>
    <t>100 petrol</t>
  </si>
  <si>
    <t>Edmore</t>
  </si>
  <si>
    <t>he took the vehicle at 4:00 and went home and started working at 05:25 100 petrol</t>
  </si>
  <si>
    <t>we deducted 1 hour 12 minutes he just went offline . 150 petrol</t>
  </si>
  <si>
    <t>Anywell</t>
  </si>
  <si>
    <t xml:space="preserve">PETROL </t>
  </si>
  <si>
    <t xml:space="preserve">was in time ,but had problem with Battery and bolt paltform didnt want to sign in /Petrol </t>
  </si>
  <si>
    <t xml:space="preserve">R200 petrol </t>
  </si>
  <si>
    <t xml:space="preserve">R1800 cash +200 petrol +150 Petrol </t>
  </si>
  <si>
    <t>Thabane</t>
  </si>
  <si>
    <t>Bongani Nkuna</t>
  </si>
  <si>
    <t>05-06 Feb</t>
  </si>
  <si>
    <t>petrol</t>
  </si>
  <si>
    <t>Innocent</t>
  </si>
  <si>
    <t>Strike(R45)</t>
  </si>
  <si>
    <t>Strike(R65)</t>
  </si>
  <si>
    <t>Njabulo(R45)</t>
  </si>
  <si>
    <t>31-1 Jan</t>
  </si>
  <si>
    <t>29-30 Dec</t>
  </si>
  <si>
    <t>30-31 Dec</t>
  </si>
  <si>
    <t>1 Jan - 2 Jan</t>
  </si>
  <si>
    <t>2 Jan -3 Jan</t>
  </si>
  <si>
    <t>3 Jan - 4 Jan</t>
  </si>
  <si>
    <t>4 Jan - 5 Jan</t>
  </si>
  <si>
    <t>Mahlomola (CDV)</t>
  </si>
  <si>
    <t>Thandekile (MR)</t>
  </si>
  <si>
    <t>Strike (MR)</t>
  </si>
  <si>
    <t>5-6 Jan</t>
  </si>
  <si>
    <t>6-7 Jan</t>
  </si>
  <si>
    <t>7-8 Jan</t>
  </si>
  <si>
    <t>8-9 Jan</t>
  </si>
  <si>
    <t>9-10 Jan</t>
  </si>
  <si>
    <t>10-11 Jan</t>
  </si>
  <si>
    <t>11-12 Jan</t>
  </si>
  <si>
    <t>Njabulo (MR)</t>
  </si>
  <si>
    <t>Simon (CDV)</t>
  </si>
  <si>
    <t>Banfield (MR)</t>
  </si>
  <si>
    <t>Tembani (CDV)</t>
  </si>
  <si>
    <t>Bongane (CDV)</t>
  </si>
  <si>
    <t xml:space="preserve">                          19-20 Jan</t>
  </si>
  <si>
    <t xml:space="preserve">                          20-21 Jan</t>
  </si>
  <si>
    <t xml:space="preserve">                          21-22 Jan</t>
  </si>
  <si>
    <t xml:space="preserve">                         22-23 Jan </t>
  </si>
  <si>
    <t xml:space="preserve">                         23-24 Jan </t>
  </si>
  <si>
    <t xml:space="preserve">R150 Petro +R150 Petrol </t>
  </si>
  <si>
    <t xml:space="preserve">                         24-25Jan</t>
  </si>
  <si>
    <t xml:space="preserve">                          25-26Jan </t>
  </si>
  <si>
    <t>19-20 Jan</t>
  </si>
  <si>
    <t xml:space="preserve">20-21 Jan </t>
  </si>
  <si>
    <t>22-23 Jan</t>
  </si>
  <si>
    <t>23- 24 Jan</t>
  </si>
  <si>
    <t>he did 11:30 due to the breaks he took i deducted the 30 min break</t>
  </si>
  <si>
    <t>24-25 Jan</t>
  </si>
  <si>
    <t>25-26 Jan</t>
  </si>
  <si>
    <t xml:space="preserve">19-20 Jan </t>
  </si>
  <si>
    <t>21-22 Jan</t>
  </si>
  <si>
    <t>23-24 Jan</t>
  </si>
  <si>
    <t>R200 petrol</t>
  </si>
  <si>
    <t>11:58 minutes , i deducted the 30 minnutes break.</t>
  </si>
  <si>
    <t>deduct 1:28 minutes he was offline for and the 30 minutes , during this time he was just standing . LDV - I deducted 3 hours for his inaction.</t>
  </si>
  <si>
    <t xml:space="preserve">R150 petrol </t>
  </si>
  <si>
    <t xml:space="preserve">Please note driver had to go in to Ergon ,Was there from (10:20 to 11:51)       R150Petrol </t>
  </si>
  <si>
    <t>Cash</t>
  </si>
  <si>
    <t xml:space="preserve">Bongane </t>
  </si>
  <si>
    <t xml:space="preserve">                          19-20 Jan </t>
  </si>
  <si>
    <r>
      <t>Should get incentive for completing 32 + trips all 6 shifts .</t>
    </r>
    <r>
      <rPr>
        <sz val="11"/>
        <color rgb="FFFF0000"/>
        <rFont val="Calibri (Body)"/>
      </rPr>
      <t>PLEASE NOTE HE ONLY DID 5 SHIFTS!!</t>
    </r>
  </si>
  <si>
    <t xml:space="preserve">                          20-21 Jan </t>
  </si>
  <si>
    <t xml:space="preserve">                          21-22 Jan  </t>
  </si>
  <si>
    <r>
      <t xml:space="preserve">Please note that the driver was involved in an accident. </t>
    </r>
    <r>
      <rPr>
        <sz val="11"/>
        <color rgb="FFFF0000"/>
        <rFont val="Calibri (Body)"/>
      </rPr>
      <t>DRIVER NEEDS TO SIGN AOD!!</t>
    </r>
  </si>
  <si>
    <t>Please note driver is going in to cancom for camera fitting .might be offline for a while (Was there for 48 min )</t>
  </si>
  <si>
    <t>1/17/2026-1/18/2026</t>
  </si>
  <si>
    <t>12-13 Jan</t>
  </si>
  <si>
    <t>13-14 Jan</t>
  </si>
  <si>
    <t>14-15 Jan</t>
  </si>
  <si>
    <t>15-16 Jan</t>
  </si>
  <si>
    <t>16-17 Jan</t>
  </si>
  <si>
    <t>17-18 Jan</t>
  </si>
  <si>
    <t>18-19 Jan</t>
  </si>
  <si>
    <t>Had do go in for gas system check ,was offline due to waiting for ergon to help (Was there for 2 hours and 32 min )</t>
  </si>
  <si>
    <t>R200 pertol</t>
  </si>
  <si>
    <t>- Please note that driver went in to Cancom for camera instalation (Was 10 min ),.Driver was Offline again due to gas problem ,Ergon called an assisted him ./petrol(Was 2 hours and 12 min)Petrol</t>
  </si>
  <si>
    <t xml:space="preserve">R600 + R1460 Dposit </t>
  </si>
  <si>
    <t>please note that this is  the amount the friver paid extra the previous week .</t>
  </si>
  <si>
    <t>R150 petrol</t>
  </si>
  <si>
    <t xml:space="preserve">Please note driver went in for brakes at toyota and was offline from 09:37 - 13:56/petrol </t>
  </si>
  <si>
    <t>`</t>
  </si>
  <si>
    <t xml:space="preserve">28-29 Jan </t>
  </si>
  <si>
    <t>29-30 Jan</t>
  </si>
  <si>
    <t xml:space="preserve">30-31 Jan </t>
  </si>
  <si>
    <t>31 Jan- 01 Feb</t>
  </si>
  <si>
    <r>
      <t xml:space="preserve">it was 11 hours 26 minutes i deducted the 26 minuntes </t>
    </r>
    <r>
      <rPr>
        <sz val="11"/>
        <color rgb="FFFF0000"/>
        <rFont val="Calibri (Body)"/>
      </rPr>
      <t>He had plenty of waiting time where he rejected trips, I deducted more time</t>
    </r>
  </si>
  <si>
    <t>01-02 Feb</t>
  </si>
  <si>
    <t xml:space="preserve">26-27 Jan </t>
  </si>
  <si>
    <r>
      <t xml:space="preserve">please note we deducted 1 hour 50 minutes because he took the vehicle at 16:00 and drover to Joubert park while offiline . </t>
    </r>
    <r>
      <rPr>
        <sz val="11"/>
        <color rgb="FFFF0000"/>
        <rFont val="Calibri (Body)"/>
      </rPr>
      <t>I deducted another 119m due to him rejecting trips while waiting</t>
    </r>
  </si>
  <si>
    <t xml:space="preserve">27-28 Jan </t>
  </si>
  <si>
    <t>He ended his shift at 04:16 we only calculated to 03:30</t>
  </si>
  <si>
    <r>
      <t xml:space="preserve">110 petrol </t>
    </r>
    <r>
      <rPr>
        <sz val="11"/>
        <color rgb="FFFF0000"/>
        <rFont val="Calibri (Body)"/>
      </rPr>
      <t>Deducted 368 minutes for rejecting trips while waiting.</t>
    </r>
  </si>
  <si>
    <t>shift started at 16:44 ended at 04:57 , we will only pay unitl 3:30 and i subtract 30 minutes break too</t>
  </si>
  <si>
    <t>He ended his Shift 04:41 , only calculated his working hours to 03:30 R100 petrol +r200 petrol (562.65 i asked him to pay for the gas for mb02dkgp as this was this vehicle first shift)</t>
  </si>
  <si>
    <t xml:space="preserve">29 - 30 Jan </t>
  </si>
  <si>
    <t xml:space="preserve">30 -31 Jan </t>
  </si>
  <si>
    <t>1Feb-2Feb</t>
  </si>
  <si>
    <t>R150 petrol /Driver came in late (06:18) and dropped off the vehcile late (18:32)</t>
  </si>
  <si>
    <t xml:space="preserve">Please note driver shift was shoft due to him drpping of the vehile eraly to go to church </t>
  </si>
  <si>
    <t>cash</t>
  </si>
  <si>
    <t>went to Toyota for brakes at 7:15 until 16:00 he only did 4 trips before the vehicle had an issue</t>
  </si>
  <si>
    <t>R550 petrol (mb83wtgp needs Gas service , he used this much petrol as the vehicle can not use Gas until service has been done)</t>
  </si>
  <si>
    <t>200 petrol ,.</t>
  </si>
  <si>
    <t>200 petrol ,please confirm r850 and 40 deposits</t>
  </si>
  <si>
    <t>Cash /Please note that the driver was offline due to wondow replacement from</t>
  </si>
  <si>
    <t xml:space="preserve">cash  </t>
  </si>
  <si>
    <t xml:space="preserve">Drives vehcile didnt have a sasol card yet and wasnt on the system ,so he paid cash </t>
  </si>
  <si>
    <t>R2400 +R260</t>
  </si>
  <si>
    <t xml:space="preserve">31Jan-1 Feb </t>
  </si>
  <si>
    <t xml:space="preserve">R915 Cah and R2089 deposit </t>
  </si>
  <si>
    <t>went in for Tyres 10:21 to 11:38 (did not include these hours on his working hours)</t>
  </si>
  <si>
    <t>I deducted 2h 24m because I'm not paying for him to wait 30min at a time and reject all the trips</t>
  </si>
  <si>
    <t>R300 pertrol vehicle needs gas service mb83wtgp)</t>
  </si>
  <si>
    <t>28-29 Jan</t>
  </si>
  <si>
    <t>they was a 1:21 minuntes gap from his shift the vehicle was not moving might mean he was sleeping i deducted that from his working hours</t>
  </si>
  <si>
    <t>30-31 Jan</t>
  </si>
  <si>
    <t>31Jan-1Feb</t>
  </si>
  <si>
    <t xml:space="preserve">driver started late and ended late </t>
  </si>
  <si>
    <t>Please note that the driver had battery issues with vehicle LZ64BXGP .From 10:45 to 15:00 he was unable to do actual work .Brough in the vehcile at 15:00 .</t>
  </si>
  <si>
    <t>09-10 Feb</t>
  </si>
  <si>
    <t>10-11 Feb</t>
  </si>
  <si>
    <r>
      <t xml:space="preserve">Deducted 153 minutes due to cancelling trips while waiting!!! </t>
    </r>
    <r>
      <rPr>
        <sz val="11"/>
        <rFont val="Calibri"/>
        <family val="2"/>
        <scheme val="minor"/>
      </rPr>
      <t>R150 petrol</t>
    </r>
  </si>
  <si>
    <t>11-12 feb</t>
  </si>
  <si>
    <t>12-13 Feb</t>
  </si>
  <si>
    <t>13-14 Feb</t>
  </si>
  <si>
    <r>
      <t xml:space="preserve">Not paying the driver past 3:30am </t>
    </r>
    <r>
      <rPr>
        <sz val="11"/>
        <rFont val="Calibri"/>
        <family val="2"/>
        <scheme val="minor"/>
      </rPr>
      <t>150petrol</t>
    </r>
  </si>
  <si>
    <t>14-15 Feb</t>
  </si>
  <si>
    <t>15-16 Feb</t>
  </si>
  <si>
    <t xml:space="preserve">Driver started late and ended late /Petrol </t>
  </si>
  <si>
    <t xml:space="preserve">driver came in late /Petrol </t>
  </si>
  <si>
    <t>R300 Petrol</t>
  </si>
  <si>
    <t xml:space="preserve">Driver started late due that his vehcile wa staken by anothe driver and ha to wait for us to allocate him another vehcile /Petrol </t>
  </si>
  <si>
    <t xml:space="preserve">R300 Petrol </t>
  </si>
  <si>
    <r>
      <rPr>
        <sz val="11"/>
        <rFont val="Calibri"/>
        <family val="2"/>
        <scheme val="minor"/>
      </rPr>
      <t>He went in for a service</t>
    </r>
    <r>
      <rPr>
        <sz val="11"/>
        <color rgb="FFFF0000"/>
        <rFont val="Calibri"/>
        <family val="2"/>
        <scheme val="minor"/>
      </rPr>
      <t xml:space="preserve"> R150 petrol</t>
    </r>
  </si>
  <si>
    <t>Not OK!!</t>
  </si>
  <si>
    <t>Driver was on time but was late coming back /cash</t>
  </si>
  <si>
    <t>Bongane R</t>
  </si>
  <si>
    <t xml:space="preserve">9- 10 Feb </t>
  </si>
  <si>
    <t xml:space="preserve">10-11 Feb </t>
  </si>
  <si>
    <t xml:space="preserve">Driver started late due to waiting for Toyota to fifnish service /R300Petrol </t>
  </si>
  <si>
    <t xml:space="preserve">                         11-12 Feb </t>
  </si>
  <si>
    <t xml:space="preserve">                          12-13 feb </t>
  </si>
  <si>
    <t xml:space="preserve">13-14 Feb </t>
  </si>
  <si>
    <t xml:space="preserve">15 -16 Feb </t>
  </si>
  <si>
    <t>Cash R313</t>
  </si>
  <si>
    <t>Driver was robbed around 12:46</t>
  </si>
  <si>
    <t>Petrol</t>
  </si>
  <si>
    <t>took the vehicle in for service</t>
  </si>
  <si>
    <t>he spent the afternon before the end of shift at Jack tyres waiting for tyres payment</t>
  </si>
  <si>
    <t>he got the same vehicle and took in for the tyre replacement</t>
  </si>
  <si>
    <t>11-12 Feb</t>
  </si>
  <si>
    <t xml:space="preserve">9 - 10 Feb </t>
  </si>
  <si>
    <t xml:space="preserve">200 Petrol /R360 cash </t>
  </si>
  <si>
    <t xml:space="preserve">10-11 feb </t>
  </si>
  <si>
    <t xml:space="preserve">                        12-13 Feb </t>
  </si>
  <si>
    <t>R200 petrol /690 cash /R350 cash</t>
  </si>
  <si>
    <t xml:space="preserve">                         13-14 Feb </t>
  </si>
  <si>
    <t>R100 petrol</t>
  </si>
  <si>
    <t xml:space="preserve">                        14-15 Feb </t>
  </si>
  <si>
    <t xml:space="preserve">                     15 -16 Feb </t>
  </si>
  <si>
    <t xml:space="preserve">09-10 Feb </t>
  </si>
  <si>
    <t xml:space="preserve">11-12 Feb </t>
  </si>
  <si>
    <t>14-15Feb</t>
  </si>
  <si>
    <t>Bonagni N</t>
  </si>
  <si>
    <t xml:space="preserve">Tshepo Joseph </t>
  </si>
  <si>
    <t>9-10 Feb</t>
  </si>
  <si>
    <t xml:space="preserve">Please note driver had a broblem wit the vehcile .It didnt want to start aroun 18:00 and was stuck till 20 :00/cash </t>
  </si>
  <si>
    <t xml:space="preserve">12-13 Feb </t>
  </si>
  <si>
    <t>R150 petrol /cash</t>
  </si>
  <si>
    <t xml:space="preserve">                         13-14 Feb</t>
  </si>
  <si>
    <t xml:space="preserve">                        14 -15 Feb   </t>
  </si>
  <si>
    <t xml:space="preserve">Please not ethe driver was involved in an accident around 18:00 /R200 petrol </t>
  </si>
  <si>
    <t xml:space="preserve">Katleho Moloi </t>
  </si>
  <si>
    <t>Ntsika Ndlela</t>
  </si>
  <si>
    <t>12-13Feb</t>
  </si>
  <si>
    <t>I have called him in just give him some more guidelines as to how he needs to work.</t>
  </si>
  <si>
    <t>Mpomelelo Msebenzi</t>
  </si>
  <si>
    <t xml:space="preserve">R50 Cash /petrol </t>
  </si>
  <si>
    <t xml:space="preserve">Paid for tires </t>
  </si>
  <si>
    <t xml:space="preserve">Have called him to just give him some guidlines </t>
  </si>
  <si>
    <t xml:space="preserve">17-18 Feb </t>
  </si>
  <si>
    <t xml:space="preserve">Driver started late and was late /R200 Petrol +R150 petrol </t>
  </si>
  <si>
    <t xml:space="preserve">18-19 Feb </t>
  </si>
  <si>
    <t xml:space="preserve">Driver started late and was on time for drop off </t>
  </si>
  <si>
    <t xml:space="preserve">19-20 Feb </t>
  </si>
  <si>
    <t>20-21 Feb</t>
  </si>
  <si>
    <t xml:space="preserve">Driver starte dlate but was ontime for drop off </t>
  </si>
  <si>
    <t xml:space="preserve">21-22 Feb </t>
  </si>
  <si>
    <t>I deducted 154 minutes as he waited long and cancelled rides R100 petrol</t>
  </si>
  <si>
    <t xml:space="preserve">Deducted 2 hours </t>
  </si>
  <si>
    <t>19-20 Feb</t>
  </si>
  <si>
    <t>21-22 Feb</t>
  </si>
  <si>
    <t>22-23 Feb</t>
  </si>
  <si>
    <t>Lunga Ntloko</t>
  </si>
  <si>
    <t xml:space="preserve">16-17 Feb </t>
  </si>
  <si>
    <r>
      <t xml:space="preserve">Deducted 140 minutes </t>
    </r>
    <r>
      <rPr>
        <sz val="11"/>
        <color rgb="FFFF0000"/>
        <rFont val="Calibri (Body)"/>
      </rPr>
      <t>I deducted 360 minutes</t>
    </r>
  </si>
  <si>
    <t>Deducted 171 minutes</t>
  </si>
  <si>
    <t>16-17 Feb</t>
  </si>
  <si>
    <t>150 Petrol</t>
  </si>
  <si>
    <t>Deducted 191 minutes R300 petrol</t>
  </si>
  <si>
    <t>Deducted 228 minutes</t>
  </si>
  <si>
    <t>R100 Petrol</t>
  </si>
  <si>
    <t xml:space="preserve">Driver started late due to car battery problems ,he was on time .Petrol </t>
  </si>
  <si>
    <t>Please note that driver was here at 06:08 and had went straight to Petrol station to fill before going online and starting ,But vehcile did not want to start .Jumped started it at 07:30 nd continued working .Vehicle kept switching of and he couldnt work properly so he brough the vehicle in at 12:30</t>
  </si>
  <si>
    <t xml:space="preserve">Driver was on time but was late /R300Petrol </t>
  </si>
  <si>
    <t xml:space="preserve">Driver was on time but a few min late for drop off </t>
  </si>
  <si>
    <t xml:space="preserve">Driver was on time but a few min late for drop off /Petrol </t>
  </si>
  <si>
    <t>200 petrol+150 petrol on this day Sartan did not have Lpg</t>
  </si>
  <si>
    <t>R200 Petrol</t>
  </si>
  <si>
    <t xml:space="preserve">Driver was in ontime for pick up and drop off /R1500 petrol /R300 etrol </t>
  </si>
  <si>
    <t xml:space="preserve">Please note that driver went to cancom around 12 :30 and was waiting for assistance to pick up the one vehcile and drop of the other until 14:11 /R350 Petrol </t>
  </si>
  <si>
    <t xml:space="preserve">R987 Cash </t>
  </si>
  <si>
    <t xml:space="preserve">R800 Cash </t>
  </si>
  <si>
    <t xml:space="preserve">Driver was late for pickup but ontime for drop off  </t>
  </si>
  <si>
    <t xml:space="preserve">Driver was on time for pick up but a little late for drop off /R150 Petrol </t>
  </si>
  <si>
    <t xml:space="preserve">Driver was on timr ofr pick up and drop off </t>
  </si>
  <si>
    <t xml:space="preserve">R400 Petrol </t>
  </si>
  <si>
    <t>Please note that the driver was on time ,but he was suspended due to accidently taking a trip offline .He brough back the vehicle at 6:16</t>
  </si>
  <si>
    <t xml:space="preserve">Driver was on time to dop off and collect /cash </t>
  </si>
  <si>
    <t>Driver was on time for drop of but was as little late for drop off /R400 Petrol</t>
  </si>
  <si>
    <t xml:space="preserve">Driver was on time Pick but a few min late for drop off </t>
  </si>
  <si>
    <t>Mpho Mauvha</t>
  </si>
  <si>
    <t>Deducted 156 min</t>
  </si>
  <si>
    <r>
      <t xml:space="preserve">150 Petrol. </t>
    </r>
    <r>
      <rPr>
        <sz val="11"/>
        <color rgb="FFFF0000"/>
        <rFont val="Calibri (Body)"/>
      </rPr>
      <t>Deducted 166 minutes</t>
    </r>
  </si>
  <si>
    <t>R500 petrol MM80PFGP is due for service</t>
  </si>
  <si>
    <r>
      <t xml:space="preserve">deducted 280 minutes  </t>
    </r>
    <r>
      <rPr>
        <sz val="11"/>
        <color rgb="FFFF0000"/>
        <rFont val="Calibri (Body)"/>
      </rPr>
      <t>WHY?</t>
    </r>
    <r>
      <rPr>
        <sz val="11"/>
        <color theme="1"/>
        <rFont val="Calibri"/>
        <family val="2"/>
        <scheme val="minor"/>
      </rPr>
      <t xml:space="preserve"> I recalculated and got 8h51m R150 Petrol</t>
    </r>
  </si>
  <si>
    <t>21-22Feb</t>
  </si>
  <si>
    <t xml:space="preserve">R200 Petrol </t>
  </si>
  <si>
    <t>400 petrol 2 eceipts of R200 , he filled in Petrol because they was no lpg .</t>
  </si>
  <si>
    <t xml:space="preserve">Driver was on time with pick and and drop off /R150 Cash </t>
  </si>
  <si>
    <t xml:space="preserve">driver was on time with ick up and drop off </t>
  </si>
  <si>
    <t xml:space="preserve">Please note driver was ontime and dropped of on time /150 petrol /R182 Cash </t>
  </si>
  <si>
    <t xml:space="preserve">driver was ontime with ick upand drop off /Petrol </t>
  </si>
  <si>
    <t xml:space="preserve">Driver was ontime with ick up but a few min late with drop off /Petrol </t>
  </si>
  <si>
    <t xml:space="preserve">Driver was on time with pick up and drop off /R350 Petrol </t>
  </si>
  <si>
    <t>Deducted 200 min</t>
  </si>
  <si>
    <t>17-18Feb</t>
  </si>
  <si>
    <r>
      <t xml:space="preserve">deducted 2 hours 7 minutes R200 petrol. </t>
    </r>
    <r>
      <rPr>
        <sz val="11"/>
        <color rgb="FFFF0000"/>
        <rFont val="Calibri (Body)"/>
      </rPr>
      <t>I deducted 238 minutes</t>
    </r>
  </si>
  <si>
    <t>Deducted 239 minutes</t>
  </si>
  <si>
    <t>Please note driver was on time 4:00 ,had a problem with dinding the key ,The security misplaced it and could only start at around 04:46</t>
  </si>
  <si>
    <t xml:space="preserve">Please note driver was on time with both pick up and drop off /petrol </t>
  </si>
  <si>
    <t xml:space="preserve">Driver was ontime for pick up but a few min late for drop off </t>
  </si>
  <si>
    <t>16 -17 feb</t>
  </si>
  <si>
    <t xml:space="preserve">17-18 feb </t>
  </si>
  <si>
    <t>18 -19 feb</t>
  </si>
  <si>
    <t>Driver was offline most of the night ,or waiting and nor repsonding to trips for a long period off time .When asked wht he said hes waiting for traffic to die down .</t>
  </si>
  <si>
    <t>350 petrol receipts</t>
  </si>
  <si>
    <t xml:space="preserve">I have called the driver to give more advise and better pointers on how to to better </t>
  </si>
  <si>
    <t xml:space="preserve">Please note driver was on time for pick up and drop off/R200 Petrol </t>
  </si>
  <si>
    <t>please note driver was on time for pick up and dock off</t>
  </si>
  <si>
    <t xml:space="preserve">please note driver was in time for pick up and drop off /Cash </t>
  </si>
  <si>
    <t xml:space="preserve">Please Note driverwas on time for pick up and drop off /150 Petrol </t>
  </si>
  <si>
    <t>Tapson Ndlovu</t>
  </si>
  <si>
    <r>
      <t xml:space="preserve">300 petrol no lpg. </t>
    </r>
    <r>
      <rPr>
        <sz val="11"/>
        <color rgb="FFFF0000"/>
        <rFont val="Calibri (Body)"/>
      </rPr>
      <t>Deducted 120min</t>
    </r>
  </si>
  <si>
    <t>200 Petrol</t>
  </si>
  <si>
    <t xml:space="preserve">Dylan Levertce Buys </t>
  </si>
  <si>
    <t>18-19 Feb</t>
  </si>
  <si>
    <t xml:space="preserve">Driver was on time and came back on time </t>
  </si>
  <si>
    <t xml:space="preserve">                         20-21 Feb </t>
  </si>
  <si>
    <t xml:space="preserve">Driver was on time but was late dropping off /Petrol </t>
  </si>
  <si>
    <t xml:space="preserve">Driver was on time but was late dropping off /R70 Cash </t>
  </si>
  <si>
    <t>Samuel Scelo</t>
  </si>
  <si>
    <t>18-19 feb</t>
  </si>
  <si>
    <t xml:space="preserve">20-21 Feb </t>
  </si>
  <si>
    <t xml:space="preserve">Brendon Claive </t>
  </si>
  <si>
    <t xml:space="preserve">19 - 20 Feb </t>
  </si>
  <si>
    <t xml:space="preserve">Driver was on time for pick up and drop off /Please note driver paid the R200 out of his own pocket </t>
  </si>
  <si>
    <t xml:space="preserve">Driver was in time for pick up and drop off /R285 Cash /R100 Petrol </t>
  </si>
  <si>
    <t xml:space="preserve">Driver was on time for pick up and drop off </t>
  </si>
  <si>
    <t>Thuso Mokoena</t>
  </si>
  <si>
    <t>Blessed Moyo</t>
  </si>
  <si>
    <t xml:space="preserve">200 petrol </t>
  </si>
  <si>
    <t>2-3 Mar</t>
  </si>
  <si>
    <t>3-4 Mar</t>
  </si>
  <si>
    <t xml:space="preserve">Please note driver had to go to toyot for emergency brakes .Was there from 9:50 to 16:45 ,therefore driver was late for drop off . /petrol </t>
  </si>
  <si>
    <t>4-5 Mar</t>
  </si>
  <si>
    <t>7-8 mar</t>
  </si>
  <si>
    <t xml:space="preserve">23-24 Feb </t>
  </si>
  <si>
    <t xml:space="preserve">24-25 feb </t>
  </si>
  <si>
    <t xml:space="preserve">25-26 Feb </t>
  </si>
  <si>
    <t>Deducted 230 mintues waiting and rejecting trips .</t>
  </si>
  <si>
    <t xml:space="preserve">26-27 Feb </t>
  </si>
  <si>
    <t>Deducted 120 mintues waiting and rejecting trips .</t>
  </si>
  <si>
    <t>27-28 Feb</t>
  </si>
  <si>
    <t>28-01 Mar</t>
  </si>
  <si>
    <r>
      <t xml:space="preserve">Deducted 210 minutues waiting and rejecting trips R150 petrol. </t>
    </r>
    <r>
      <rPr>
        <sz val="11"/>
        <color rgb="FFFF0000"/>
        <rFont val="Calibri (Body)"/>
      </rPr>
      <t>Charged him for 20.8kms private trips</t>
    </r>
  </si>
  <si>
    <t>01-02 Mar</t>
  </si>
  <si>
    <t>deducted 266min</t>
  </si>
  <si>
    <t xml:space="preserve">Deducted 492 Min </t>
  </si>
  <si>
    <t>24-25 Feb</t>
  </si>
  <si>
    <t>25-26 Feb</t>
  </si>
  <si>
    <t>Deducted 390 min plus charging him for personal trips</t>
  </si>
  <si>
    <t>Deducted 190 minutes plus charging him for personal trips</t>
  </si>
  <si>
    <t xml:space="preserve">Driver was on time for pick up but was a little late for drop off /petrol </t>
  </si>
  <si>
    <r>
      <t xml:space="preserve">Driver was on time for drop off and pick up. </t>
    </r>
    <r>
      <rPr>
        <sz val="11"/>
        <color rgb="FFFF0000"/>
        <rFont val="Calibri (Body)"/>
      </rPr>
      <t>Charges him for 20.7 kms personal use</t>
    </r>
    <r>
      <rPr>
        <sz val="11"/>
        <color theme="1"/>
        <rFont val="Calibri"/>
        <family val="2"/>
        <scheme val="minor"/>
      </rPr>
      <t xml:space="preserve"> /R200 petrol </t>
    </r>
  </si>
  <si>
    <t xml:space="preserve">Driver was on time for drop off and pick up </t>
  </si>
  <si>
    <t>Deducted 164 min and charged him67.9kms personal use</t>
  </si>
  <si>
    <t>Charged him 29.9kms personal use</t>
  </si>
  <si>
    <t>Charged him 31.8 kms private use</t>
  </si>
  <si>
    <t>Charged him 47.9kms personal use</t>
  </si>
  <si>
    <t>Charged him 48kms personal use</t>
  </si>
  <si>
    <t xml:space="preserve">Driver was on time for shift but came in late </t>
  </si>
  <si>
    <t xml:space="preserve">Driver was on time for onboarding but was late for ofboarding </t>
  </si>
  <si>
    <t xml:space="preserve">Driver was on time for shift but was late for shift due to being at gas service .Service started at 13:22 to 19:44 </t>
  </si>
  <si>
    <t xml:space="preserve">Driver was ontime for shift but a little late for drop off /cash </t>
  </si>
  <si>
    <t xml:space="preserve">cash /R200 petrol </t>
  </si>
  <si>
    <t>Bongane Rabonda</t>
  </si>
  <si>
    <t>Driver was offline for 2 h and 35 min near the end of his shift</t>
  </si>
  <si>
    <t xml:space="preserve">24-25 Feb </t>
  </si>
  <si>
    <t xml:space="preserve">Driver was late for pick up and drop off </t>
  </si>
  <si>
    <t xml:space="preserve">25-26 feb </t>
  </si>
  <si>
    <t xml:space="preserve">Driver was late for pick up and drop off /Petrol </t>
  </si>
  <si>
    <t xml:space="preserve">Driver was late for pick up but on time for drop off </t>
  </si>
  <si>
    <t xml:space="preserve">27-28 feb </t>
  </si>
  <si>
    <t>28-1 Feb-mar</t>
  </si>
  <si>
    <t xml:space="preserve">Please note driver had a puncher …had to chnege tires </t>
  </si>
  <si>
    <t>Mpho Motsisi</t>
  </si>
  <si>
    <t xml:space="preserve">Driver was late for pick up and drop off ,Rejected a lot of rides </t>
  </si>
  <si>
    <t>Driver was late for pick up and drop off ,</t>
  </si>
  <si>
    <t>Driver was late for ick up but on time for drop off /Petrol</t>
  </si>
  <si>
    <t xml:space="preserve">27 - 28 Feb </t>
  </si>
  <si>
    <t>28 -1 Feb And Mar</t>
  </si>
  <si>
    <t>1-2 Mar</t>
  </si>
  <si>
    <t>300 petrol</t>
  </si>
  <si>
    <t>250 petrol</t>
  </si>
  <si>
    <t xml:space="preserve">deducted 224 minutes </t>
  </si>
  <si>
    <t>petrol 150</t>
  </si>
  <si>
    <t xml:space="preserve">deduted 51 minutes for offline times </t>
  </si>
  <si>
    <t xml:space="preserve">deducted 90 minutes </t>
  </si>
  <si>
    <t xml:space="preserve">01-02 Mar </t>
  </si>
  <si>
    <t xml:space="preserve">Mpho  Muavha </t>
  </si>
  <si>
    <t xml:space="preserve">he got stuck with a Tyre issue for 2 hours  on this day </t>
  </si>
  <si>
    <t xml:space="preserve">driver was on time for both pick up and drop of .Driver was offline for 2 h and 27 min near the end </t>
  </si>
  <si>
    <t xml:space="preserve">27 -28 Feb </t>
  </si>
  <si>
    <t xml:space="preserve">28 -1 Feb - Mar </t>
  </si>
  <si>
    <t xml:space="preserve">1 -2 Mar </t>
  </si>
  <si>
    <t xml:space="preserve">R300 petrol </t>
  </si>
  <si>
    <r>
      <t xml:space="preserve">R200 petrol. </t>
    </r>
    <r>
      <rPr>
        <sz val="11"/>
        <color rgb="FFFF0000"/>
        <rFont val="Calibri (Body)"/>
      </rPr>
      <t>PLEASE CHECK HOW FAR HE TRAVELED WHEN HE WAS OFFLINE FOR 1H49M</t>
    </r>
    <r>
      <rPr>
        <sz val="11"/>
        <color theme="1"/>
        <rFont val="Calibri"/>
        <family val="2"/>
        <scheme val="minor"/>
      </rPr>
      <t xml:space="preserve">? </t>
    </r>
  </si>
  <si>
    <r>
      <t xml:space="preserve">deducted 2 hours 7 minutes R200 petrol. </t>
    </r>
    <r>
      <rPr>
        <sz val="11"/>
        <color rgb="FFFF0000"/>
        <rFont val="Calibri (Body)"/>
      </rPr>
      <t>PLEASE CHECK HOW FAR HE TRAVELED WHEN HE WAS OFFLINE FOR 47M</t>
    </r>
    <r>
      <rPr>
        <sz val="11"/>
        <color theme="1"/>
        <rFont val="Calibri"/>
        <family val="2"/>
        <scheme val="minor"/>
      </rPr>
      <t>? Also chrging him for 29.7kms personal use</t>
    </r>
  </si>
  <si>
    <t>Please check how many kms he did when offline for 1h1m and for 56min and 1h20m. Deducted 284 min.</t>
  </si>
  <si>
    <t>23-24 Feb</t>
  </si>
  <si>
    <t xml:space="preserve">Please note driver was on time for both drop of and pick up </t>
  </si>
  <si>
    <t xml:space="preserve">Driver was Ontime for pick up and drop off </t>
  </si>
  <si>
    <t xml:space="preserve">Driver was on time for shift and came in a little eralier </t>
  </si>
  <si>
    <t xml:space="preserve">Please not edriver was robbed </t>
  </si>
  <si>
    <t xml:space="preserve">27-28 Feb </t>
  </si>
  <si>
    <t xml:space="preserve">28-1 Feb -Mar </t>
  </si>
  <si>
    <t xml:space="preserve">deducted 250 minutes for rejecting trips while waiting R161 Petrol </t>
  </si>
  <si>
    <t>R150 Petrol</t>
  </si>
  <si>
    <t>28-01Mar</t>
  </si>
  <si>
    <t>180 Petrol</t>
  </si>
  <si>
    <t>01-02 March</t>
  </si>
  <si>
    <t>300 petrol no lpg</t>
  </si>
  <si>
    <t xml:space="preserve">Driver was on time to start shift but was late for drop off </t>
  </si>
  <si>
    <t xml:space="preserve">was on time for his shift but was very late for drop off /petrol </t>
  </si>
  <si>
    <t xml:space="preserve">Driver was on time for both pick upand drop off </t>
  </si>
  <si>
    <t>Driver was on time for shift start but was very late for shift drop off</t>
  </si>
  <si>
    <t xml:space="preserve">Will call driver in today so we can go through his performance and she why he is struggling </t>
  </si>
  <si>
    <t xml:space="preserve">Please note driver was on time for pick up ....he was at ergon 16:00/petrol </t>
  </si>
  <si>
    <t xml:space="preserve">25-16 Feb </t>
  </si>
  <si>
    <t>Charging him for 135km private trips</t>
  </si>
  <si>
    <t>16-27 Feb</t>
  </si>
  <si>
    <t xml:space="preserve">78-28 Feb </t>
  </si>
  <si>
    <t>Charging him for 39.8km private trips</t>
  </si>
  <si>
    <t xml:space="preserve">28-1 Feb - Mar </t>
  </si>
  <si>
    <t>Charging him for 66.3km private trips</t>
  </si>
  <si>
    <t xml:space="preserve">1 2 Mar </t>
  </si>
  <si>
    <t>Charging him for 144.2km private trips</t>
  </si>
  <si>
    <t>Zipho Mnisi</t>
  </si>
  <si>
    <t>Neil Human</t>
  </si>
  <si>
    <t>Khuthadzo Muwevho</t>
  </si>
  <si>
    <t>ANDILE KHUMALO</t>
  </si>
  <si>
    <t>31 Mar-1 Apr</t>
  </si>
  <si>
    <t>Plus R150 for petrol</t>
  </si>
  <si>
    <t xml:space="preserve">                                         1Apr-2Apr</t>
  </si>
  <si>
    <t xml:space="preserve">                                          2Apr-3Apr</t>
  </si>
  <si>
    <t>Deducted 291 min</t>
  </si>
  <si>
    <t xml:space="preserve">                                          3Apr-4Apr</t>
  </si>
  <si>
    <t xml:space="preserve">                                          4Apr-5Apr</t>
  </si>
  <si>
    <t xml:space="preserve">                                        5Apr-6Apr</t>
  </si>
  <si>
    <t>Deducted 261 min.Driver had a huge gap offline ops please check</t>
  </si>
  <si>
    <t>ANYWELL MOYO</t>
  </si>
  <si>
    <t>Deducted 237min</t>
  </si>
  <si>
    <t>BLESSED MOYO</t>
  </si>
  <si>
    <t>Deducted 1 hour 26 mins (added R200 for petrol)</t>
  </si>
  <si>
    <t>Deducted 114  min (33.3 Km accumulated )</t>
  </si>
  <si>
    <t>BONGANI RABONDA</t>
  </si>
  <si>
    <t>Deducted 84 min</t>
  </si>
  <si>
    <t xml:space="preserve">Deducted 205 min , cancelled rides and waiting. </t>
  </si>
  <si>
    <t>Deducted 157 min</t>
  </si>
  <si>
    <t>Deducted 301 min. Cancelled rides plus offline and waiting</t>
  </si>
  <si>
    <t>Deducted 119 min</t>
  </si>
  <si>
    <t>Deducted 461 min. Driver had 2-3 hours offline plus cancelled trips.</t>
  </si>
  <si>
    <t>BONGINHLANHLA NDLOVU</t>
  </si>
  <si>
    <t>Deducted 77 min</t>
  </si>
  <si>
    <t>278 plus 200 petrol, Deducted 161 min</t>
  </si>
  <si>
    <t>2 Envelopes R430 plus R581, Deducted 97 min</t>
  </si>
  <si>
    <t>Deducted 160min</t>
  </si>
  <si>
    <t>Deducted 114min</t>
  </si>
  <si>
    <t>Deducted 127 min</t>
  </si>
  <si>
    <t>BANFIELD</t>
  </si>
  <si>
    <t>BRENDON SEEFORT</t>
  </si>
  <si>
    <t>DAVID TLABAKOE</t>
  </si>
  <si>
    <t>DYLAN LERVERTCE BUYS</t>
  </si>
  <si>
    <t xml:space="preserve">                                  31Mar - 01 Apr</t>
  </si>
  <si>
    <t xml:space="preserve">                                          1Apr-2Apr</t>
  </si>
  <si>
    <t>Deducted 76 min</t>
  </si>
  <si>
    <t>Deducted 206 min</t>
  </si>
  <si>
    <t>Deducted 184 min, Driver was offline for 1 hour plus. Please follow up</t>
  </si>
  <si>
    <t>Driver took hours offline and cancelled a lot of trips. When calculated it left 10 min but wrote it as his start time till his end time for the shift. Please assist.</t>
  </si>
  <si>
    <t xml:space="preserve">                                       5Apr-6Apr</t>
  </si>
  <si>
    <t>Deducted 132 min</t>
  </si>
  <si>
    <t>KLAS SHIKAYA</t>
  </si>
  <si>
    <t xml:space="preserve">                                   30Mar-31Mar</t>
  </si>
  <si>
    <t>Deducted 347 min offline</t>
  </si>
  <si>
    <t>Deducted 380 min offline and waiting time.</t>
  </si>
  <si>
    <t xml:space="preserve">Deducted 366 min. Driver cancelled trips, and a lot of waiting time. </t>
  </si>
  <si>
    <t>Deducted 280 min driver cancelled a lot of trips and waiting time.</t>
  </si>
  <si>
    <t>Deducted 1025 min. A lot of cancelled rides, offline time and waiting time.</t>
  </si>
  <si>
    <t xml:space="preserve">Deducted 875 min. Driver cancelled a lot of rides , offline time plus waiting time. </t>
  </si>
  <si>
    <t>LEBOGANG TLATSANA</t>
  </si>
  <si>
    <t>Ask ops about 3 hours off line the car was pard</t>
  </si>
  <si>
    <t>Deducted 196 min. Driver took long hours offline and waiting time</t>
  </si>
  <si>
    <t>LESIBA MOTHIBA</t>
  </si>
  <si>
    <t xml:space="preserve">                                 31Mar - 01 Apr</t>
  </si>
  <si>
    <t>Deducted 169 min offline and waiting time</t>
  </si>
  <si>
    <t>Deducted 65 min</t>
  </si>
  <si>
    <t>Deducted 199 min. Offline and waiting time</t>
  </si>
  <si>
    <t>Deducted 191 min. Offline and waiting time</t>
  </si>
  <si>
    <t>LETSATSI</t>
  </si>
  <si>
    <t xml:space="preserve">                                      30Mar-31Mar</t>
  </si>
  <si>
    <t>Driver had 2 envelopes for the 31st. R173+R530</t>
  </si>
  <si>
    <t xml:space="preserve">                                          5Apr-6Apr</t>
  </si>
  <si>
    <t xml:space="preserve">                                          7Apr-8Apr</t>
  </si>
  <si>
    <t xml:space="preserve">                                        9Apr-10Apr</t>
  </si>
  <si>
    <t xml:space="preserve">                                     11Apr-12Apr</t>
  </si>
  <si>
    <t>LINDOKUHLE FREDY SIBEKO</t>
  </si>
  <si>
    <t>LINDOKUHLE MKABELA</t>
  </si>
  <si>
    <t>Deducted 105 min, Offline time plus waiting time.</t>
  </si>
  <si>
    <t>2Apr-3Apr</t>
  </si>
  <si>
    <t>3Apr-4Apr</t>
  </si>
  <si>
    <t>Deducted 95 min, waiting time plus offline</t>
  </si>
  <si>
    <t>4Apr-5Apr</t>
  </si>
  <si>
    <t>Deducted 58 min, waiting time plus offline.</t>
  </si>
  <si>
    <t>5Apr-6Apr</t>
  </si>
  <si>
    <t>Deducted 50 min, waiting and offline</t>
  </si>
  <si>
    <t>LORD GOLOLO</t>
  </si>
  <si>
    <t>MAHLOMOLA BOROLE</t>
  </si>
  <si>
    <t>MPHO MOTSISI</t>
  </si>
  <si>
    <t>MPHO MUAVHA</t>
  </si>
  <si>
    <t>NJABULO MADONDO</t>
  </si>
  <si>
    <t>Nkosinathi NGCEKE</t>
  </si>
  <si>
    <t xml:space="preserve">deducted 3hours 46 minutes </t>
  </si>
  <si>
    <t xml:space="preserve">deducted 252 minutes </t>
  </si>
  <si>
    <t>03-04Apr</t>
  </si>
  <si>
    <t>04-05 Apr</t>
  </si>
  <si>
    <t xml:space="preserve">                                     05-06 Apr</t>
  </si>
  <si>
    <t>NTOKOZO NGWEYA</t>
  </si>
  <si>
    <t>POPO MASEMOLA</t>
  </si>
  <si>
    <t>Deducted 270 min.</t>
  </si>
  <si>
    <t>SBONISO SHAKHANE</t>
  </si>
  <si>
    <t>31Apr-1Apr</t>
  </si>
  <si>
    <t xml:space="preserve">Deducted 138 min. Offline time and waiting time. </t>
  </si>
  <si>
    <t>1Apr-2Apr</t>
  </si>
  <si>
    <t>Deducted 169 min , Offline time and waiting time.</t>
  </si>
  <si>
    <t>6Apr-7Apr</t>
  </si>
  <si>
    <t>SIFISO NCUBE</t>
  </si>
  <si>
    <t>SIMON CHAUKE</t>
  </si>
  <si>
    <t>Plus R150 Petrol</t>
  </si>
  <si>
    <t>TAPSON NDLOVU</t>
  </si>
  <si>
    <t>puls R150 for petrol  and Deducted 180min</t>
  </si>
  <si>
    <t>R150 for petrol</t>
  </si>
  <si>
    <t>Deducted 290 min</t>
  </si>
  <si>
    <t>TEBOGO MAKGABUDI</t>
  </si>
  <si>
    <t>2h40 minutes deducted for private trip.(@lennie to assist us with charging him for 31,3km)</t>
  </si>
  <si>
    <t xml:space="preserve">Deducted 574 min. </t>
  </si>
  <si>
    <t>r100 petrol</t>
  </si>
  <si>
    <t>TEMBANI NCUBE</t>
  </si>
  <si>
    <t>THANDIKILE TIMAKWE</t>
  </si>
  <si>
    <t>31Mar - 01 Apr</t>
  </si>
  <si>
    <t>YAMKELA TSHANGASE</t>
  </si>
  <si>
    <t xml:space="preserve">Deducted 75 min. Waiting time and offline. </t>
  </si>
  <si>
    <t>8Apr-9Apr</t>
  </si>
  <si>
    <t xml:space="preserve">Deducted 120 min, Offline time and waiting time plus cancelled rides. </t>
  </si>
  <si>
    <t>9Apr-10Apr</t>
  </si>
  <si>
    <t>Deducted 193min, and 24.7km private trip</t>
  </si>
  <si>
    <t>10Apr-11Apr</t>
  </si>
  <si>
    <t xml:space="preserve">Deducted 60 min. Offline time and waiting time. </t>
  </si>
  <si>
    <t>11Apr-12Apr</t>
  </si>
  <si>
    <t>12Apr-13Apr</t>
  </si>
  <si>
    <t xml:space="preserve">Deducted 212 min. Waiting time and offline plus cancelled trips </t>
  </si>
  <si>
    <t xml:space="preserve">Deducted 159 min. Waiting time and offline plus cancelled rides. </t>
  </si>
  <si>
    <t>Deducted 152 min. Waiting time.</t>
  </si>
  <si>
    <t xml:space="preserve">Deducted 140 min. Waiting time and offline time. </t>
  </si>
  <si>
    <t xml:space="preserve">Deducted 236 min, Waiting time and offline time. </t>
  </si>
  <si>
    <t xml:space="preserve">Deducted 95 min, Cancelled rides and waiting time. </t>
  </si>
  <si>
    <t xml:space="preserve">Deducted 178 min. Waiting time and cancelled rides. </t>
  </si>
  <si>
    <t xml:space="preserve">Deducted 269 min on cancelled rides and offline time plus waiting time. </t>
  </si>
  <si>
    <t xml:space="preserve">Deducted 268 min. Cancelled rides and waiting time plus offline time. </t>
  </si>
  <si>
    <t>Charged 10kms private trips and deducted 127min</t>
  </si>
  <si>
    <t xml:space="preserve">Deducted 116 min, Cancelled rides and waiting time. </t>
  </si>
  <si>
    <t xml:space="preserve">Deducted 135 min. Waiting time and offline time. </t>
  </si>
  <si>
    <t xml:space="preserve">Deducted 83 min. Offline time and waiting time. </t>
  </si>
  <si>
    <t xml:space="preserve">Deducted 114 min. Offline time and waiting time. </t>
  </si>
  <si>
    <t>Deducted 132 min, Driver went offline a lot of times and waiting time.</t>
  </si>
  <si>
    <t>7Apr-8Apr</t>
  </si>
  <si>
    <t xml:space="preserve">Deducted 102 min, Offline and waiting time. </t>
  </si>
  <si>
    <t>Deducted 21 min. Offline and cancelled rides.</t>
  </si>
  <si>
    <t>DAVID T</t>
  </si>
  <si>
    <t>DYLEN BUYS</t>
  </si>
  <si>
    <t>Deducted 102min, cancelled rides  and offline time.</t>
  </si>
  <si>
    <t xml:space="preserve">Deducted 108 min , cancelled rides plus offline time. </t>
  </si>
  <si>
    <t xml:space="preserve">Deducted 109 min. cancelled rides and offline. </t>
  </si>
  <si>
    <t xml:space="preserve">13Apr-14Apr </t>
  </si>
  <si>
    <t xml:space="preserve">Deducted 164 min. Offline time plus cancelled rides. </t>
  </si>
  <si>
    <t>KARABO</t>
  </si>
  <si>
    <t xml:space="preserve">Deducted 232  minutes. Offline time and cancelled rides plus waiting time. </t>
  </si>
  <si>
    <t>Deducted 243 min. Cancelled rides, offline time and waiting time.</t>
  </si>
  <si>
    <t xml:space="preserve">Deducted 218 min. Driver goes offline for hours and cancelled over 20 rides. </t>
  </si>
  <si>
    <t xml:space="preserve">Deducted 214min. Deducted time and offline time. </t>
  </si>
  <si>
    <t xml:space="preserve">Deducted 259 min. Cancelled rides and offline time. </t>
  </si>
  <si>
    <t xml:space="preserve">Deducted 256 min. Cancelled rides and offline time. </t>
  </si>
  <si>
    <t>6-7Apr</t>
  </si>
  <si>
    <t xml:space="preserve">Deducted 104 min. Plus R40 added as driver had a tyre punch . </t>
  </si>
  <si>
    <t>Deducted 108 min. Offline time .</t>
  </si>
  <si>
    <t xml:space="preserve">Deducted 155 min. Offline and waiting time. </t>
  </si>
  <si>
    <t xml:space="preserve">Deducted 270 min. Offline time and waiting time. </t>
  </si>
  <si>
    <t xml:space="preserve">Deducted 215 min. Offline time and waiting time. </t>
  </si>
  <si>
    <t xml:space="preserve">Deducted 122 min. Cancelled rides and offline time. </t>
  </si>
  <si>
    <t>LESATSI MOkake</t>
  </si>
  <si>
    <t xml:space="preserve">Deducted 149 min. Cancelled rides , offline and waiting time. </t>
  </si>
  <si>
    <t xml:space="preserve">Deducted 153 min. Cancelled rides and offline time. </t>
  </si>
  <si>
    <t xml:space="preserve">Deducted 218 min. Offline time and cancelled rides. </t>
  </si>
  <si>
    <t xml:space="preserve">R400 petrol vehicle LPG not working </t>
  </si>
  <si>
    <t xml:space="preserve">Deducted 176 min, Waiting time and cancelled rides. </t>
  </si>
  <si>
    <t xml:space="preserve">Deducted 77 min for cancelled rides and offline time. </t>
  </si>
  <si>
    <t xml:space="preserve">Deducted 193 min. Offline time. </t>
  </si>
  <si>
    <t xml:space="preserve">Deducted 214 min. Offline and waiting time. </t>
  </si>
  <si>
    <t xml:space="preserve">Deducted 171 min. Offline time and cancelled rides. </t>
  </si>
  <si>
    <t xml:space="preserve">Deducted 97 min. Waiting time and offline time. </t>
  </si>
  <si>
    <t xml:space="preserve">Deducted 208 min , offline time and cancelled rides. </t>
  </si>
  <si>
    <t xml:space="preserve">Deducted 128 min. Offline time plus cancelled rides. </t>
  </si>
  <si>
    <t xml:space="preserve">Deducted 96 min, offline time and cancelled rides. </t>
  </si>
  <si>
    <t xml:space="preserve">(The envelope was written previous week). Deducted  358 min offline time,waiting time and cancelled rides. </t>
  </si>
  <si>
    <t>NKOSANA SKOSANA</t>
  </si>
  <si>
    <t>10-11Apr</t>
  </si>
  <si>
    <t>11-12 Apr</t>
  </si>
  <si>
    <t>12-13Apr</t>
  </si>
  <si>
    <t xml:space="preserve">Deducted 69 min, waiting time </t>
  </si>
  <si>
    <t xml:space="preserve">Deducted 66 min, waiting time </t>
  </si>
  <si>
    <t xml:space="preserve">Deducted 120 min. Offline time and waiting time. </t>
  </si>
  <si>
    <t xml:space="preserve">Deducted 92 min. Waiting time and offline. </t>
  </si>
  <si>
    <t xml:space="preserve">plus waiting time. </t>
  </si>
  <si>
    <t xml:space="preserve"> R120 plus R200 petrol</t>
  </si>
  <si>
    <t>SCELO NXumalo</t>
  </si>
  <si>
    <t>deducted 172min and charged 17.6kms pvt trips</t>
  </si>
  <si>
    <t>Deducted 135 min, offline rides and cancelled rides.</t>
  </si>
  <si>
    <t>Deducted 86 min, waiting time and offline.</t>
  </si>
  <si>
    <t xml:space="preserve">Deducted 109 min, waiting time . </t>
  </si>
  <si>
    <t xml:space="preserve">Deducted 168 min , waiting time and offline time. </t>
  </si>
  <si>
    <t xml:space="preserve">Deducted 90 min. Waiting time. </t>
  </si>
  <si>
    <t>Deducted 101 min, waiting time and offline.</t>
  </si>
  <si>
    <t xml:space="preserve">Deducted 129 min offline time and waiting time. </t>
  </si>
  <si>
    <t xml:space="preserve">Deducted 113 min. Offline time and waiting time. </t>
  </si>
  <si>
    <t xml:space="preserve">Deducted 137 min. Waiting and offline. </t>
  </si>
  <si>
    <t>Deducted 204 min , offline time and waiting time. and charged 13km pvt trips</t>
  </si>
  <si>
    <t>Deducted 132min and charged 32.6kms pvt trips</t>
  </si>
  <si>
    <t>TEBOGO MOGABUDI</t>
  </si>
  <si>
    <t>Deducted 121 min</t>
  </si>
  <si>
    <t xml:space="preserve">Deducted 173 min offline and waiting time. </t>
  </si>
  <si>
    <t xml:space="preserve">Deducted 189 min. Offline time and waiting time. </t>
  </si>
  <si>
    <t xml:space="preserve">Deducted 192 min. and charged 42.9kms private trips </t>
  </si>
  <si>
    <t xml:space="preserve">Deducted 194 min, Offline time and waiting time </t>
  </si>
  <si>
    <t xml:space="preserve">Deducted 101 min. Waiting time and offline. </t>
  </si>
  <si>
    <t>Deducted 123min and charged for 11.6kms private trips</t>
  </si>
  <si>
    <t xml:space="preserve">12Apr-13Apr </t>
  </si>
  <si>
    <t xml:space="preserve">Deducted 100 min for waiting time and offline time. </t>
  </si>
  <si>
    <t xml:space="preserve">Deducted 180 min. Waiting time and offline time. </t>
  </si>
  <si>
    <t>R100 PETROL</t>
  </si>
  <si>
    <t>Zwelihle Gumede</t>
  </si>
  <si>
    <t>9-10Apr</t>
  </si>
  <si>
    <t>Deducted 172min and charged for 67.7 kms private trips</t>
  </si>
  <si>
    <t>11-12Apr</t>
  </si>
  <si>
    <t>Deducted 144 min and charged for 16.4kms private trips</t>
  </si>
  <si>
    <t xml:space="preserve">2-3 March </t>
  </si>
  <si>
    <t xml:space="preserve">Driver was early for both oboarding and ofboarding /Petrol </t>
  </si>
  <si>
    <t xml:space="preserve">3-4 March </t>
  </si>
  <si>
    <t xml:space="preserve">Driver was on time for onboarding and ofbaording ,R92 .1 he owes for vehciles use ,not for work /Driver was charged for 30.7 Km private tirps /Petrol </t>
  </si>
  <si>
    <t>7-8 Mar</t>
  </si>
  <si>
    <t>02-03 Mar</t>
  </si>
  <si>
    <t>Deducted 230 minutes waiting in the sama area and cancelling trips</t>
  </si>
  <si>
    <t>03-04 Marc</t>
  </si>
  <si>
    <t>Deducted 213 minutes</t>
  </si>
  <si>
    <t>04-05 Mar</t>
  </si>
  <si>
    <t>05-06 Mar</t>
  </si>
  <si>
    <t xml:space="preserve">06-07 March </t>
  </si>
  <si>
    <t xml:space="preserve">07-08 March </t>
  </si>
  <si>
    <t>08-09 Marc</t>
  </si>
  <si>
    <t>Freddy Sibeko</t>
  </si>
  <si>
    <t>8-9 Mar</t>
  </si>
  <si>
    <t xml:space="preserve">Driver was on time for onboarding and ofboarding </t>
  </si>
  <si>
    <t xml:space="preserve">Driver was on time for onboarding and ofboarding ,R54,6  he owes for personal use of vehicle /driver wa scharged for 18 KM private trips </t>
  </si>
  <si>
    <t xml:space="preserve">Driver was charged for 26.7 KM private trips </t>
  </si>
  <si>
    <t>petrol , he had a breakdown and had to exchange vehcile and the second vehicle had a gas issue.</t>
  </si>
  <si>
    <t>Deducted 122 min and charged for 60.7km private trips</t>
  </si>
  <si>
    <t>Deducted 170 min and charged for 85.3 private kms</t>
  </si>
  <si>
    <t xml:space="preserve">Driver was on time for both onbaoarding and ofboarding </t>
  </si>
  <si>
    <t xml:space="preserve">Driver was on time for both onbaoarding and ofboarding /R150 Petrol </t>
  </si>
  <si>
    <t xml:space="preserve">Driver was charged for 20.4 Km privat etrips </t>
  </si>
  <si>
    <t xml:space="preserve">Please note driver had a puncture had to be towed to the office /R200 petrol </t>
  </si>
  <si>
    <t xml:space="preserve">Driver was charged for 69.2 KM private use </t>
  </si>
  <si>
    <t>Driver was charged for 27 KM private use</t>
  </si>
  <si>
    <t xml:space="preserve">6-7 mar </t>
  </si>
  <si>
    <t>450 Petrol</t>
  </si>
  <si>
    <t xml:space="preserve">03-04 Mar </t>
  </si>
  <si>
    <t>please assist with charged 23.5km for this shift , he took the vehicle from here dropped off his friend that were on day shift  deducted 200 minutes for rejecting</t>
  </si>
  <si>
    <t xml:space="preserve">4-5 Mar </t>
  </si>
  <si>
    <t xml:space="preserve">5-6 Mar </t>
  </si>
  <si>
    <t xml:space="preserve">6-7 Mar </t>
  </si>
  <si>
    <t xml:space="preserve">7-8 Mar </t>
  </si>
  <si>
    <t>Driver was charged for 22.9 KM private use</t>
  </si>
  <si>
    <t>mpho muavha</t>
  </si>
  <si>
    <t>Deducted 247 min</t>
  </si>
  <si>
    <t>200 petrol. Deducted 189 min</t>
  </si>
  <si>
    <t>deducted 158 min and charged for 30.8kms private trips</t>
  </si>
  <si>
    <t>5-6 Mar</t>
  </si>
  <si>
    <t>6-7 Mar</t>
  </si>
  <si>
    <t xml:space="preserve">2-3 Mar </t>
  </si>
  <si>
    <t>deducted 166 min and charged for 81.8kms</t>
  </si>
  <si>
    <t xml:space="preserve">3-4 Mar </t>
  </si>
  <si>
    <t xml:space="preserve">Driver was charged for 64 KM private use </t>
  </si>
  <si>
    <t>330  petrol</t>
  </si>
  <si>
    <t>Driver was charged for 9.9 KM private us e</t>
  </si>
  <si>
    <t>Driver was charged for 33.4 Km private us e</t>
  </si>
  <si>
    <t xml:space="preserve">300 petrol/Driver was charged for 24.9 Km Private use </t>
  </si>
  <si>
    <t xml:space="preserve">Driver was charged for 21.4 KM private use </t>
  </si>
  <si>
    <t>Deducted 282 min</t>
  </si>
  <si>
    <t>deducted 93minutes and 24.7 private kms</t>
  </si>
  <si>
    <t>Deducted 11min</t>
  </si>
  <si>
    <t>Zipho mnisi</t>
  </si>
  <si>
    <t xml:space="preserve">2-3 mar </t>
  </si>
  <si>
    <t xml:space="preserve">3-4 mar </t>
  </si>
  <si>
    <t xml:space="preserve">4-5Mar </t>
  </si>
  <si>
    <t xml:space="preserve">6-7 May </t>
  </si>
  <si>
    <t>PAID</t>
  </si>
  <si>
    <t>Charged for 16,5km private trip</t>
  </si>
  <si>
    <t>12-13 Mar</t>
  </si>
  <si>
    <t>R150 For petrol</t>
  </si>
  <si>
    <t>13-14 Mar</t>
  </si>
  <si>
    <t>14-15 Mar</t>
  </si>
  <si>
    <t>9-10 Mar</t>
  </si>
  <si>
    <t>10-11 Mar</t>
  </si>
  <si>
    <t>11-12 Mar</t>
  </si>
  <si>
    <t>15-16 Mar</t>
  </si>
  <si>
    <t>R200 for petrol</t>
  </si>
  <si>
    <t>R100 FOR PETROL</t>
  </si>
  <si>
    <t>R300 For petrol</t>
  </si>
  <si>
    <t>Deducted 228min</t>
  </si>
  <si>
    <t xml:space="preserve">Driver was on time for both onboarding and ofboarding </t>
  </si>
  <si>
    <t>Charged driver for 15km private trip</t>
  </si>
  <si>
    <t xml:space="preserve">Driver was on time for onboarding but was late for offboarding </t>
  </si>
  <si>
    <t>R200 For petrol</t>
  </si>
  <si>
    <r>
      <t xml:space="preserve">Driver was on time for both onboarding and ofboarding. </t>
    </r>
    <r>
      <rPr>
        <sz val="11"/>
        <color rgb="FFFF0000"/>
        <rFont val="Calibri (Body)"/>
      </rPr>
      <t>Deducted 258 minutes</t>
    </r>
  </si>
  <si>
    <t>R100 for petrol</t>
  </si>
  <si>
    <t>Charged for 50.1kms of private trips</t>
  </si>
  <si>
    <t>Charged for 50.7kms of private trips</t>
  </si>
  <si>
    <r>
      <t xml:space="preserve">WHAT HAPPENED!! I sent him to toyoye. </t>
    </r>
    <r>
      <rPr>
        <sz val="11"/>
        <color theme="1"/>
        <rFont val="Calibri (Body)"/>
      </rPr>
      <t>OK</t>
    </r>
    <r>
      <rPr>
        <sz val="11"/>
        <color rgb="FFFF0000"/>
        <rFont val="Calibri"/>
        <family val="2"/>
        <scheme val="minor"/>
      </rPr>
      <t>(R200 petrol )</t>
    </r>
  </si>
  <si>
    <t>Lindokuhle Fredy</t>
  </si>
  <si>
    <t>Please check if private trips were done while offline(R100 for petrol)</t>
  </si>
  <si>
    <t>Tshepo Villozho</t>
  </si>
  <si>
    <t>ZIPHO</t>
  </si>
  <si>
    <t xml:space="preserve">11-12 MAR </t>
  </si>
  <si>
    <t>Charged for 46.7 private kms</t>
  </si>
  <si>
    <t>12-13 MAR</t>
  </si>
  <si>
    <t>9-10 MAR</t>
  </si>
  <si>
    <t xml:space="preserve">10-11 MAR </t>
  </si>
  <si>
    <t>11-12 MAR</t>
  </si>
  <si>
    <t>petrol 200</t>
  </si>
  <si>
    <t>Mpho Muavha</t>
  </si>
  <si>
    <t>Lebogang</t>
  </si>
  <si>
    <t>Charged driver for 77.1kms private trips (R150 for petrol)</t>
  </si>
  <si>
    <t>Sabelo</t>
  </si>
  <si>
    <t>Andile Khumalo</t>
  </si>
  <si>
    <t>19-20 Mar</t>
  </si>
  <si>
    <t>20-21 Mar</t>
  </si>
  <si>
    <t>21-22 Mar</t>
  </si>
  <si>
    <t>22-23 Mar</t>
  </si>
  <si>
    <t>Anywell Moyo</t>
  </si>
  <si>
    <t>R60 For puncher</t>
  </si>
  <si>
    <t>Banfield Ncube</t>
  </si>
  <si>
    <t>18-19 Mar</t>
  </si>
  <si>
    <r>
      <t xml:space="preserve">R200 For petro. </t>
    </r>
    <r>
      <rPr>
        <sz val="11"/>
        <color rgb="FFFF0000"/>
        <rFont val="Calibri (Body)"/>
      </rPr>
      <t>Deducted for 15.1kms private trips</t>
    </r>
  </si>
  <si>
    <t>R</t>
  </si>
  <si>
    <t>Charged for 22.3km private trips</t>
  </si>
  <si>
    <t>R250 for petrol</t>
  </si>
  <si>
    <t>Bonginhlanhla Ndlovu</t>
  </si>
  <si>
    <t>17-18 Mar</t>
  </si>
  <si>
    <t>Need to see how many kms were done while offline!!!</t>
  </si>
  <si>
    <t>Brendon Seefort</t>
  </si>
  <si>
    <t>16-17 Mar</t>
  </si>
  <si>
    <t>David Tlabakoe</t>
  </si>
  <si>
    <t>R150 for Petrol</t>
  </si>
  <si>
    <t>Dylen Buys</t>
  </si>
  <si>
    <t>Edmore Moyo</t>
  </si>
  <si>
    <t>Lebogang Tlatsana</t>
  </si>
  <si>
    <t>Deducted 299minutes</t>
  </si>
  <si>
    <t>Letsatsi Mokake</t>
  </si>
  <si>
    <t>Mahlomola Borole</t>
  </si>
  <si>
    <t>21-22  Mar</t>
  </si>
  <si>
    <t>R160.20 For petrol plus R100 for petrol</t>
  </si>
  <si>
    <t>R200 for petrol plus R80 for petrol and again another R200 for petrol</t>
  </si>
  <si>
    <t>Njabulo Madondo</t>
  </si>
  <si>
    <t>22-23 Mar,</t>
  </si>
  <si>
    <t>Please vefiry the R657 EFT</t>
  </si>
  <si>
    <t>Philisani Ncube</t>
  </si>
  <si>
    <t>Simon Chauke</t>
  </si>
  <si>
    <t>Tebogo Makgabudi</t>
  </si>
  <si>
    <t>R100 For petrol</t>
  </si>
  <si>
    <t>Tembani Ncube</t>
  </si>
  <si>
    <t>R150 for petrol plus R150 For petrol</t>
  </si>
  <si>
    <t>R300 for petrol</t>
  </si>
  <si>
    <t>Thandikile Timakwe</t>
  </si>
  <si>
    <t>24-25 Mar</t>
  </si>
  <si>
    <t>25-26 Mar</t>
  </si>
  <si>
    <t>26-27 Mar</t>
  </si>
  <si>
    <t>27-28 Mar</t>
  </si>
  <si>
    <t>28-29 Mar</t>
  </si>
  <si>
    <t>29-30 Mar</t>
  </si>
  <si>
    <t>R400 For petrol</t>
  </si>
  <si>
    <t>Charged him for 18.5kms private trips</t>
  </si>
  <si>
    <t>23-24 Mar</t>
  </si>
  <si>
    <t>Klas Shikaya</t>
  </si>
  <si>
    <t>Please check if he drives the vehicle when going offline</t>
  </si>
  <si>
    <t xml:space="preserve">LETSATSI MOKAKE </t>
  </si>
  <si>
    <t>LINDOKUHLE SIBEKO</t>
  </si>
  <si>
    <t>R300 for petrol the gas was not working</t>
  </si>
  <si>
    <t>R210 for petrol</t>
  </si>
  <si>
    <t>R120 for petrol</t>
  </si>
  <si>
    <t>20Apr-21Apr</t>
  </si>
  <si>
    <t xml:space="preserve">Deducted 180 min for cancelled rides and offline time. </t>
  </si>
  <si>
    <t>21Apr-22Apr</t>
  </si>
  <si>
    <t xml:space="preserve">Deducted 181 min. Offline time plus cancelled rides. Added 1 hour for Andile as he could not log in because Yogama was online with his number plate. </t>
  </si>
  <si>
    <t>22Apr-23Apr</t>
  </si>
  <si>
    <t xml:space="preserve">Deducted 236 min. Offline time plus cancelled rides. </t>
  </si>
  <si>
    <t>23Apr-24Apr</t>
  </si>
  <si>
    <t xml:space="preserve">Deducted 257 min. Offline time plus cancelled rides. </t>
  </si>
  <si>
    <t>24Apr-25Apr</t>
  </si>
  <si>
    <t xml:space="preserve">Deducted 349 min. Offline time plus cancelled rides. Driver spent more than 3 hours offline. </t>
  </si>
  <si>
    <t>25Apr-26Apr</t>
  </si>
  <si>
    <t>26Apr-27Apr</t>
  </si>
  <si>
    <t>Deducted 164 min. Offline time plus cancelled rides. +R150 petrol</t>
  </si>
  <si>
    <t>BANFIELD NCUBE</t>
  </si>
  <si>
    <t xml:space="preserve">Deducted 152min offfline time plus cancelled rides. </t>
  </si>
  <si>
    <t>Deducted 49min offline time plus cancelled rides.</t>
  </si>
  <si>
    <t xml:space="preserve">Deducted 218 min offline time plus cancelled rides. Driver cancelled over 30 rides on this shift. </t>
  </si>
  <si>
    <t xml:space="preserve">Deducted 168 min. Offline time plus cancelled rides. </t>
  </si>
  <si>
    <t xml:space="preserve">Deducted 154 min. Offline time plus cancelled rides. </t>
  </si>
  <si>
    <t xml:space="preserve">Deducted 106min. Offline time plus cancelled rides. </t>
  </si>
  <si>
    <t xml:space="preserve">Deducted 57 min offline time plus cancelled rides </t>
  </si>
  <si>
    <t>Driver came back at 16:55. Charged for the extra 15.4km@R3 per KM (R46.2)</t>
  </si>
  <si>
    <t>Deducted 77min. Offline time plus cancelled rides</t>
  </si>
  <si>
    <t xml:space="preserve">Deducted 109 min. Offline time and cancelled rides. </t>
  </si>
  <si>
    <t xml:space="preserve">deducted 60 min. Offline time plus cancelled rides. </t>
  </si>
  <si>
    <t xml:space="preserve">CORRECT </t>
  </si>
  <si>
    <t xml:space="preserve">Deducted 161min offline time plus cancelled rides. </t>
  </si>
  <si>
    <t xml:space="preserve">Deducted 96 min offline time and cancelled rides. </t>
  </si>
  <si>
    <t xml:space="preserve">Deducted 83min. Offline time plus cancelled rides . </t>
  </si>
  <si>
    <t xml:space="preserve">Deducted 250 min. Offline time plus cancelled rides. </t>
  </si>
  <si>
    <t xml:space="preserve">Deducted 49min. Offline time plus cancelled rides. </t>
  </si>
  <si>
    <t xml:space="preserve">Deducted 68 min offline time plus cancelled rides. </t>
  </si>
  <si>
    <t xml:space="preserve">Deducted 138 min offline time plus cancelled rides. </t>
  </si>
  <si>
    <t xml:space="preserve">Deducted 254 min. Offline time and cancelled trips. </t>
  </si>
  <si>
    <t xml:space="preserve">Deducted 48 min. Offline time and cancelled rides. </t>
  </si>
  <si>
    <t xml:space="preserve">Deducted 112 min offline time plus cancelled rides. </t>
  </si>
  <si>
    <t xml:space="preserve"> </t>
  </si>
  <si>
    <t xml:space="preserve">Deducted 215min. Offline time plus cancelled rides. </t>
  </si>
  <si>
    <t xml:space="preserve">Deducted 233 min offline time and cancelled rides. </t>
  </si>
  <si>
    <t>Deducted 123min, offline time plus cancelled rides.</t>
  </si>
  <si>
    <t xml:space="preserve">Deducted 115min offline time and cancelled rides </t>
  </si>
  <si>
    <t xml:space="preserve">Deducted 47 min. Offline time plus cancelled rides. </t>
  </si>
  <si>
    <t>LEONARD</t>
  </si>
  <si>
    <t xml:space="preserve">Deducted 339min. Driver offline time plus cancelled rides. Driver went offline for more than 4 hours. </t>
  </si>
  <si>
    <t xml:space="preserve">Deducted 31 min. Offline time . </t>
  </si>
  <si>
    <t xml:space="preserve">Deducted 81 min. Offline time plus cancelled rides. </t>
  </si>
  <si>
    <t xml:space="preserve">Driver had 2 envelopes </t>
  </si>
  <si>
    <t xml:space="preserve">Deducted 220 min, offline time plus cancelled rides. </t>
  </si>
  <si>
    <t xml:space="preserve">Deducted 142 min. Offline time plus cancelled rides. </t>
  </si>
  <si>
    <t xml:space="preserve">Deducted 78min. Offline time plus cancelled rides. </t>
  </si>
  <si>
    <t>LESATSI MOTHIBA</t>
  </si>
  <si>
    <t xml:space="preserve">Deducted 137min offline time plus cancelled rides. </t>
  </si>
  <si>
    <t>Deducted 78 min. Offline time plus cancelled rides.</t>
  </si>
  <si>
    <t xml:space="preserve">Deducted 74min. Offline time and cancelled rides </t>
  </si>
  <si>
    <t xml:space="preserve">Deducted 180 min offline time plus cancelled rides. </t>
  </si>
  <si>
    <t xml:space="preserve">Deducted 55min. Offline time plus cancelled rides. </t>
  </si>
  <si>
    <t xml:space="preserve">Deducted 57 min. Offline time plus cancelled rides. </t>
  </si>
  <si>
    <t xml:space="preserve">Deducted 68 min. Offline time and cancelled rides. </t>
  </si>
  <si>
    <t xml:space="preserve">Deducted 24min. Offline time plus cancelled rides. </t>
  </si>
  <si>
    <t xml:space="preserve">Deducted 60 min. Offline time plus cancelled rides. </t>
  </si>
  <si>
    <t>MANDLA</t>
  </si>
  <si>
    <t xml:space="preserve">Deducted 87 min offline time plus cancelled rides. </t>
  </si>
  <si>
    <t>Driver had 2 envelopes</t>
  </si>
  <si>
    <t xml:space="preserve">Deducted 90min. Offline time plus cancelled rides. </t>
  </si>
  <si>
    <t xml:space="preserve">Deducted 69min. Offline time plus cancelled rides. </t>
  </si>
  <si>
    <t xml:space="preserve">Deducted 88min. Offline time plus cancelled rides. </t>
  </si>
  <si>
    <t xml:space="preserve">Deducted 140 min offline time plus cancelled rides. </t>
  </si>
  <si>
    <t>Deducted 95 min offline time plus cancelled rides.  Minus R150 petrol for sindile</t>
  </si>
  <si>
    <t>MOHSIN IBRAHIM TAI</t>
  </si>
  <si>
    <t>MPHO MOLOPH</t>
  </si>
  <si>
    <t xml:space="preserve">Deducted 220 min offline time and cancelled time. </t>
  </si>
  <si>
    <t xml:space="preserve">Deducted 178 min. Offline time plus cancelled rides. </t>
  </si>
  <si>
    <t xml:space="preserve">Deducted 123min. Offline time and cancelled time. </t>
  </si>
  <si>
    <t xml:space="preserve">Deducted 335min offline time plus cancelled rides. </t>
  </si>
  <si>
    <t>MPHO MOTSITSI</t>
  </si>
  <si>
    <t>NKOSANA</t>
  </si>
  <si>
    <t xml:space="preserve">Deducted 74 </t>
  </si>
  <si>
    <t xml:space="preserve">74 min cancelled rides and offline time. </t>
  </si>
  <si>
    <t xml:space="preserve">Deducted 156min. Offline time and cancelled rides. </t>
  </si>
  <si>
    <t xml:space="preserve">Deducted 127min. Offline time and cancelled rides. </t>
  </si>
  <si>
    <t xml:space="preserve">Deducted 117 min offline time plus cancelled rides. </t>
  </si>
  <si>
    <t xml:space="preserve">Deducted 41 min offline time plus cancelled rides. </t>
  </si>
  <si>
    <t xml:space="preserve">Deducted 22min offline time. </t>
  </si>
  <si>
    <t xml:space="preserve">Deducted 66min. Offline time plus cancelled rides. </t>
  </si>
  <si>
    <t xml:space="preserve">Deducted 82min offline time plus cancelled rides. </t>
  </si>
  <si>
    <t xml:space="preserve">Deducted 272min offline time plus cancelled rides. </t>
  </si>
  <si>
    <t>NTHAKO DAVID MATSEKE</t>
  </si>
  <si>
    <t xml:space="preserve">Deducted 128 min offline and cancelled rides. </t>
  </si>
  <si>
    <t xml:space="preserve">Deducted 173 min offline time and cancelled rides. </t>
  </si>
  <si>
    <t xml:space="preserve">Deducted 152 min offline time plus cancelled rides. </t>
  </si>
  <si>
    <t xml:space="preserve">Deducted 134min offline time plus cancelled rides. </t>
  </si>
  <si>
    <t>deducted 206 min offline time plus cancelled rides.</t>
  </si>
  <si>
    <t xml:space="preserve">Deducted 97 min. Offline time plus cancelled rides. </t>
  </si>
  <si>
    <t>Minus R150 Petrol for Mandla.Plus 24min offline time.</t>
  </si>
  <si>
    <t xml:space="preserve">Deducted 61min. Offline time plus cancelled rides. </t>
  </si>
  <si>
    <t xml:space="preserve">Deducted 122min offline time and cancelled rides. </t>
  </si>
  <si>
    <t>SBONISO</t>
  </si>
  <si>
    <t xml:space="preserve">Deducted 162 min offline time plus cancelled rides. </t>
  </si>
  <si>
    <t xml:space="preserve">Deducted 102min. Offline time plus cancelled rides. </t>
  </si>
  <si>
    <t xml:space="preserve">Deducted 97 min offline time plus cancelled rides. </t>
  </si>
  <si>
    <t>Deducted 110min. Offline time plus cancelled rides</t>
  </si>
  <si>
    <t>Deducted 180min. Offline time and cancelled rides.</t>
  </si>
  <si>
    <t>SCELO</t>
  </si>
  <si>
    <t xml:space="preserve">Deducted 143min offline time plus cancelled rides. </t>
  </si>
  <si>
    <t xml:space="preserve">Deducted 87min offline time plus cancelled rides. </t>
  </si>
  <si>
    <t xml:space="preserve">Deducted 121min, offline time plus cancelled rides. </t>
  </si>
  <si>
    <t xml:space="preserve">Deducted 149 min. Offline time plus cancelled rides. </t>
  </si>
  <si>
    <t>Deducted 165 min offline time plus cancelled rides.  +R150 Petrol</t>
  </si>
  <si>
    <t>SIFISO</t>
  </si>
  <si>
    <t xml:space="preserve">Deducted 22min. Offline time plus cancelled rides. </t>
  </si>
  <si>
    <t xml:space="preserve">Deducted 31min. Ofline time plus cancelled rides. </t>
  </si>
  <si>
    <t>SIMON</t>
  </si>
  <si>
    <t>SINDILE</t>
  </si>
  <si>
    <t xml:space="preserve">Deducted 63 min offline time plus offline time. </t>
  </si>
  <si>
    <t xml:space="preserve">Deducted 102 min deducted rides and cancelled rides. </t>
  </si>
  <si>
    <t xml:space="preserve">Deducted 43min. Offline time plus cancelled rides. </t>
  </si>
  <si>
    <t>SIPHAMANDLA</t>
  </si>
  <si>
    <t>TAPSON</t>
  </si>
  <si>
    <t xml:space="preserve">Deducted 137min. Offline time plus cancelled rides. </t>
  </si>
  <si>
    <t>Deducted 104 min offline time plus cancelled rides. Charged for the 26.2km @R3 per Km. (R78.6)</t>
  </si>
  <si>
    <t>Deducted 76min. Offline time plus cancelled rides.</t>
  </si>
  <si>
    <t>Deducted 153min offline time plus cancelled rides. Driver cancelled over 40 rides ops please follow up. Driver had 2 envelopes</t>
  </si>
  <si>
    <t xml:space="preserve">Deducted 182min offline time plus cancelled rides. </t>
  </si>
  <si>
    <t>TEBOGO</t>
  </si>
  <si>
    <t xml:space="preserve">Deducted 119min offline time and cancelled rides. </t>
  </si>
  <si>
    <t xml:space="preserve">Deducted 67min. Offline time plus cancelled rides. </t>
  </si>
  <si>
    <t>TEMBANI</t>
  </si>
  <si>
    <t xml:space="preserve">Deducted 73 min offline time and cancelled rides. </t>
  </si>
  <si>
    <t xml:space="preserve">Deducted 100min offline time plus cancelled rides. </t>
  </si>
  <si>
    <t>THOKOZANI</t>
  </si>
  <si>
    <t>YAMKELA</t>
  </si>
  <si>
    <t xml:space="preserve">Deducted 108 min. Offline time plus cancelled rides. </t>
  </si>
  <si>
    <t xml:space="preserve">Deducted 228 min. Offline time plus cancelled rides. </t>
  </si>
  <si>
    <t>YONGAMA</t>
  </si>
  <si>
    <t>Minus R150 for petrol for Tembani</t>
  </si>
  <si>
    <t xml:space="preserve">Deducted 127min,offline time plus cancelled rides. </t>
  </si>
  <si>
    <t xml:space="preserve">Deducted 157min offline time plus cancelled rides. </t>
  </si>
  <si>
    <t xml:space="preserve">Deducted 159min. Offline time plus cancelled rides. </t>
  </si>
  <si>
    <t>ZWELIHLE</t>
  </si>
  <si>
    <t>Driver took more than 5hours offline. Ops please follow up</t>
  </si>
  <si>
    <t>outsatnding 29/04</t>
  </si>
  <si>
    <t>27Apr-28Apr</t>
  </si>
  <si>
    <t xml:space="preserve">Deducted 120 min offline time plus cancelled rides. </t>
  </si>
  <si>
    <t>28Apr-29Apr</t>
  </si>
  <si>
    <t xml:space="preserve">Deducted 89 min offline time plus cancelled rides. </t>
  </si>
  <si>
    <t>29Apr-30Apr</t>
  </si>
  <si>
    <t xml:space="preserve">Deducted 147min. Offline time plus cancelled rides. </t>
  </si>
  <si>
    <t>30Apr-1May</t>
  </si>
  <si>
    <t xml:space="preserve">Deducted 185 min offine time plus cancelled rides. </t>
  </si>
  <si>
    <t>1May-2May</t>
  </si>
  <si>
    <t>Deducted 159min . Offline time plus cancelled rides.</t>
  </si>
  <si>
    <t>2May-3May</t>
  </si>
  <si>
    <t xml:space="preserve">Deducted 50 min offline time plus cancelled rides. </t>
  </si>
  <si>
    <t>3May-4May</t>
  </si>
  <si>
    <t xml:space="preserve">Deducted 32min offline time plus cancelled rides. </t>
  </si>
  <si>
    <t xml:space="preserve">Deducted 79min offline time plus cancelled rides. </t>
  </si>
  <si>
    <t xml:space="preserve">Deducted 131min. Offline time plus cancelled rides. </t>
  </si>
  <si>
    <t xml:space="preserve">Deducted 161min. Offline time plus cancelled rides. </t>
  </si>
  <si>
    <t xml:space="preserve">Deducted 217min offline time and cancelled time. </t>
  </si>
  <si>
    <t xml:space="preserve">Deducted 224min offline time plus cancelled rides. </t>
  </si>
  <si>
    <t>CORRECT</t>
  </si>
  <si>
    <t xml:space="preserve">Deducted 149min. Offline time plus cancelled rides. </t>
  </si>
  <si>
    <t xml:space="preserve">Deducted 95min. Offline time plus cancelled rides. </t>
  </si>
  <si>
    <t xml:space="preserve">Deducted 149min offline time plus cancelled rides. </t>
  </si>
  <si>
    <t>3may-4May</t>
  </si>
  <si>
    <t>Deducted 41min,offline time plus cancelled rides.</t>
  </si>
  <si>
    <t>Deducted 116min offline time plus cancelled rides.</t>
  </si>
  <si>
    <t xml:space="preserve">Deducted 85min offline time plus cancelled rides. </t>
  </si>
  <si>
    <t xml:space="preserve">Deducted 24min offline time plus cancelled rides. </t>
  </si>
  <si>
    <t xml:space="preserve">Deducted 104min offline time plus cancelled rides. </t>
  </si>
  <si>
    <t xml:space="preserve">Deducted 33min offline time plus cancelled rides. </t>
  </si>
  <si>
    <t xml:space="preserve">Deducted 260min. Offline time plus cancelled rides. </t>
  </si>
  <si>
    <t xml:space="preserve">Deducted 202min offline time plus cancelled rides. </t>
  </si>
  <si>
    <t>Deducted 191min offline time plus cancelled rides</t>
  </si>
  <si>
    <t>HLASHILA  LEVY</t>
  </si>
  <si>
    <t>Deducted 127min offline time plus cancelled rides.</t>
  </si>
  <si>
    <r>
      <rPr>
        <sz val="11"/>
        <color rgb="FF000000"/>
        <rFont val="Calibri"/>
        <family val="2"/>
      </rPr>
      <t xml:space="preserve">Deducted 208 min offline time plus cancelled rides. </t>
    </r>
    <r>
      <rPr>
        <sz val="11"/>
        <color rgb="FFFF0000"/>
        <rFont val="Calibri"/>
        <family val="2"/>
      </rPr>
      <t>The first period of waiting needs investogation. We might need to charge for the 42.4 KMS @R3 (R127.2) Ops to confirm private trips</t>
    </r>
  </si>
  <si>
    <r>
      <rPr>
        <sz val="11"/>
        <color rgb="FF000000"/>
        <rFont val="Calibri"/>
        <family val="2"/>
        <scheme val="minor"/>
      </rPr>
      <t xml:space="preserve">Deducted 295min offline time plus cancelled rides. </t>
    </r>
    <r>
      <rPr>
        <sz val="11"/>
        <color rgb="FFFF0000"/>
        <rFont val="Calibri"/>
        <family val="2"/>
        <scheme val="minor"/>
      </rPr>
      <t>Charged for 23km for a private rides @R3 per Km (R69) Ops please follow up on the other KM's</t>
    </r>
  </si>
  <si>
    <t xml:space="preserve">Deducted 96min offline time plus cancelled rides. </t>
  </si>
  <si>
    <t>Deducted 152min offline time plus cancelled rides. Charged for the 33.8KM @R3 per KM ( R101.4)</t>
  </si>
  <si>
    <t xml:space="preserve">Deducted 139min offline time plus cancelled rides. </t>
  </si>
  <si>
    <t>Deducted 194min offline time plus cancelled rides</t>
  </si>
  <si>
    <t xml:space="preserve">Deducted 198 min, offline time plus cancelled rides. </t>
  </si>
  <si>
    <t xml:space="preserve">Deducted 356min offline time plus cancelled rides. </t>
  </si>
  <si>
    <t xml:space="preserve">Deducted 146min offline time plus cancelled rides. </t>
  </si>
  <si>
    <t xml:space="preserve">Deducted 168min offline time plus cancelled rides. </t>
  </si>
  <si>
    <t>Deducted 186min offline time plus cancelled rides.</t>
  </si>
  <si>
    <t xml:space="preserve">Added 5 hours for service. 6am-11am. </t>
  </si>
  <si>
    <t>Added 7 hours for serivice (5am- 11am)</t>
  </si>
  <si>
    <t xml:space="preserve">Deducted 128min offline time plus cancelled rides. </t>
  </si>
  <si>
    <t>Deducted 247min offline time plus cancelled rides. Driver took 3 hours offline on this shift. (Added R205 from the previous week )</t>
  </si>
  <si>
    <t xml:space="preserve">Deducted 165min offline time plus cancelled rides. </t>
  </si>
  <si>
    <t xml:space="preserve">Deducted 125min offline time plus cancelled rides. </t>
  </si>
  <si>
    <t xml:space="preserve">Deducted 103 min,offline time plus cancelled rides. </t>
  </si>
  <si>
    <t xml:space="preserve">Deducted 216min offline time plus cancelled rides. </t>
  </si>
  <si>
    <t>Outstanding paid 08/09/2026</t>
  </si>
  <si>
    <t xml:space="preserve">Deducted 197min Offline time plus cancelled rides. Plus R200 petrol for Sindile, R150 Petrol for Freddy, R150 Petrol for Sphamandla. </t>
  </si>
  <si>
    <t xml:space="preserve">Deducted 393 min,Offline time plus cancelled rides.  Ops please check this shift driver cancelled alot of trips and went offline for hours.  </t>
  </si>
  <si>
    <t xml:space="preserve">Deducted 260 min offline time plus cancelled rides </t>
  </si>
  <si>
    <t xml:space="preserve">Deducted 346min offline time plus cancelled rides. </t>
  </si>
  <si>
    <t>Deducted 277min offline time plus alot of cancelled rides.</t>
  </si>
  <si>
    <t>MOHISN TAI</t>
  </si>
  <si>
    <t xml:space="preserve">                                                    Deducted 213min offline time plus cancelled rides. Driver had 2 envelopes. </t>
  </si>
  <si>
    <t>Plus R240 tyre repair.</t>
  </si>
  <si>
    <t xml:space="preserve">                                                    Deducted 182min. Offline time plus cancelled rides. </t>
  </si>
  <si>
    <t xml:space="preserve">Deducted 165min offline time and cancelled rides. </t>
  </si>
  <si>
    <t xml:space="preserve">Deducted 298min offline time plus cancelled rides. </t>
  </si>
  <si>
    <t>Deducted 152min offline time plus cancelled rides.</t>
  </si>
  <si>
    <t xml:space="preserve">Deducted 283min offline time plus cancelled rides. </t>
  </si>
  <si>
    <t xml:space="preserve">Deducted 101min offline time plus cancelled rides. </t>
  </si>
  <si>
    <t xml:space="preserve">Deducted 115min. Offline time plus cancelled rides. </t>
  </si>
  <si>
    <t xml:space="preserve">Deducted 74min offline time plus cancelled rides. </t>
  </si>
  <si>
    <t xml:space="preserve">Deducted 143min.Offline time plus cancelled rides. </t>
  </si>
  <si>
    <t xml:space="preserve">Deducted 45min offline time plus cancelled rides. </t>
  </si>
  <si>
    <t xml:space="preserve">Deducted 50min offline time plus cancelled rides. </t>
  </si>
  <si>
    <t xml:space="preserve">Deducted 109min. Offline time plus cancelled rides. </t>
  </si>
  <si>
    <t xml:space="preserve">Deducted 54min offline time plus cancelled rides. </t>
  </si>
  <si>
    <t>NTHAKO DAVID</t>
  </si>
  <si>
    <t>OBED</t>
  </si>
  <si>
    <t xml:space="preserve">Deducted 176 min offline time plus cancelled rides. Driver starts his shift too late compared to the other drivers . Ops please follow up. </t>
  </si>
  <si>
    <t>Deducted 183min offline time plus cancelled rides.</t>
  </si>
  <si>
    <t xml:space="preserve">Deducted 215 min offline time plus cancelled rides. </t>
  </si>
  <si>
    <t xml:space="preserve">Deducted 278min offline time plus cancelled rides. </t>
  </si>
  <si>
    <t xml:space="preserve">                                                      Deducted 86min offline time plus cancelled rides. </t>
  </si>
  <si>
    <t xml:space="preserve">Deducted 187min offline time plus cancelled rides. </t>
  </si>
  <si>
    <t xml:space="preserve">Deducted 100min for offline time plus cancelled rides. </t>
  </si>
  <si>
    <t>Deducted 80min offline time plus cancelled time.</t>
  </si>
  <si>
    <t xml:space="preserve">Deducted 304 min offline time plus cancelled rides. Driver went offline for more than 5 hours on this shift. Ops please check in. </t>
  </si>
  <si>
    <t xml:space="preserve">Deducted 193 min. Offline time plus cancelled rides. </t>
  </si>
  <si>
    <t xml:space="preserve">Deducted 208min. Offline time plus cancelled rides. </t>
  </si>
  <si>
    <t xml:space="preserve">Added hours for the driver for service. </t>
  </si>
  <si>
    <t>Deducted 210 min offline time plus cancelled rides. Carged for 32.2km @R3 per Km ( R96.6)</t>
  </si>
  <si>
    <t xml:space="preserve">Deducted 120min offline time plus cancelled rides. </t>
  </si>
  <si>
    <t>TEBOGO NDLOVU</t>
  </si>
  <si>
    <t>Added hours for the driver for service. LOOKS LIKE HE WAS DRIVING FOR 4HOURS WITHOUT TAKING ANY TRIPS WHILE WAITING?</t>
  </si>
  <si>
    <t xml:space="preserve">Deducted 136min. Offline time plus cancelled rides. </t>
  </si>
  <si>
    <t xml:space="preserve">R200 for petrol </t>
  </si>
  <si>
    <t>R160  for petrol</t>
  </si>
  <si>
    <t>4May-5May</t>
  </si>
  <si>
    <t>5May-6May</t>
  </si>
  <si>
    <t>6May-7May</t>
  </si>
  <si>
    <t>7May-8May</t>
  </si>
  <si>
    <t xml:space="preserve">Deducted 73 min offline time plus cancelled rides. </t>
  </si>
  <si>
    <t>8May-9May</t>
  </si>
  <si>
    <t>Deducted 117 min offline time plus cancelled rides. Added R150 for petrol</t>
  </si>
  <si>
    <t>9May-10May</t>
  </si>
  <si>
    <t>Deducted 50 min offline time plus cancelled rides</t>
  </si>
  <si>
    <t xml:space="preserve">Deducted 123min,offline time plus cancelled rides. </t>
  </si>
  <si>
    <t>Plus R200 for petrol</t>
  </si>
  <si>
    <t xml:space="preserve">Deducted 132min offline time plus cancelled rides. </t>
  </si>
  <si>
    <t xml:space="preserve">Deducted 81min offline time plus cancelled rides. </t>
  </si>
  <si>
    <t>Plus R300 for gas</t>
  </si>
  <si>
    <t>10May-11May</t>
  </si>
  <si>
    <t xml:space="preserve">Deducted 117min offline time and cancelled rides. </t>
  </si>
  <si>
    <t xml:space="preserve">Deducted 168 min offline time plus cancelled rides. </t>
  </si>
  <si>
    <t xml:space="preserve">Deducted 123min offline time plus cancelled rides. </t>
  </si>
  <si>
    <t>Deducted 113min offline time plus cancelled rides. Plus R150 for petrol</t>
  </si>
  <si>
    <t xml:space="preserve">Deducted 61 min offline time plus cancelled rides. </t>
  </si>
  <si>
    <t xml:space="preserve">Deducted 78min offline time plus cancelled rides. </t>
  </si>
  <si>
    <t>Correct</t>
  </si>
  <si>
    <t>Deducted 83min offline time plus cancelled rides.Driver took more tan 2hours off but was driving.  Charged for the 539KM @R3 per Km ( R 1617)</t>
  </si>
  <si>
    <t xml:space="preserve">Deducted 207min offline time plus cancelled rides. </t>
  </si>
  <si>
    <t>Deducted 105 min offline time plus cancelled rides. Added R200 for petrol</t>
  </si>
  <si>
    <t>Deducted 84min offline time plus cancelled rides. Minus R150 Sifiso petrol</t>
  </si>
  <si>
    <t>Deducted 95min offline time plus cancelled rides. Plus R300 gas</t>
  </si>
  <si>
    <t>Deducted 180 min offline time plus cancelled rides. Plus R300 gas</t>
  </si>
  <si>
    <t>Deducted 68min offline time plus cancelled rides. Charged for the 29.5KM @R3 per KM ( R127.5)</t>
  </si>
  <si>
    <t xml:space="preserve">Deducted 64min offline time and cancelled rides. Charged for the 47.4km @R3 per Km ( R142.20) </t>
  </si>
  <si>
    <t xml:space="preserve">Deducted 99min offline time plus cancelled rides.  Charged for the 34.40km @R3 per KM ( R103.20) </t>
  </si>
  <si>
    <t>Charged for the 155KM @R3 per KM ( R465)</t>
  </si>
  <si>
    <t xml:space="preserve">Deducted 70min offline time plus cancelled rides. </t>
  </si>
  <si>
    <t>HLASHILA LEVY</t>
  </si>
  <si>
    <t xml:space="preserve">Deducted 345min offline time plus cancelled rides. </t>
  </si>
  <si>
    <t>Deducted 116min offline time plus cancelled rides. +r150 petrol</t>
  </si>
  <si>
    <t xml:space="preserve">Deducted 63min offline time plus cancelled rides. </t>
  </si>
  <si>
    <t>Deducted 110min offline time plus cancelled rides. Charged for the 47.3km trip @R3 per km ( R143.7) Plus R300 gas</t>
  </si>
  <si>
    <t>Deducted 245min offline time plus cancelled rides.(R300 for gas)</t>
  </si>
  <si>
    <t>KHULANI</t>
  </si>
  <si>
    <t>Deducted 194 min offline time plus cancelled rides.</t>
  </si>
  <si>
    <t xml:space="preserve">Deducted 93min offline time plus cancelled rides. </t>
  </si>
  <si>
    <t>Deducted 333min offline time plus cancelled rides. Driver went offline for more than 3hours. Ops please check in.</t>
  </si>
  <si>
    <t xml:space="preserve">Deducted 138min offline time plus cancelled rides. </t>
  </si>
  <si>
    <t>Deducted 185min offline time plus cancelled rides. Added R300 for petrol</t>
  </si>
  <si>
    <t>Deducted 292min offline time plus cancelled rides. Charged for the 54.4KM trips @R3 per Km ( R160.2)</t>
  </si>
  <si>
    <t>Deducted 167min offline time plus cancelled rides.</t>
  </si>
  <si>
    <t xml:space="preserve">LEONARD </t>
  </si>
  <si>
    <t xml:space="preserve">Deducted 158 min offline time plus cancelled rides. </t>
  </si>
  <si>
    <t>Deducted 263min offline time plus cancelled rides. Minus R150 Andile petrol</t>
  </si>
  <si>
    <t xml:space="preserve">Deducted 130min offline time plus cancelled rides. </t>
  </si>
  <si>
    <t xml:space="preserve">Deducted 148min offline time plus cancelled rides. </t>
  </si>
  <si>
    <t xml:space="preserve">Deducted 219min offline time plus cancelled rides. </t>
  </si>
  <si>
    <t>Deducted 175min offline time plus cancelled rides.  Driver had 2 Envelopes.</t>
  </si>
  <si>
    <t>Deducted 226min offline time plus cancelled rides.</t>
  </si>
  <si>
    <t xml:space="preserve">Deducted 61min offline time plus cancelled rides. </t>
  </si>
  <si>
    <t>Deducted 48min offline time plus cancelled rides. Plus R150 petrol</t>
  </si>
  <si>
    <t>Deducted 58min offline time plus cancelled rides. Added R150 for petrol</t>
  </si>
  <si>
    <t xml:space="preserve">Deducted 26min offline time plus cancelled rides. </t>
  </si>
  <si>
    <t xml:space="preserve">Deducted 44min offline time plus cancelled rides. </t>
  </si>
  <si>
    <t>MORGAN</t>
  </si>
  <si>
    <t>Deducted 126min offline time plus cancelled rides. R300 LPG</t>
  </si>
  <si>
    <t>Deducted 173min offline time plus cancelled rides. Plus 150 PETROL AND R300 LPG</t>
  </si>
  <si>
    <t>MAHLOMOLA</t>
  </si>
  <si>
    <t>Deducted 50min offline time plus cancelled rides. Plus R150 for petrol</t>
  </si>
  <si>
    <t>?</t>
  </si>
  <si>
    <t>Mandla Mkanzi</t>
  </si>
  <si>
    <t xml:space="preserve">Deducted 78min offline time and cancelled rides. </t>
  </si>
  <si>
    <t>Deducted 117min offline time plus cancelled rides. Added R150 for petrol</t>
  </si>
  <si>
    <t xml:space="preserve">Deducted 116min offline time plus cancelled rides. </t>
  </si>
  <si>
    <t xml:space="preserve">Deducted 126min offline time plus cancelled rides. </t>
  </si>
  <si>
    <t>Deducted 139min offline time plus cancelled rides.</t>
  </si>
  <si>
    <t>Deducted 100min offfline time plus cancelled rides. Charged for the 34.5KM @R3 per KM ( R103.5)</t>
  </si>
  <si>
    <t>MPHO MOLOPANYE</t>
  </si>
  <si>
    <t>Deducted 273min offline time plus cancelled rides. Charged for the 309KM @ R3 per KM ( R927)</t>
  </si>
  <si>
    <t>Deducted 331min offline time plus cancelled rides. Charged for the 311KM @R3 per Km ( R933) (R300 for gas)</t>
  </si>
  <si>
    <t>Deducted 342min offline time plus cancelled rides. Minus R150 TK petrol and another R150 petrol refund</t>
  </si>
  <si>
    <t>Deducted 306min offline time plus cancelled rides. Charged for the 15.3KM @R3 per KM ( R45.9)  Driver came back late.</t>
  </si>
  <si>
    <t xml:space="preserve">Deducted 380 min offline time plus cancelled rides. Ops please check driver goes offline for long hours and cancels alot of rides. </t>
  </si>
  <si>
    <t xml:space="preserve">Deducted 265min offline time plus cancelled rides. </t>
  </si>
  <si>
    <t>Deducted 250 min offline time plus cancelled rides. Charged for 29km @R3 per km ( R87).</t>
  </si>
  <si>
    <t xml:space="preserve">Deducted 225min offline time plus cancelled rides. </t>
  </si>
  <si>
    <t xml:space="preserve">Deducted 198min offline time plus cancelled rides. </t>
  </si>
  <si>
    <t xml:space="preserve">Deducted 103min offline time plus cancelled rides. </t>
  </si>
  <si>
    <t xml:space="preserve">Deducted 160min offline time plus cancelled rides. Plus 100 for petrol. </t>
  </si>
  <si>
    <t>Deducted 177min offline time plus cancelled rides.  Minus R150 Freddy petrol and R150 for Anywell.</t>
  </si>
  <si>
    <t>Deducted 124min offline time plus cancelled rides.</t>
  </si>
  <si>
    <t xml:space="preserve">Deducted 178min offline time plus cancelled rides. </t>
  </si>
  <si>
    <t xml:space="preserve">Deducted 65min offline time plus cancelled rides. </t>
  </si>
  <si>
    <t xml:space="preserve">Deducted 70min offline time plus cacelled rides. </t>
  </si>
  <si>
    <t xml:space="preserve">Deducted 92min offline time plus cancelled rides. </t>
  </si>
  <si>
    <t>Deducted 156min offline time plus cancelled rides.  Minus R100 Mohsin  petrol refund</t>
  </si>
  <si>
    <t>NTOKOZO</t>
  </si>
  <si>
    <t xml:space="preserve">Deducted 169min offline time plus cancelled rides. </t>
  </si>
  <si>
    <t xml:space="preserve">Deducted 53min offline time plus cancelled rides. </t>
  </si>
  <si>
    <t xml:space="preserve">Deducted 29min offline time plus cancelled rides. </t>
  </si>
  <si>
    <t xml:space="preserve">Deducted 301 min offline time plus cancelled rides. </t>
  </si>
  <si>
    <t>.</t>
  </si>
  <si>
    <t>Deducted 197min offline time plus cancelled rides. Charged for the 23km trip @R3 per Km (R69). Minus R150 Mohsin petrol</t>
  </si>
  <si>
    <t xml:space="preserve">Deducted 170 min offline time plus cancelled rides. </t>
  </si>
  <si>
    <t xml:space="preserve">Deducted 262min offline time plus cancelled rides. </t>
  </si>
  <si>
    <t>Deducted 65min ,charged for the 63.7KM @R3 per KM ( R191.1)</t>
  </si>
  <si>
    <t xml:space="preserve">Driver went offline for 2 hours on this trip. </t>
  </si>
  <si>
    <t xml:space="preserve">Deducted 109min offline time plus cancelled rides. </t>
  </si>
  <si>
    <t xml:space="preserve">Deducted 183 min offline time plus cancelled rides. </t>
  </si>
  <si>
    <t>Deducted 140min offline time plus cancelled rides. Plus R150 petrol</t>
  </si>
  <si>
    <t xml:space="preserve">Deducted 158min offline time plus cancelled rides. </t>
  </si>
  <si>
    <t xml:space="preserve">Driver went offline for more than 3 hours during this trips. Driver had 2 Envelopes. </t>
  </si>
  <si>
    <t>Scelo Nxumalo</t>
  </si>
  <si>
    <t xml:space="preserve">Deducted 205min offline time plus cancelled rides. Driver went offline for 3hours Ops please follow up on this shift. </t>
  </si>
  <si>
    <t xml:space="preserve">Deducted 138min offline time plus cancelled times. </t>
  </si>
  <si>
    <t>Deducted 116min offline time plus cancelled rides. Added R150 for Petrol</t>
  </si>
  <si>
    <t xml:space="preserve">Deducted 48 min offline time plus cancelled rides. </t>
  </si>
  <si>
    <t xml:space="preserve">Deducted 84min offline time plus cancelled rides. </t>
  </si>
  <si>
    <t xml:space="preserve">Deducted 163min offline time plus cancelled rides. </t>
  </si>
  <si>
    <t>Added R300 for Petrol</t>
  </si>
  <si>
    <t>Minus R150 Letsatsi petrol</t>
  </si>
  <si>
    <t>Minus R300 gas for Morgan</t>
  </si>
  <si>
    <t xml:space="preserve">Deducted 99min offline time plus cancelled rides. </t>
  </si>
  <si>
    <t>Deducted 266 min offline time plus cancelled rides. .Added R200 for Petrol</t>
  </si>
  <si>
    <t xml:space="preserve">Deducted 186min offline time plus cancelled rides. Charged for the 34.8km trip @R3 per Km ( R104.4) </t>
  </si>
  <si>
    <t xml:space="preserve">Deducted 115min offline time plus cancelled rides. </t>
  </si>
  <si>
    <t>Deducted 134min offline time plus cancelled rides charged for the 53.1km trip @R3 per km ( R159.3)</t>
  </si>
  <si>
    <t xml:space="preserve">Deducted 73min offline time plus cancelled rides. </t>
  </si>
  <si>
    <t xml:space="preserve">Deducted 95min offline time plus cancelled rides. </t>
  </si>
  <si>
    <t xml:space="preserve">Deducted 152min offline time plus cancelled rides. </t>
  </si>
  <si>
    <t>Deducted 121min offline time plus cancelled rides. Added R200 for Petrol</t>
  </si>
  <si>
    <t>Deducted 110 min offline time plus cancelled rides. Plus R300 gas</t>
  </si>
  <si>
    <t>Minus R150 petrol for Morgan</t>
  </si>
  <si>
    <t>YONGAMA MISHACK ZANGWA</t>
  </si>
  <si>
    <t xml:space="preserve">Deducted 173min offline time plus cancelled rides. </t>
  </si>
  <si>
    <t xml:space="preserve">Deducted 89min offline time plus cancelled rides.  Plus R200 for petrol. </t>
  </si>
  <si>
    <t xml:space="preserve">Deducted 66min offline time plus cancelled rides. </t>
  </si>
  <si>
    <t>Deducted 163min offline time plus cancelled rides. Charged for the 146.7Km trip @R3 per Km ( R 439.8)</t>
  </si>
  <si>
    <t xml:space="preserve">ZWELIHLE </t>
  </si>
  <si>
    <t>11May-12May</t>
  </si>
  <si>
    <t>12May-13May</t>
  </si>
  <si>
    <t xml:space="preserve">Deducted 188min offline time plus cancelled rides. </t>
  </si>
  <si>
    <t>13May-14May</t>
  </si>
  <si>
    <t>Deducted 221 minutes plus cancelled rides charged 13.1 km @R5 (R65.5)</t>
  </si>
  <si>
    <t>14May-15May</t>
  </si>
  <si>
    <t xml:space="preserve">deducted 391 minutes  for cancelled trips and offlines times </t>
  </si>
  <si>
    <t>15May-16May</t>
  </si>
  <si>
    <t>Deducted 157 minutes ,Charged 10,8 km @R5 , 200 PETROL</t>
  </si>
  <si>
    <t>16May-17May</t>
  </si>
  <si>
    <t>150 PETROL</t>
  </si>
  <si>
    <t>Deducted 35 mintues offline time ,200 PETROL</t>
  </si>
  <si>
    <t>299.77 LPG</t>
  </si>
  <si>
    <t>@ lennie to confirm the 10.4km charged @R5 . Happy that he was just coming back to where he normally works from. If he was rejecting trips then I would charge him</t>
  </si>
  <si>
    <t>deducted 1h10 min charged 28,1km @R5 (140,5) R190 LPG</t>
  </si>
  <si>
    <r>
      <rPr>
        <sz val="11"/>
        <color rgb="FF000000"/>
        <rFont val="Calibri"/>
        <family val="2"/>
      </rPr>
      <t xml:space="preserve">charged 17km @R5(85). </t>
    </r>
    <r>
      <rPr>
        <sz val="11"/>
        <color rgb="FFFF0000"/>
        <rFont val="Calibri"/>
        <family val="2"/>
      </rPr>
      <t>This needs discussion with him. Looks like he was just looking for trips. He is a good driver and would give him the benefit of the doubt 150 PETROL</t>
    </r>
  </si>
  <si>
    <t xml:space="preserve">Deducted 35min offline time plus cancelled rides. </t>
  </si>
  <si>
    <t xml:space="preserve">Deducted 72min offline time plus cancelled rides. </t>
  </si>
  <si>
    <t xml:space="preserve">deducted 100 minutes for cancelled trips </t>
  </si>
  <si>
    <t>deducted 1 hour 36 mintues charged 28,6km @  R5 ,300LPG</t>
  </si>
  <si>
    <t>17May-18May</t>
  </si>
  <si>
    <t xml:space="preserve">Calvin Abrahams </t>
  </si>
  <si>
    <t xml:space="preserve">15-16 May </t>
  </si>
  <si>
    <t>deducted 374 minutes offline and cancelled trips ,Charged 61.9km @R5</t>
  </si>
  <si>
    <t xml:space="preserve">16-17 May </t>
  </si>
  <si>
    <t xml:space="preserve">17-18 May </t>
  </si>
  <si>
    <t>Boitumelo Rafedile</t>
  </si>
  <si>
    <t xml:space="preserve">13-14May </t>
  </si>
  <si>
    <t xml:space="preserve">14-15 May </t>
  </si>
  <si>
    <t xml:space="preserve">15-16May </t>
  </si>
  <si>
    <t>350 PETROL</t>
  </si>
  <si>
    <t>Desmond Ramasepela</t>
  </si>
  <si>
    <t>200 PETROL</t>
  </si>
  <si>
    <t>300 PETROL</t>
  </si>
  <si>
    <t xml:space="preserve">Deducted 98min offline time plus cancelled rides. Driver went off alot of time (Will check cartrack and follow up  on this shift) </t>
  </si>
  <si>
    <t>Deducted  2h 28 min</t>
  </si>
  <si>
    <r>
      <t xml:space="preserve">deducted 230 minutes charged 28km </t>
    </r>
    <r>
      <rPr>
        <b/>
        <sz val="11"/>
        <color theme="1"/>
        <rFont val="Calibri"/>
        <family val="2"/>
        <scheme val="minor"/>
      </rPr>
      <t>@R5 (135)</t>
    </r>
  </si>
  <si>
    <t>deducted 302 mintues cancelled trips ,Chared 22km @R5</t>
  </si>
  <si>
    <t>Ernest Shoba</t>
  </si>
  <si>
    <t>charged 55.1 km @R5</t>
  </si>
  <si>
    <t xml:space="preserve">Charged 51,1km @R5 </t>
  </si>
  <si>
    <t>Charged 37,4 km @R5</t>
  </si>
  <si>
    <t xml:space="preserve">deducted 142 minutes </t>
  </si>
  <si>
    <t>R100 petrol  Deducted 3 hours15 mins charged 49.5km@R5 (R248)</t>
  </si>
  <si>
    <t>deducted 150 minutes for cancelled trips ,charged 29.2 km @R5 (146) R90 PETROL</t>
  </si>
  <si>
    <t>deducted 203 minutes ,Charged 18.3 km @R5,350 PETROL</t>
  </si>
  <si>
    <t>deducted 133 minutes ,charged 20,6km @R5 100 PETROL</t>
  </si>
  <si>
    <t xml:space="preserve">Deducted 192min offline time plus cancelled rides. </t>
  </si>
  <si>
    <t xml:space="preserve">Deducted 120min offline time and cancelled rides. Driver went offline for more than 2 hours will check cartrack on this shift. </t>
  </si>
  <si>
    <t xml:space="preserve">Deducted 128 min offline time plus cancelled rides. </t>
  </si>
  <si>
    <t>Deducted 166min offline time plus cancelled rides.</t>
  </si>
  <si>
    <t>R300 lpg Deducted 40 minutes charged 27.6km @R5 (138)</t>
  </si>
  <si>
    <t>deducted 158 minutes charged 22.3 km @ R5 (111.5) ,R100 LPG</t>
  </si>
  <si>
    <t xml:space="preserve">deducted 24 mintues </t>
  </si>
  <si>
    <t xml:space="preserve">Deducted 177min offline time plus cancelled rides. </t>
  </si>
  <si>
    <t>driver got hijacked.</t>
  </si>
  <si>
    <t>Lesiba Masenya</t>
  </si>
  <si>
    <t>deducted 281 minutes ,Charged 53,3km @R5</t>
  </si>
  <si>
    <t xml:space="preserve">deducted 174 minutes ,charged  287km @R5 </t>
  </si>
  <si>
    <t>LESATSI MOKAKE</t>
  </si>
  <si>
    <t xml:space="preserve">Deducted 43 min offline time plus cancelled rides. </t>
  </si>
  <si>
    <t>250 PETROL</t>
  </si>
  <si>
    <t xml:space="preserve">Mawela to confirm kms done fter 13:32  and charge those to driver </t>
  </si>
  <si>
    <t>deducted 159 minutes charged 41,1km @R5,250 PETROL</t>
  </si>
  <si>
    <t>Letshegwana Lentsoe</t>
  </si>
  <si>
    <t>deducted 242 cancelled trips ,R150 PETROL</t>
  </si>
  <si>
    <t>deducted 257 minures cancelled trips ,150 PETROL</t>
  </si>
  <si>
    <t xml:space="preserve">Deducted 132min offline time and cancelled rides. </t>
  </si>
  <si>
    <t>200 LPG</t>
  </si>
  <si>
    <t>deducted 39 minutes for cancelled ,Charged 14,7km@ R5 (73.5) R150 PETROL</t>
  </si>
  <si>
    <t>400 Petrol</t>
  </si>
  <si>
    <t xml:space="preserve">Charged for the 40.1KM trip @R3 per KM (R120.3) </t>
  </si>
  <si>
    <t>Driver had 2 enevlopes</t>
  </si>
  <si>
    <t xml:space="preserve">R240 petrol +R300 LPG </t>
  </si>
  <si>
    <t>R150 PETROL</t>
  </si>
  <si>
    <t>Charged 13,6 km @R5</t>
  </si>
  <si>
    <t>Deducted 168min offline time plus cancelled rides. (To check on cartrack all the long breaks the driver takes. )</t>
  </si>
  <si>
    <t>deducted 1 hour 37 minutes  150 pertol</t>
  </si>
  <si>
    <t xml:space="preserve">deducted 1 hour 48 minutes </t>
  </si>
  <si>
    <t>Deducted 133min offline time plus cancelled rides. Charged for the 109.6km trip @R3 per KM ( R 328.8)</t>
  </si>
  <si>
    <t xml:space="preserve">Deducted 22min offline time plus cancelled rides. </t>
  </si>
  <si>
    <t xml:space="preserve">deducted 190 minutes of cancelled trips </t>
  </si>
  <si>
    <t>deducted 1h23 minutes , charged 11,1 km @R5 ,R50</t>
  </si>
  <si>
    <t>deducted 112 minutes ,charged 13,9 km @R5</t>
  </si>
  <si>
    <t>r300 petrol</t>
  </si>
  <si>
    <t>Moshin Ibrahim</t>
  </si>
  <si>
    <t>Morgan Makhuvha</t>
  </si>
  <si>
    <t xml:space="preserve">deducted 37 minutes offline/cancelled trips charged 20,2 km @R5 </t>
  </si>
  <si>
    <t xml:space="preserve">deducted 208 minutes , charged 17. km @R5 </t>
  </si>
  <si>
    <t>Mosetsanagape Mohlabi</t>
  </si>
  <si>
    <t xml:space="preserve">Deducted 331min offline time plus cancelled rides. </t>
  </si>
  <si>
    <t>deducted 56 minutes ,Charged 19,5km @R5 ,150 PETROL</t>
  </si>
  <si>
    <t xml:space="preserve">deducted  407 minutes for cancelled and rejected trips ,Charged 83,8 km @R5 (419) Ops to find out on Cameras what this privates was the driver doing </t>
  </si>
  <si>
    <t>deducted 331 minutes , Ops to take the driver through process again  .</t>
  </si>
  <si>
    <t xml:space="preserve">deducted 258 minutes </t>
  </si>
  <si>
    <t xml:space="preserve">Nkosana </t>
  </si>
  <si>
    <r>
      <t>Deducted 325min offline time plus cancelled rides. Driver took alot of offline hours during this shift. Ops please check in(</t>
    </r>
    <r>
      <rPr>
        <sz val="11"/>
        <color rgb="FFFF0000"/>
        <rFont val="Calibri"/>
        <family val="2"/>
        <scheme val="minor"/>
      </rPr>
      <t>The card was not readin</t>
    </r>
    <r>
      <rPr>
        <sz val="11"/>
        <color theme="1"/>
        <rFont val="Calibri"/>
        <family val="2"/>
        <scheme val="minor"/>
      </rPr>
      <t>g )</t>
    </r>
  </si>
  <si>
    <t xml:space="preserve">Deducted 266min offline time plus cancelled rides. (To check cartrack on this shift) </t>
  </si>
  <si>
    <t>deducted 2 hours 37 minutes , Charged 30.8 km @R5 R300 LPG</t>
  </si>
  <si>
    <t>DEducted 124 minutes ,Charged 65,6km @R5 300LPG</t>
  </si>
  <si>
    <t xml:space="preserve">deducted 333 minutes ,Charged 13,8 km </t>
  </si>
  <si>
    <t xml:space="preserve">deducted 2 hours 11 minutes </t>
  </si>
  <si>
    <t>Nkululeku Khumalo</t>
  </si>
  <si>
    <t>140 LPG</t>
  </si>
  <si>
    <t>134 PETROL</t>
  </si>
  <si>
    <t>NTHAKO MATSEKE</t>
  </si>
  <si>
    <t>R200 LPG</t>
  </si>
  <si>
    <t>100 PETROL</t>
  </si>
  <si>
    <t xml:space="preserve">charged 13,1 km @R5 ,300 LPG+150 PETROL </t>
  </si>
  <si>
    <t xml:space="preserve">Deducted 2 hours 51 minutes ,Charged 50.8km @ R5  </t>
  </si>
  <si>
    <t xml:space="preserve">deducted 21 minutes ,Charged 16,7km @R5 </t>
  </si>
  <si>
    <t>DEDUCTED 383 MINUTES CHARGED 78.8 KM @R5</t>
  </si>
  <si>
    <t>Deducted 123 minutes ,charged 65.7km @R5 .350 PETROL</t>
  </si>
  <si>
    <t>Deducted 150min offline time plus cancelled rides. Driver went offline for 2 hours but was driving. Charged for the 527KM @R3 per km ( R1 581)</t>
  </si>
  <si>
    <t xml:space="preserve">deducted 46 minutes offline times </t>
  </si>
  <si>
    <t xml:space="preserve">deucted 140 minutes </t>
  </si>
  <si>
    <t>deducted 165 minutes ,350 PETROL</t>
  </si>
  <si>
    <t>deducted 132 minutes ,100 PETROL</t>
  </si>
  <si>
    <t xml:space="preserve">deducted 130 minutes ,Charged 33,1 km 2@R5 </t>
  </si>
  <si>
    <t>charged 13,1 km @R5 ,R200 LPG</t>
  </si>
  <si>
    <t>Deducted 110min offline time plus cancelled rides. (Driver had 2 envelopes)</t>
  </si>
  <si>
    <t>deducted 88 minutes , Charged 38.5 km @R5 ,150 PETROL</t>
  </si>
  <si>
    <t>dedycted 82 minutes , charged 42.9km @R5</t>
  </si>
  <si>
    <t>300 lpg</t>
  </si>
  <si>
    <t>350 LPG</t>
  </si>
  <si>
    <t xml:space="preserve">Deducted 208min offline time plu cancelled rides. </t>
  </si>
  <si>
    <t>deducted 125 minutes ,Charged 35,5 km @R5</t>
  </si>
  <si>
    <t>deducted 183 minutes for cancelled trips</t>
  </si>
  <si>
    <t>deducted 238 minutes offline and cancelled ttrips ,Charged 41,8 km @R5 350 PETROL</t>
  </si>
  <si>
    <t>deducted 214 minutes cancelled and offiline times 200 PETROL</t>
  </si>
  <si>
    <t>Charged for  the 32.2KM trip @R3 per KM ( R96.6) R200 PETROL</t>
  </si>
  <si>
    <t>dEDUCTED 115 MINUTES ,CHARGED 29.5 KM ,150 PETROL</t>
  </si>
  <si>
    <t>310 PETROL</t>
  </si>
  <si>
    <t>270 PETROL</t>
  </si>
  <si>
    <t>Deducted 110min offline time plus cancelled rides. Charged for the 126.4KM @R3 per KM ( R379.2)</t>
  </si>
  <si>
    <t>Deducted 158min offline time plus cancelled rides. Charged for the 49km @R3 per KM ( R147)</t>
  </si>
  <si>
    <t>Charged for 67.8Km.,deducted 3hour 14 min</t>
  </si>
  <si>
    <t>Deducted  hour 56 minutes offline time ,Charged ,7 km @R5, R300 LPG</t>
  </si>
  <si>
    <t xml:space="preserve">deducted 32 minutes for offline times ,Charged 13,km @R5 </t>
  </si>
  <si>
    <t>decuted 60 minutes offline times , Charged 10,5 km @R5 ,200 PETROL</t>
  </si>
  <si>
    <t>Charged for the 88.7KM @R3 per KM ( R266.1)</t>
  </si>
  <si>
    <t>Charged for the 24.8KM trip @R3 per KM ( R74.4)</t>
  </si>
  <si>
    <t>deducted 30 minutes ,Charged 22.2km @ R5,R100 PETROL ,R300 LPG</t>
  </si>
  <si>
    <t xml:space="preserve">charged 25.2 km @R5 </t>
  </si>
  <si>
    <t>charged 13.5km @R5 200 PETROL</t>
  </si>
  <si>
    <t>400 PETROL</t>
  </si>
  <si>
    <t>THABO KEKANA</t>
  </si>
  <si>
    <t>deducted 94 minutes charged 31.4 km@R5 (157),200 LPG</t>
  </si>
  <si>
    <t xml:space="preserve">deducted 1 hour 33mintues for cancelled trips </t>
  </si>
  <si>
    <t xml:space="preserve">deducted 68 minutes for offline times and cancelled trips </t>
  </si>
  <si>
    <t xml:space="preserve">deducted 56 minutes cancelled trips /offline times ,Charged 35.2 km @R5 </t>
  </si>
  <si>
    <t xml:space="preserve">deducted 72 minutes offline/cancelled trips ,Charged 38.2 km @R5 </t>
  </si>
  <si>
    <t xml:space="preserve">DEDUCTED 1 HOUR 33 MINUTES OFFLINE TIMES </t>
  </si>
  <si>
    <t xml:space="preserve">DEDUCTED 227 MINUTES , CHARGED 40.1KM @R5 </t>
  </si>
  <si>
    <t>DEDUCTED 68 MINUTES ,CHARGED 27 KM@R5 R200 PETROL</t>
  </si>
  <si>
    <t xml:space="preserve">18-19 May </t>
  </si>
  <si>
    <t>deducted 50 minutes offline times .</t>
  </si>
  <si>
    <t>19-20 May</t>
  </si>
  <si>
    <t>20-21 May</t>
  </si>
  <si>
    <t>21-22 May</t>
  </si>
  <si>
    <t>22-23 May</t>
  </si>
  <si>
    <t xml:space="preserve">23-24 May </t>
  </si>
  <si>
    <t xml:space="preserve">24-25 May </t>
  </si>
  <si>
    <t xml:space="preserve">19-20 May </t>
  </si>
  <si>
    <t>21-22May</t>
  </si>
  <si>
    <t xml:space="preserve">22-23 May </t>
  </si>
  <si>
    <t xml:space="preserve">                                  13Apr-14Apr </t>
  </si>
  <si>
    <t>14Apr-15Apr</t>
  </si>
  <si>
    <t>15Apr-16Apr</t>
  </si>
  <si>
    <t>16Apr-17Apr</t>
  </si>
  <si>
    <t>17Apr-18Apr</t>
  </si>
  <si>
    <t>18Apr-19Apr</t>
  </si>
  <si>
    <t>19Apr-20Apr</t>
  </si>
  <si>
    <t>19-20May</t>
  </si>
  <si>
    <t xml:space="preserve">Started his shift at 18:00 instead of 16:00 , KR needed to sort a vehicle first  deducted 1 hour 62 minutes </t>
  </si>
  <si>
    <t xml:space="preserve">20-21May </t>
  </si>
  <si>
    <t xml:space="preserve">21- 22May </t>
  </si>
  <si>
    <t xml:space="preserve">18-19May </t>
  </si>
  <si>
    <t xml:space="preserve">deducted 104 minutes offlines /cancelled trips </t>
  </si>
  <si>
    <t>20-21May</t>
  </si>
  <si>
    <t>22-23May</t>
  </si>
  <si>
    <t>23-24May</t>
  </si>
  <si>
    <t xml:space="preserve">24-25May </t>
  </si>
  <si>
    <t>19Apr-20ApR</t>
  </si>
  <si>
    <t>deducted 111 minutes , charged 14,6km @R5</t>
  </si>
  <si>
    <t>Had a vehicle issue 4 hours into the shift</t>
  </si>
  <si>
    <t>deducted 28 minutes  charged 13.5 km @R5</t>
  </si>
  <si>
    <t>Letshegwana Ronald Lentsoe</t>
  </si>
  <si>
    <t xml:space="preserve">Deducted 755 minutes ,charged 13,3km @R5 </t>
  </si>
  <si>
    <t>25-26 May</t>
  </si>
  <si>
    <t>24-25 May</t>
  </si>
  <si>
    <t>Deducted 40 minutes ,Charged 21,1km @R5 .</t>
  </si>
  <si>
    <t>18-19 May</t>
  </si>
  <si>
    <t xml:space="preserve">19-20May </t>
  </si>
  <si>
    <t xml:space="preserve">Deducted 192 minutes ,Charged 35,8km @R5 </t>
  </si>
  <si>
    <t xml:space="preserve">21-22May </t>
  </si>
  <si>
    <t xml:space="preserve">22-23May </t>
  </si>
  <si>
    <t>23-24 May</t>
  </si>
  <si>
    <t xml:space="preserve">20-21 May </t>
  </si>
  <si>
    <t>Nthako MATSEKE</t>
  </si>
  <si>
    <t>Deducted 76 minutes ,Charged 36.5 km @R5</t>
  </si>
  <si>
    <t xml:space="preserve">    13Apr-14Apr </t>
  </si>
  <si>
    <t>deducted 2 hour 16 minutes , Charged 17.6km @R5</t>
  </si>
  <si>
    <t xml:space="preserve">deducted 1 hour 18 min offline times ,charged 19,1km @R5 </t>
  </si>
  <si>
    <t xml:space="preserve">deducted 1hour 52 minutes for offline times </t>
  </si>
  <si>
    <t xml:space="preserve">21-22 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</si>
</sst>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R&quot;#,##0;[Red]\-&quot;R&quot;#,##0"/>
    <numFmt numFmtId="165" formatCode="_-[$R-1C09]* #,##0.00_-;\-[$R-1C09]* #,##0.00_-;_-[$R-1C09]* &quot;-&quot;??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InterVariable"/>
      <charset val="1"/>
    </font>
    <font>
      <u/>
      <sz val="11"/>
      <color theme="10"/>
      <name val="Calibri"/>
      <family val="2"/>
      <scheme val="minor"/>
    </font>
    <font>
      <sz val="11"/>
      <color rgb="FFFF0000"/>
      <name val="Calibri (Body)"/>
    </font>
    <font>
      <sz val="11"/>
      <color rgb="FF191F1C"/>
      <name val="InterVariable"/>
      <charset val="1"/>
    </font>
    <font>
      <sz val="11"/>
      <color rgb="FFC00000"/>
      <name val="Calibri"/>
      <family val="2"/>
      <scheme val="minor"/>
    </font>
    <font>
      <sz val="11"/>
      <color rgb="FF191F1C"/>
      <name val="InterVariable"/>
      <family val="2"/>
      <charset val="1"/>
    </font>
    <font>
      <sz val="11"/>
      <color theme="1"/>
      <name val="Calibri (Body)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000000"/>
      <name val="Calibri"/>
      <family val="2"/>
      <scheme val="minor"/>
    </font>
    <font>
      <sz val="11"/>
      <color theme="6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96">
    <xf numFmtId="0" fontId="0" fillId="0" borderId="0" xfId="0"/>
    <xf numFmtId="165" fontId="0" fillId="0" borderId="0" xfId="0" applyNumberFormat="1"/>
    <xf numFmtId="0" fontId="4" fillId="0" borderId="0" xfId="0" applyFont="1"/>
    <xf numFmtId="165" fontId="3" fillId="0" borderId="2" xfId="0" applyNumberFormat="1" applyFont="1" applyBorder="1"/>
    <xf numFmtId="0" fontId="0" fillId="0" borderId="1" xfId="0" applyBorder="1"/>
    <xf numFmtId="165" fontId="0" fillId="0" borderId="1" xfId="0" applyNumberFormat="1" applyBorder="1"/>
    <xf numFmtId="16" fontId="0" fillId="0" borderId="0" xfId="0" applyNumberFormat="1"/>
    <xf numFmtId="0" fontId="0" fillId="0" borderId="3" xfId="0" applyBorder="1"/>
    <xf numFmtId="0" fontId="0" fillId="2" borderId="1" xfId="0" applyFill="1" applyBorder="1"/>
    <xf numFmtId="165" fontId="0" fillId="2" borderId="1" xfId="0" applyNumberFormat="1" applyFill="1" applyBorder="1"/>
    <xf numFmtId="2" fontId="0" fillId="0" borderId="1" xfId="0" applyNumberFormat="1" applyBorder="1"/>
    <xf numFmtId="2" fontId="0" fillId="0" borderId="3" xfId="0" applyNumberFormat="1" applyBorder="1"/>
    <xf numFmtId="0" fontId="0" fillId="0" borderId="4" xfId="0" applyBorder="1"/>
    <xf numFmtId="2" fontId="3" fillId="2" borderId="1" xfId="0" applyNumberFormat="1" applyFont="1" applyFill="1" applyBorder="1"/>
    <xf numFmtId="165" fontId="3" fillId="2" borderId="1" xfId="0" applyNumberFormat="1" applyFont="1" applyFill="1" applyBorder="1"/>
    <xf numFmtId="0" fontId="6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0" fillId="3" borderId="4" xfId="0" applyFill="1" applyBorder="1"/>
    <xf numFmtId="2" fontId="3" fillId="3" borderId="1" xfId="0" applyNumberFormat="1" applyFont="1" applyFill="1" applyBorder="1"/>
    <xf numFmtId="165" fontId="0" fillId="3" borderId="4" xfId="0" applyNumberFormat="1" applyFill="1" applyBorder="1"/>
    <xf numFmtId="165" fontId="3" fillId="3" borderId="4" xfId="0" applyNumberFormat="1" applyFont="1" applyFill="1" applyBorder="1"/>
    <xf numFmtId="0" fontId="0" fillId="3" borderId="1" xfId="0" applyFill="1" applyBorder="1"/>
    <xf numFmtId="0" fontId="5" fillId="4" borderId="1" xfId="0" applyFont="1" applyFill="1" applyBorder="1"/>
    <xf numFmtId="0" fontId="0" fillId="4" borderId="1" xfId="0" applyFill="1" applyBorder="1"/>
    <xf numFmtId="2" fontId="3" fillId="4" borderId="1" xfId="0" applyNumberFormat="1" applyFont="1" applyFill="1" applyBorder="1"/>
    <xf numFmtId="165" fontId="0" fillId="4" borderId="1" xfId="0" applyNumberFormat="1" applyFill="1" applyBorder="1"/>
    <xf numFmtId="165" fontId="3" fillId="4" borderId="1" xfId="0" applyNumberFormat="1" applyFont="1" applyFill="1" applyBorder="1"/>
    <xf numFmtId="0" fontId="5" fillId="5" borderId="1" xfId="0" applyFont="1" applyFill="1" applyBorder="1"/>
    <xf numFmtId="0" fontId="0" fillId="5" borderId="1" xfId="0" applyFill="1" applyBorder="1"/>
    <xf numFmtId="2" fontId="3" fillId="5" borderId="1" xfId="0" applyNumberFormat="1" applyFont="1" applyFill="1" applyBorder="1"/>
    <xf numFmtId="165" fontId="0" fillId="5" borderId="1" xfId="0" applyNumberFormat="1" applyFill="1" applyBorder="1"/>
    <xf numFmtId="165" fontId="3" fillId="5" borderId="1" xfId="0" applyNumberFormat="1" applyFont="1" applyFill="1" applyBorder="1"/>
    <xf numFmtId="0" fontId="5" fillId="6" borderId="1" xfId="0" applyFont="1" applyFill="1" applyBorder="1"/>
    <xf numFmtId="0" fontId="0" fillId="6" borderId="1" xfId="0" applyFill="1" applyBorder="1"/>
    <xf numFmtId="2" fontId="3" fillId="6" borderId="1" xfId="0" applyNumberFormat="1" applyFont="1" applyFill="1" applyBorder="1"/>
    <xf numFmtId="165" fontId="0" fillId="6" borderId="1" xfId="0" applyNumberFormat="1" applyFill="1" applyBorder="1"/>
    <xf numFmtId="165" fontId="3" fillId="6" borderId="1" xfId="0" applyNumberFormat="1" applyFont="1" applyFill="1" applyBorder="1"/>
    <xf numFmtId="0" fontId="5" fillId="7" borderId="1" xfId="0" applyFont="1" applyFill="1" applyBorder="1"/>
    <xf numFmtId="0" fontId="0" fillId="7" borderId="1" xfId="0" applyFill="1" applyBorder="1"/>
    <xf numFmtId="2" fontId="3" fillId="7" borderId="1" xfId="0" applyNumberFormat="1" applyFont="1" applyFill="1" applyBorder="1"/>
    <xf numFmtId="165" fontId="0" fillId="7" borderId="1" xfId="1" applyNumberFormat="1" applyFont="1" applyFill="1" applyBorder="1"/>
    <xf numFmtId="165" fontId="3" fillId="7" borderId="1" xfId="1" applyNumberFormat="1" applyFont="1" applyFill="1" applyBorder="1"/>
    <xf numFmtId="0" fontId="5" fillId="8" borderId="1" xfId="0" applyFont="1" applyFill="1" applyBorder="1"/>
    <xf numFmtId="0" fontId="0" fillId="8" borderId="1" xfId="0" applyFill="1" applyBorder="1"/>
    <xf numFmtId="2" fontId="3" fillId="8" borderId="1" xfId="0" applyNumberFormat="1" applyFont="1" applyFill="1" applyBorder="1"/>
    <xf numFmtId="165" fontId="0" fillId="8" borderId="1" xfId="0" applyNumberFormat="1" applyFill="1" applyBorder="1"/>
    <xf numFmtId="165" fontId="3" fillId="8" borderId="1" xfId="0" applyNumberFormat="1" applyFont="1" applyFill="1" applyBorder="1"/>
    <xf numFmtId="165" fontId="5" fillId="0" borderId="0" xfId="0" applyNumberFormat="1" applyFont="1"/>
    <xf numFmtId="0" fontId="6" fillId="0" borderId="0" xfId="0" applyFont="1" applyAlignment="1">
      <alignment horizontal="center"/>
    </xf>
    <xf numFmtId="165" fontId="3" fillId="0" borderId="5" xfId="0" applyNumberFormat="1" applyFont="1" applyBorder="1"/>
    <xf numFmtId="165" fontId="0" fillId="0" borderId="0" xfId="1" applyNumberFormat="1" applyFont="1"/>
    <xf numFmtId="165" fontId="3" fillId="8" borderId="6" xfId="1" applyNumberFormat="1" applyFont="1" applyFill="1" applyBorder="1"/>
    <xf numFmtId="165" fontId="0" fillId="8" borderId="0" xfId="1" applyNumberFormat="1" applyFont="1" applyFill="1"/>
    <xf numFmtId="0" fontId="0" fillId="8" borderId="0" xfId="0" applyFill="1"/>
    <xf numFmtId="165" fontId="3" fillId="8" borderId="6" xfId="0" applyNumberFormat="1" applyFont="1" applyFill="1" applyBorder="1"/>
    <xf numFmtId="0" fontId="0" fillId="9" borderId="1" xfId="0" applyFill="1" applyBorder="1"/>
    <xf numFmtId="165" fontId="0" fillId="9" borderId="1" xfId="0" applyNumberFormat="1" applyFill="1" applyBorder="1"/>
    <xf numFmtId="165" fontId="3" fillId="9" borderId="1" xfId="0" applyNumberFormat="1" applyFont="1" applyFill="1" applyBorder="1"/>
    <xf numFmtId="0" fontId="0" fillId="9" borderId="0" xfId="0" applyFill="1"/>
    <xf numFmtId="165" fontId="0" fillId="9" borderId="0" xfId="1" applyNumberFormat="1" applyFont="1" applyFill="1"/>
    <xf numFmtId="165" fontId="0" fillId="9" borderId="1" xfId="1" applyNumberFormat="1" applyFont="1" applyFill="1" applyBorder="1"/>
    <xf numFmtId="165" fontId="3" fillId="9" borderId="1" xfId="1" applyNumberFormat="1" applyFont="1" applyFill="1" applyBorder="1"/>
    <xf numFmtId="164" fontId="3" fillId="8" borderId="6" xfId="0" applyNumberFormat="1" applyFont="1" applyFill="1" applyBorder="1"/>
    <xf numFmtId="164" fontId="0" fillId="9" borderId="6" xfId="0" applyNumberFormat="1" applyFill="1" applyBorder="1"/>
    <xf numFmtId="165" fontId="0" fillId="0" borderId="7" xfId="0" applyNumberFormat="1" applyBorder="1"/>
    <xf numFmtId="165" fontId="7" fillId="0" borderId="6" xfId="0" applyNumberFormat="1" applyFont="1" applyBorder="1"/>
    <xf numFmtId="2" fontId="5" fillId="8" borderId="1" xfId="0" applyNumberFormat="1" applyFont="1" applyFill="1" applyBorder="1"/>
    <xf numFmtId="2" fontId="5" fillId="9" borderId="1" xfId="0" applyNumberFormat="1" applyFont="1" applyFill="1" applyBorder="1"/>
    <xf numFmtId="165" fontId="8" fillId="8" borderId="0" xfId="0" applyNumberFormat="1" applyFont="1" applyFill="1"/>
    <xf numFmtId="165" fontId="8" fillId="9" borderId="0" xfId="0" applyNumberFormat="1" applyFont="1" applyFill="1"/>
    <xf numFmtId="0" fontId="8" fillId="9" borderId="1" xfId="0" applyFont="1" applyFill="1" applyBorder="1"/>
    <xf numFmtId="0" fontId="8" fillId="8" borderId="1" xfId="0" applyFont="1" applyFill="1" applyBorder="1"/>
    <xf numFmtId="0" fontId="0" fillId="9" borderId="4" xfId="0" applyFill="1" applyBorder="1"/>
    <xf numFmtId="165" fontId="0" fillId="9" borderId="4" xfId="0" applyNumberFormat="1" applyFill="1" applyBorder="1"/>
    <xf numFmtId="165" fontId="3" fillId="9" borderId="4" xfId="0" applyNumberFormat="1" applyFont="1" applyFill="1" applyBorder="1"/>
    <xf numFmtId="165" fontId="3" fillId="9" borderId="6" xfId="1" applyNumberFormat="1" applyFont="1" applyFill="1" applyBorder="1"/>
    <xf numFmtId="44" fontId="0" fillId="0" borderId="0" xfId="1" applyFont="1"/>
    <xf numFmtId="0" fontId="0" fillId="0" borderId="0" xfId="0" applyAlignment="1">
      <alignment horizontal="right"/>
    </xf>
    <xf numFmtId="0" fontId="6" fillId="0" borderId="0" xfId="0" applyFont="1" applyAlignment="1">
      <alignment horizontal="left"/>
    </xf>
    <xf numFmtId="16" fontId="0" fillId="0" borderId="0" xfId="0" applyNumberFormat="1" applyAlignment="1">
      <alignment horizontal="right"/>
    </xf>
    <xf numFmtId="165" fontId="9" fillId="0" borderId="0" xfId="1" applyNumberFormat="1" applyFont="1" applyFill="1"/>
    <xf numFmtId="165" fontId="7" fillId="0" borderId="0" xfId="1" applyNumberFormat="1" applyFont="1"/>
    <xf numFmtId="165" fontId="9" fillId="0" borderId="0" xfId="1" applyNumberFormat="1" applyFont="1"/>
    <xf numFmtId="165" fontId="9" fillId="10" borderId="0" xfId="1" applyNumberFormat="1" applyFont="1" applyFill="1"/>
    <xf numFmtId="0" fontId="9" fillId="0" borderId="0" xfId="0" applyFont="1"/>
    <xf numFmtId="0" fontId="0" fillId="2" borderId="0" xfId="0" applyFill="1"/>
    <xf numFmtId="165" fontId="7" fillId="0" borderId="0" xfId="1" applyNumberFormat="1" applyFont="1" applyFill="1"/>
    <xf numFmtId="165" fontId="0" fillId="0" borderId="4" xfId="0" applyNumberFormat="1" applyBorder="1"/>
    <xf numFmtId="165" fontId="10" fillId="0" borderId="5" xfId="0" applyNumberFormat="1" applyFont="1" applyBorder="1"/>
    <xf numFmtId="165" fontId="7" fillId="8" borderId="0" xfId="1" applyNumberFormat="1" applyFont="1" applyFill="1"/>
    <xf numFmtId="0" fontId="8" fillId="2" borderId="1" xfId="0" applyFont="1" applyFill="1" applyBorder="1"/>
    <xf numFmtId="0" fontId="0" fillId="2" borderId="4" xfId="0" applyFill="1" applyBorder="1"/>
    <xf numFmtId="2" fontId="5" fillId="2" borderId="1" xfId="0" applyNumberFormat="1" applyFont="1" applyFill="1" applyBorder="1"/>
    <xf numFmtId="165" fontId="0" fillId="2" borderId="4" xfId="0" applyNumberFormat="1" applyFill="1" applyBorder="1"/>
    <xf numFmtId="165" fontId="3" fillId="2" borderId="4" xfId="0" applyNumberFormat="1" applyFont="1" applyFill="1" applyBorder="1"/>
    <xf numFmtId="165" fontId="8" fillId="2" borderId="0" xfId="0" applyNumberFormat="1" applyFont="1" applyFill="1"/>
    <xf numFmtId="165" fontId="3" fillId="2" borderId="6" xfId="1" applyNumberFormat="1" applyFont="1" applyFill="1" applyBorder="1"/>
    <xf numFmtId="165" fontId="7" fillId="2" borderId="0" xfId="1" applyNumberFormat="1" applyFont="1" applyFill="1"/>
    <xf numFmtId="164" fontId="0" fillId="2" borderId="6" xfId="0" applyNumberFormat="1" applyFill="1" applyBorder="1"/>
    <xf numFmtId="165" fontId="0" fillId="2" borderId="1" xfId="1" applyNumberFormat="1" applyFont="1" applyFill="1" applyBorder="1"/>
    <xf numFmtId="165" fontId="3" fillId="2" borderId="1" xfId="1" applyNumberFormat="1" applyFont="1" applyFill="1" applyBorder="1"/>
    <xf numFmtId="164" fontId="3" fillId="2" borderId="6" xfId="0" applyNumberFormat="1" applyFont="1" applyFill="1" applyBorder="1"/>
    <xf numFmtId="0" fontId="0" fillId="2" borderId="8" xfId="0" applyFill="1" applyBorder="1"/>
    <xf numFmtId="165" fontId="0" fillId="2" borderId="8" xfId="0" applyNumberFormat="1" applyFill="1" applyBorder="1"/>
    <xf numFmtId="0" fontId="0" fillId="0" borderId="9" xfId="0" applyBorder="1"/>
    <xf numFmtId="165" fontId="0" fillId="0" borderId="9" xfId="0" applyNumberFormat="1" applyBorder="1"/>
    <xf numFmtId="165" fontId="9" fillId="8" borderId="0" xfId="1" applyNumberFormat="1" applyFont="1" applyFill="1"/>
    <xf numFmtId="0" fontId="11" fillId="0" borderId="0" xfId="0" applyFont="1"/>
    <xf numFmtId="0" fontId="12" fillId="0" borderId="0" xfId="2" applyFill="1"/>
    <xf numFmtId="0" fontId="14" fillId="0" borderId="0" xfId="0" applyFont="1" applyAlignment="1">
      <alignment wrapText="1"/>
    </xf>
    <xf numFmtId="0" fontId="11" fillId="0" borderId="0" xfId="0" applyFont="1" applyAlignment="1">
      <alignment wrapText="1"/>
    </xf>
    <xf numFmtId="165" fontId="15" fillId="0" borderId="0" xfId="1" applyNumberFormat="1" applyFont="1"/>
    <xf numFmtId="0" fontId="16" fillId="0" borderId="0" xfId="0" applyFont="1"/>
    <xf numFmtId="0" fontId="3" fillId="0" borderId="5" xfId="0" applyFont="1" applyBorder="1"/>
    <xf numFmtId="0" fontId="13" fillId="0" borderId="0" xfId="0" applyFont="1"/>
    <xf numFmtId="0" fontId="17" fillId="0" borderId="0" xfId="0" applyFont="1"/>
    <xf numFmtId="0" fontId="0" fillId="8" borderId="3" xfId="0" applyFill="1" applyBorder="1"/>
    <xf numFmtId="165" fontId="2" fillId="0" borderId="0" xfId="1" applyNumberFormat="1" applyFont="1" applyFill="1"/>
    <xf numFmtId="165" fontId="2" fillId="0" borderId="0" xfId="1" applyNumberFormat="1" applyFont="1"/>
    <xf numFmtId="2" fontId="0" fillId="8" borderId="1" xfId="0" applyNumberFormat="1" applyFill="1" applyBorder="1"/>
    <xf numFmtId="165" fontId="18" fillId="0" borderId="5" xfId="0" applyNumberFormat="1" applyFont="1" applyBorder="1"/>
    <xf numFmtId="0" fontId="18" fillId="0" borderId="5" xfId="0" applyFont="1" applyBorder="1"/>
    <xf numFmtId="2" fontId="0" fillId="2" borderId="1" xfId="0" applyNumberFormat="1" applyFill="1" applyBorder="1"/>
    <xf numFmtId="165" fontId="19" fillId="0" borderId="0" xfId="1" applyNumberFormat="1" applyFont="1"/>
    <xf numFmtId="165" fontId="20" fillId="0" borderId="5" xfId="0" applyNumberFormat="1" applyFont="1" applyBorder="1"/>
    <xf numFmtId="0" fontId="0" fillId="2" borderId="3" xfId="0" applyFill="1" applyBorder="1"/>
    <xf numFmtId="165" fontId="21" fillId="0" borderId="0" xfId="1" applyNumberFormat="1" applyFont="1" applyFill="1"/>
    <xf numFmtId="0" fontId="7" fillId="0" borderId="0" xfId="0" applyFont="1"/>
    <xf numFmtId="165" fontId="3" fillId="2" borderId="6" xfId="0" applyNumberFormat="1" applyFont="1" applyFill="1" applyBorder="1"/>
    <xf numFmtId="165" fontId="0" fillId="2" borderId="6" xfId="0" applyNumberFormat="1" applyFill="1" applyBorder="1"/>
    <xf numFmtId="0" fontId="0" fillId="0" borderId="10" xfId="0" applyBorder="1"/>
    <xf numFmtId="165" fontId="0" fillId="0" borderId="10" xfId="0" applyNumberFormat="1" applyBorder="1"/>
    <xf numFmtId="2" fontId="0" fillId="0" borderId="0" xfId="0" applyNumberFormat="1"/>
    <xf numFmtId="165" fontId="2" fillId="0" borderId="0" xfId="1" applyNumberFormat="1" applyFont="1" applyFill="1" applyBorder="1"/>
    <xf numFmtId="165" fontId="0" fillId="0" borderId="0" xfId="1" applyNumberFormat="1" applyFont="1" applyBorder="1"/>
    <xf numFmtId="165" fontId="2" fillId="0" borderId="0" xfId="1" applyNumberFormat="1" applyFont="1" applyBorder="1"/>
    <xf numFmtId="165" fontId="9" fillId="0" borderId="0" xfId="1" applyNumberFormat="1" applyFont="1" applyBorder="1"/>
    <xf numFmtId="165" fontId="7" fillId="0" borderId="1" xfId="0" applyNumberFormat="1" applyFont="1" applyBorder="1"/>
    <xf numFmtId="0" fontId="0" fillId="8" borderId="4" xfId="0" applyFill="1" applyBorder="1"/>
    <xf numFmtId="0" fontId="0" fillId="8" borderId="8" xfId="0" applyFill="1" applyBorder="1"/>
    <xf numFmtId="0" fontId="0" fillId="0" borderId="8" xfId="0" applyBorder="1"/>
    <xf numFmtId="165" fontId="0" fillId="0" borderId="11" xfId="0" applyNumberFormat="1" applyBorder="1"/>
    <xf numFmtId="0" fontId="0" fillId="0" borderId="11" xfId="0" applyBorder="1"/>
    <xf numFmtId="2" fontId="0" fillId="0" borderId="12" xfId="0" applyNumberFormat="1" applyBorder="1"/>
    <xf numFmtId="16" fontId="22" fillId="0" borderId="0" xfId="0" applyNumberFormat="1" applyFont="1"/>
    <xf numFmtId="16" fontId="22" fillId="0" borderId="0" xfId="0" applyNumberFormat="1" applyFont="1" applyAlignment="1">
      <alignment horizontal="right"/>
    </xf>
    <xf numFmtId="165" fontId="23" fillId="0" borderId="0" xfId="1" applyNumberFormat="1" applyFont="1"/>
    <xf numFmtId="0" fontId="7" fillId="8" borderId="0" xfId="0" applyFont="1" applyFill="1"/>
    <xf numFmtId="0" fontId="7" fillId="2" borderId="0" xfId="0" applyFont="1" applyFill="1"/>
    <xf numFmtId="165" fontId="9" fillId="0" borderId="0" xfId="1" applyNumberFormat="1" applyFont="1" applyFill="1" applyBorder="1"/>
    <xf numFmtId="165" fontId="7" fillId="2" borderId="0" xfId="1" applyNumberFormat="1" applyFont="1" applyFill="1" applyBorder="1"/>
    <xf numFmtId="164" fontId="0" fillId="0" borderId="0" xfId="0" applyNumberFormat="1"/>
    <xf numFmtId="165" fontId="24" fillId="2" borderId="6" xfId="1" applyNumberFormat="1" applyFont="1" applyFill="1" applyBorder="1"/>
    <xf numFmtId="164" fontId="23" fillId="2" borderId="6" xfId="0" applyNumberFormat="1" applyFont="1" applyFill="1" applyBorder="1"/>
    <xf numFmtId="165" fontId="24" fillId="2" borderId="6" xfId="0" applyNumberFormat="1" applyFont="1" applyFill="1" applyBorder="1"/>
    <xf numFmtId="164" fontId="24" fillId="2" borderId="6" xfId="0" applyNumberFormat="1" applyFont="1" applyFill="1" applyBorder="1"/>
    <xf numFmtId="165" fontId="25" fillId="0" borderId="5" xfId="0" applyNumberFormat="1" applyFont="1" applyBorder="1"/>
    <xf numFmtId="165" fontId="5" fillId="2" borderId="1" xfId="0" applyNumberFormat="1" applyFont="1" applyFill="1" applyBorder="1"/>
    <xf numFmtId="165" fontId="0" fillId="2" borderId="12" xfId="0" applyNumberFormat="1" applyFill="1" applyBorder="1"/>
    <xf numFmtId="165" fontId="8" fillId="2" borderId="6" xfId="0" applyNumberFormat="1" applyFont="1" applyFill="1" applyBorder="1"/>
    <xf numFmtId="165" fontId="10" fillId="2" borderId="0" xfId="1" applyNumberFormat="1" applyFont="1" applyFill="1"/>
    <xf numFmtId="0" fontId="3" fillId="0" borderId="0" xfId="0" applyFont="1"/>
    <xf numFmtId="165" fontId="3" fillId="0" borderId="0" xfId="1" applyNumberFormat="1" applyFont="1"/>
    <xf numFmtId="165" fontId="0" fillId="2" borderId="13" xfId="0" applyNumberFormat="1" applyFill="1" applyBorder="1"/>
    <xf numFmtId="165" fontId="8" fillId="2" borderId="14" xfId="0" applyNumberFormat="1" applyFont="1" applyFill="1" applyBorder="1"/>
    <xf numFmtId="16" fontId="7" fillId="0" borderId="0" xfId="0" applyNumberFormat="1" applyFont="1" applyAlignment="1">
      <alignment horizontal="right"/>
    </xf>
    <xf numFmtId="0" fontId="0" fillId="0" borderId="15" xfId="0" applyBorder="1"/>
    <xf numFmtId="165" fontId="18" fillId="0" borderId="0" xfId="0" applyNumberFormat="1" applyFont="1"/>
    <xf numFmtId="16" fontId="0" fillId="0" borderId="0" xfId="0" applyNumberFormat="1" applyAlignment="1">
      <alignment horizontal="right" indent="2"/>
    </xf>
    <xf numFmtId="0" fontId="26" fillId="0" borderId="0" xfId="0" applyFont="1"/>
    <xf numFmtId="0" fontId="0" fillId="2" borderId="15" xfId="0" applyFill="1" applyBorder="1"/>
    <xf numFmtId="0" fontId="0" fillId="0" borderId="12" xfId="0" applyBorder="1"/>
    <xf numFmtId="0" fontId="0" fillId="2" borderId="12" xfId="0" applyFill="1" applyBorder="1"/>
    <xf numFmtId="2" fontId="0" fillId="0" borderId="11" xfId="0" applyNumberFormat="1" applyBorder="1"/>
    <xf numFmtId="2" fontId="0" fillId="2" borderId="11" xfId="0" applyNumberFormat="1" applyFill="1" applyBorder="1"/>
    <xf numFmtId="0" fontId="3" fillId="2" borderId="1" xfId="0" applyFont="1" applyFill="1" applyBorder="1"/>
    <xf numFmtId="0" fontId="6" fillId="0" borderId="0" xfId="0" applyFont="1" applyAlignment="1">
      <alignment wrapText="1"/>
    </xf>
    <xf numFmtId="0" fontId="27" fillId="2" borderId="0" xfId="0" applyFont="1" applyFill="1"/>
    <xf numFmtId="165" fontId="28" fillId="0" borderId="0" xfId="1" applyNumberFormat="1" applyFont="1"/>
    <xf numFmtId="0" fontId="29" fillId="2" borderId="0" xfId="0" applyFont="1" applyFill="1"/>
    <xf numFmtId="0" fontId="32" fillId="0" borderId="0" xfId="0" applyFont="1"/>
    <xf numFmtId="16" fontId="0" fillId="11" borderId="0" xfId="0" applyNumberFormat="1" applyFill="1" applyAlignment="1">
      <alignment horizontal="right"/>
    </xf>
    <xf numFmtId="0" fontId="0" fillId="11" borderId="1" xfId="0" applyFill="1" applyBorder="1"/>
    <xf numFmtId="2" fontId="0" fillId="11" borderId="1" xfId="0" applyNumberFormat="1" applyFill="1" applyBorder="1"/>
    <xf numFmtId="165" fontId="0" fillId="11" borderId="1" xfId="0" applyNumberFormat="1" applyFill="1" applyBorder="1"/>
    <xf numFmtId="0" fontId="0" fillId="11" borderId="0" xfId="0" applyFill="1"/>
    <xf numFmtId="165" fontId="0" fillId="11" borderId="0" xfId="1" applyNumberFormat="1" applyFont="1" applyFill="1"/>
    <xf numFmtId="0" fontId="6" fillId="11" borderId="0" xfId="0" applyFont="1" applyFill="1" applyAlignment="1">
      <alignment horizontal="center"/>
    </xf>
    <xf numFmtId="0" fontId="0" fillId="2" borderId="16" xfId="0" applyFill="1" applyBorder="1"/>
    <xf numFmtId="165" fontId="34" fillId="2" borderId="0" xfId="0" applyNumberFormat="1" applyFont="1" applyFill="1"/>
    <xf numFmtId="0" fontId="18" fillId="0" borderId="17" xfId="0" applyFont="1" applyBorder="1"/>
    <xf numFmtId="165" fontId="18" fillId="0" borderId="17" xfId="0" applyNumberFormat="1" applyFont="1" applyBorder="1"/>
    <xf numFmtId="165" fontId="33" fillId="0" borderId="17" xfId="0" applyNumberFormat="1" applyFont="1" applyBorder="1"/>
    <xf numFmtId="0" fontId="0" fillId="0" borderId="18" xfId="0" applyBorder="1"/>
    <xf numFmtId="0" fontId="1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workbookViewId="0">
      <selection activeCell="E25" sqref="E25"/>
    </sheetView>
  </sheetViews>
  <sheetFormatPr baseColWidth="10" defaultColWidth="8.6640625" defaultRowHeight="15"/>
  <cols>
    <col min="1" max="1" width="9.6640625" bestFit="1" customWidth="1"/>
    <col min="4" max="4" width="12.33203125" bestFit="1" customWidth="1"/>
    <col min="8" max="8" width="12.5" bestFit="1" customWidth="1"/>
    <col min="9" max="10" width="11.33203125" bestFit="1" customWidth="1"/>
    <col min="11" max="11" width="10.332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>
        <v>44</v>
      </c>
      <c r="C2">
        <v>48</v>
      </c>
      <c r="D2">
        <v>45</v>
      </c>
      <c r="E2">
        <v>6</v>
      </c>
      <c r="F2">
        <v>50</v>
      </c>
      <c r="G2">
        <f t="shared" ref="G2:G7" si="0">B2+C2/60</f>
        <v>44.8</v>
      </c>
      <c r="H2">
        <f t="shared" ref="H2:H7" si="1">E2*F2</f>
        <v>300</v>
      </c>
      <c r="I2" s="1">
        <f t="shared" ref="I2:I7" si="2">G2*D2</f>
        <v>2015.9999999999998</v>
      </c>
      <c r="J2" s="1">
        <f t="shared" ref="J2:J7" si="3">I2-H2</f>
        <v>1715.9999999999998</v>
      </c>
    </row>
    <row r="3" spans="1:11">
      <c r="A3" t="s">
        <v>11</v>
      </c>
      <c r="B3">
        <v>55</v>
      </c>
      <c r="C3">
        <v>12</v>
      </c>
      <c r="D3">
        <v>45</v>
      </c>
      <c r="E3">
        <v>6</v>
      </c>
      <c r="F3">
        <v>50</v>
      </c>
      <c r="G3">
        <f t="shared" si="0"/>
        <v>55.2</v>
      </c>
      <c r="H3">
        <f t="shared" si="1"/>
        <v>300</v>
      </c>
      <c r="I3" s="1">
        <f t="shared" si="2"/>
        <v>2484</v>
      </c>
      <c r="J3" s="1">
        <f t="shared" si="3"/>
        <v>2184</v>
      </c>
    </row>
    <row r="4" spans="1:11">
      <c r="A4" t="s">
        <v>12</v>
      </c>
      <c r="B4">
        <v>0</v>
      </c>
      <c r="C4">
        <v>0</v>
      </c>
      <c r="D4">
        <v>45</v>
      </c>
      <c r="E4">
        <v>0</v>
      </c>
      <c r="F4">
        <v>50</v>
      </c>
      <c r="G4">
        <f t="shared" si="0"/>
        <v>0</v>
      </c>
      <c r="H4">
        <f t="shared" si="1"/>
        <v>0</v>
      </c>
      <c r="I4" s="1">
        <f t="shared" si="2"/>
        <v>0</v>
      </c>
      <c r="J4" s="1">
        <f t="shared" si="3"/>
        <v>0</v>
      </c>
    </row>
    <row r="5" spans="1:11">
      <c r="A5" t="s">
        <v>13</v>
      </c>
      <c r="B5">
        <v>10</v>
      </c>
      <c r="C5">
        <v>49</v>
      </c>
      <c r="D5">
        <v>55</v>
      </c>
      <c r="E5">
        <v>1</v>
      </c>
      <c r="F5">
        <v>50</v>
      </c>
      <c r="G5">
        <f t="shared" si="0"/>
        <v>10.816666666666666</v>
      </c>
      <c r="H5">
        <f t="shared" si="1"/>
        <v>50</v>
      </c>
      <c r="I5" s="1">
        <f t="shared" si="2"/>
        <v>594.91666666666663</v>
      </c>
      <c r="J5" s="1">
        <f t="shared" si="3"/>
        <v>544.91666666666663</v>
      </c>
    </row>
    <row r="6" spans="1:11">
      <c r="A6" t="s">
        <v>14</v>
      </c>
      <c r="B6">
        <v>52</v>
      </c>
      <c r="C6">
        <v>52</v>
      </c>
      <c r="D6">
        <v>45</v>
      </c>
      <c r="E6">
        <v>7</v>
      </c>
      <c r="F6">
        <v>50</v>
      </c>
      <c r="G6">
        <f t="shared" si="0"/>
        <v>52.866666666666667</v>
      </c>
      <c r="H6">
        <f t="shared" si="1"/>
        <v>350</v>
      </c>
      <c r="I6" s="1">
        <f t="shared" si="2"/>
        <v>2379</v>
      </c>
      <c r="J6" s="1">
        <f t="shared" si="3"/>
        <v>2029</v>
      </c>
    </row>
    <row r="7" spans="1:11">
      <c r="A7" t="s">
        <v>15</v>
      </c>
      <c r="B7">
        <v>52</v>
      </c>
      <c r="C7">
        <v>16</v>
      </c>
      <c r="D7">
        <v>45</v>
      </c>
      <c r="E7">
        <v>5</v>
      </c>
      <c r="F7">
        <v>50</v>
      </c>
      <c r="G7">
        <f t="shared" si="0"/>
        <v>52.266666666666666</v>
      </c>
      <c r="H7">
        <f t="shared" si="1"/>
        <v>250</v>
      </c>
      <c r="I7" s="1">
        <f t="shared" si="2"/>
        <v>2352</v>
      </c>
      <c r="J7" s="1">
        <f t="shared" si="3"/>
        <v>2102</v>
      </c>
      <c r="K7" s="1">
        <f>J7+J8</f>
        <v>2767</v>
      </c>
    </row>
    <row r="8" spans="1:11">
      <c r="A8" t="s">
        <v>16</v>
      </c>
      <c r="B8">
        <v>11</v>
      </c>
      <c r="C8">
        <v>0</v>
      </c>
      <c r="D8">
        <v>65</v>
      </c>
      <c r="E8">
        <v>1</v>
      </c>
      <c r="F8">
        <v>50</v>
      </c>
      <c r="G8">
        <f t="shared" ref="G8" si="4">B8+C8/60</f>
        <v>11</v>
      </c>
      <c r="H8">
        <f t="shared" ref="H8" si="5">E8*F8</f>
        <v>50</v>
      </c>
      <c r="I8" s="1">
        <f t="shared" ref="I8" si="6">G8*D8</f>
        <v>715</v>
      </c>
      <c r="J8" s="1">
        <f t="shared" ref="J8" si="7">I8-H8</f>
        <v>665</v>
      </c>
    </row>
    <row r="9" spans="1:11">
      <c r="A9" t="s">
        <v>17</v>
      </c>
      <c r="H9">
        <f>SUM(H2:H8)</f>
        <v>1300</v>
      </c>
      <c r="I9" s="1">
        <f>SUM(I2:I8)</f>
        <v>10540.916666666668</v>
      </c>
      <c r="J9" s="1">
        <f>SUM(J2:J8)</f>
        <v>9240.9166666666679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C970-1810-B940-A427-30D50F699D05}">
  <dimension ref="A1:K11"/>
  <sheetViews>
    <sheetView workbookViewId="0">
      <selection activeCell="I21" sqref="I21"/>
    </sheetView>
  </sheetViews>
  <sheetFormatPr baseColWidth="10" defaultColWidth="8.6640625" defaultRowHeight="15"/>
  <cols>
    <col min="1" max="1" width="9.6640625" bestFit="1" customWidth="1"/>
    <col min="4" max="4" width="12.33203125" bestFit="1" customWidth="1"/>
    <col min="8" max="8" width="12.5" bestFit="1" customWidth="1"/>
    <col min="9" max="10" width="11.33203125" bestFit="1" customWidth="1"/>
    <col min="11" max="11" width="10.332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>
        <v>38</v>
      </c>
      <c r="C2">
        <v>16</v>
      </c>
      <c r="D2">
        <v>45</v>
      </c>
      <c r="E2">
        <v>6</v>
      </c>
      <c r="F2">
        <v>50</v>
      </c>
      <c r="G2">
        <f t="shared" ref="G2:G9" si="0">B2+C2/60</f>
        <v>38.266666666666666</v>
      </c>
      <c r="H2">
        <f t="shared" ref="H2:H9" si="1">E2*F2</f>
        <v>300</v>
      </c>
      <c r="I2" s="1">
        <f t="shared" ref="I2:I9" si="2">G2*D2</f>
        <v>1722</v>
      </c>
      <c r="J2" s="1">
        <f t="shared" ref="J2:J9" si="3">I2-H2</f>
        <v>1422</v>
      </c>
    </row>
    <row r="3" spans="1:11">
      <c r="A3" t="s">
        <v>11</v>
      </c>
      <c r="B3">
        <v>53</v>
      </c>
      <c r="C3">
        <v>53</v>
      </c>
      <c r="D3">
        <v>45</v>
      </c>
      <c r="E3">
        <v>6</v>
      </c>
      <c r="F3">
        <v>50</v>
      </c>
      <c r="G3">
        <f t="shared" si="0"/>
        <v>53.883333333333333</v>
      </c>
      <c r="H3">
        <f t="shared" si="1"/>
        <v>300</v>
      </c>
      <c r="I3" s="1">
        <f t="shared" si="2"/>
        <v>2424.75</v>
      </c>
      <c r="J3" s="1">
        <f t="shared" si="3"/>
        <v>2124.75</v>
      </c>
    </row>
    <row r="4" spans="1:11">
      <c r="A4" t="s">
        <v>12</v>
      </c>
      <c r="B4">
        <v>0</v>
      </c>
      <c r="C4">
        <v>0</v>
      </c>
      <c r="D4">
        <v>45</v>
      </c>
      <c r="E4">
        <v>0</v>
      </c>
      <c r="F4">
        <v>50</v>
      </c>
      <c r="G4">
        <f t="shared" si="0"/>
        <v>0</v>
      </c>
      <c r="H4">
        <f t="shared" si="1"/>
        <v>0</v>
      </c>
      <c r="I4" s="1">
        <f t="shared" si="2"/>
        <v>0</v>
      </c>
      <c r="J4" s="1">
        <f t="shared" si="3"/>
        <v>0</v>
      </c>
    </row>
    <row r="5" spans="1:11">
      <c r="A5" t="s">
        <v>13</v>
      </c>
      <c r="B5">
        <v>0</v>
      </c>
      <c r="C5">
        <v>0</v>
      </c>
      <c r="D5">
        <v>55</v>
      </c>
      <c r="E5">
        <v>0</v>
      </c>
      <c r="F5">
        <v>50</v>
      </c>
      <c r="G5">
        <f t="shared" si="0"/>
        <v>0</v>
      </c>
      <c r="H5">
        <f t="shared" si="1"/>
        <v>0</v>
      </c>
      <c r="I5" s="1">
        <f t="shared" si="2"/>
        <v>0</v>
      </c>
      <c r="J5" s="1">
        <f t="shared" si="3"/>
        <v>0</v>
      </c>
    </row>
    <row r="6" spans="1:11">
      <c r="A6" t="s">
        <v>14</v>
      </c>
      <c r="B6">
        <v>37</v>
      </c>
      <c r="C6">
        <v>43</v>
      </c>
      <c r="D6">
        <v>45</v>
      </c>
      <c r="E6">
        <v>4</v>
      </c>
      <c r="F6">
        <v>50</v>
      </c>
      <c r="G6">
        <f t="shared" si="0"/>
        <v>37.716666666666669</v>
      </c>
      <c r="H6">
        <f t="shared" si="1"/>
        <v>200</v>
      </c>
      <c r="I6" s="1">
        <f t="shared" si="2"/>
        <v>1697.25</v>
      </c>
      <c r="J6" s="1">
        <f t="shared" si="3"/>
        <v>1497.25</v>
      </c>
    </row>
    <row r="7" spans="1:11">
      <c r="A7" t="s">
        <v>14</v>
      </c>
      <c r="B7">
        <v>21</v>
      </c>
      <c r="C7">
        <v>34</v>
      </c>
      <c r="D7">
        <v>55</v>
      </c>
      <c r="E7">
        <v>2</v>
      </c>
      <c r="F7">
        <v>50</v>
      </c>
      <c r="G7">
        <f t="shared" ref="G7" si="4">B7+C7/60</f>
        <v>21.566666666666666</v>
      </c>
      <c r="H7">
        <f t="shared" ref="H7" si="5">E7*F7</f>
        <v>100</v>
      </c>
      <c r="I7" s="1">
        <f t="shared" ref="I7" si="6">G7*D7</f>
        <v>1186.1666666666667</v>
      </c>
      <c r="J7" s="1">
        <f t="shared" ref="J7" si="7">I7-H7</f>
        <v>1086.1666666666667</v>
      </c>
      <c r="K7" s="1">
        <f>J6+J7</f>
        <v>2583.416666666667</v>
      </c>
    </row>
    <row r="8" spans="1:11">
      <c r="A8" t="s">
        <v>15</v>
      </c>
      <c r="B8">
        <v>29</v>
      </c>
      <c r="C8">
        <v>39</v>
      </c>
      <c r="D8">
        <v>45</v>
      </c>
      <c r="E8">
        <v>4</v>
      </c>
      <c r="F8">
        <v>50</v>
      </c>
      <c r="G8">
        <f t="shared" si="0"/>
        <v>29.65</v>
      </c>
      <c r="H8">
        <f t="shared" si="1"/>
        <v>200</v>
      </c>
      <c r="I8" s="1">
        <f t="shared" si="2"/>
        <v>1334.25</v>
      </c>
      <c r="J8" s="1">
        <f t="shared" si="3"/>
        <v>1134.25</v>
      </c>
      <c r="K8" s="1">
        <f>J8+J9</f>
        <v>1727.75</v>
      </c>
    </row>
    <row r="9" spans="1:11">
      <c r="A9" t="s">
        <v>16</v>
      </c>
      <c r="B9">
        <v>11</v>
      </c>
      <c r="C9">
        <v>42</v>
      </c>
      <c r="D9">
        <v>55</v>
      </c>
      <c r="E9">
        <v>1</v>
      </c>
      <c r="F9">
        <v>50</v>
      </c>
      <c r="G9">
        <f t="shared" si="0"/>
        <v>11.7</v>
      </c>
      <c r="H9">
        <f t="shared" si="1"/>
        <v>50</v>
      </c>
      <c r="I9" s="1">
        <f t="shared" si="2"/>
        <v>643.5</v>
      </c>
      <c r="J9" s="1">
        <f t="shared" si="3"/>
        <v>593.5</v>
      </c>
    </row>
    <row r="10" spans="1:11">
      <c r="A10" t="s">
        <v>18</v>
      </c>
      <c r="B10">
        <v>23</v>
      </c>
      <c r="C10">
        <v>6</v>
      </c>
      <c r="D10">
        <v>45</v>
      </c>
      <c r="E10">
        <v>3</v>
      </c>
      <c r="F10">
        <v>50</v>
      </c>
      <c r="G10">
        <f t="shared" ref="G10" si="8">B10+C10/60</f>
        <v>23.1</v>
      </c>
      <c r="H10">
        <f t="shared" ref="H10" si="9">E10*F10</f>
        <v>150</v>
      </c>
      <c r="I10" s="1">
        <f t="shared" ref="I10" si="10">G10*D10</f>
        <v>1039.5</v>
      </c>
      <c r="J10" s="1">
        <f t="shared" ref="J10" si="11">I10-H10</f>
        <v>889.5</v>
      </c>
    </row>
    <row r="11" spans="1:11">
      <c r="A11" t="s">
        <v>17</v>
      </c>
      <c r="H11">
        <f>SUM(H2:H9)</f>
        <v>1150</v>
      </c>
      <c r="I11" s="1">
        <f>SUM(I2:I9)</f>
        <v>9007.9166666666679</v>
      </c>
      <c r="J11" s="1">
        <f>SUM(J2:J9)</f>
        <v>7857.916666666667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58EF-47A0-5946-8608-3AE6C8E1D46A}">
  <dimension ref="A1:Q131"/>
  <sheetViews>
    <sheetView workbookViewId="0">
      <pane xSplit="1" ySplit="1" topLeftCell="K40" activePane="bottomRight" state="frozen"/>
      <selection pane="topRight" activeCell="B1" sqref="B1"/>
      <selection pane="bottomLeft" activeCell="A2" sqref="A2"/>
      <selection pane="bottomRight" activeCell="H115" sqref="H115"/>
    </sheetView>
  </sheetViews>
  <sheetFormatPr baseColWidth="10" defaultColWidth="8.6640625" defaultRowHeight="15"/>
  <cols>
    <col min="1" max="1" width="21" customWidth="1"/>
    <col min="3" max="3" width="13.33203125" customWidth="1"/>
    <col min="4" max="4" width="17.6640625" customWidth="1"/>
    <col min="6" max="6" width="16.6640625" customWidth="1"/>
    <col min="7" max="7" width="19" customWidth="1"/>
    <col min="8" max="8" width="18" customWidth="1"/>
    <col min="9" max="9" width="20.5" customWidth="1"/>
    <col min="10" max="10" width="17.33203125" customWidth="1"/>
    <col min="11" max="11" width="13.6640625" bestFit="1" customWidth="1"/>
    <col min="12" max="12" width="11.6640625" bestFit="1" customWidth="1"/>
    <col min="13" max="13" width="17.33203125" bestFit="1" customWidth="1"/>
    <col min="14" max="14" width="15.33203125" bestFit="1" customWidth="1"/>
    <col min="15" max="15" width="22.6640625" bestFit="1" customWidth="1"/>
    <col min="16" max="16" width="175.5" customWidth="1"/>
  </cols>
  <sheetData>
    <row r="1" spans="1:16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6" ht="20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6" s="54" customFormat="1" ht="20" thickBot="1">
      <c r="A3" s="72" t="s">
        <v>10</v>
      </c>
      <c r="B3" s="44">
        <f>SUM(B4:B10)</f>
        <v>38</v>
      </c>
      <c r="C3" s="44">
        <f>SUM(C4:C8)</f>
        <v>92</v>
      </c>
      <c r="D3" s="44">
        <f>SUM(D4)</f>
        <v>0</v>
      </c>
      <c r="E3" s="44">
        <f>SUM(E4:E10)</f>
        <v>5</v>
      </c>
      <c r="F3" s="44">
        <f>SUM(F4:F10)</f>
        <v>250</v>
      </c>
      <c r="G3" s="67">
        <f t="shared" ref="G3" si="0">B3+C3/60</f>
        <v>39.533333333333331</v>
      </c>
      <c r="H3" s="44">
        <f>SUM(H4:H10)</f>
        <v>250</v>
      </c>
      <c r="I3" s="46">
        <f>SUM(I4:I10)</f>
        <v>2203.25</v>
      </c>
      <c r="J3" s="47">
        <f>SUM(J4:J10)</f>
        <v>1953.25</v>
      </c>
      <c r="K3" s="44">
        <f>SUM(K4:K10)</f>
        <v>138</v>
      </c>
      <c r="L3" s="46">
        <v>0</v>
      </c>
      <c r="M3" s="69">
        <f>J3+L3</f>
        <v>1953.25</v>
      </c>
      <c r="N3" s="52">
        <f>SUM(N4:N10)</f>
        <v>2350</v>
      </c>
      <c r="O3" s="90">
        <f>2349-N3</f>
        <v>-1</v>
      </c>
    </row>
    <row r="4" spans="1:16">
      <c r="A4" s="6">
        <v>46055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10">
        <v>0</v>
      </c>
      <c r="H4" s="4">
        <v>0</v>
      </c>
      <c r="I4" s="5">
        <v>0</v>
      </c>
      <c r="J4" s="5">
        <f>I4-H4</f>
        <v>0</v>
      </c>
      <c r="K4">
        <v>0</v>
      </c>
      <c r="N4" s="87"/>
    </row>
    <row r="5" spans="1:16">
      <c r="A5" s="6">
        <v>46056</v>
      </c>
      <c r="B5" s="4">
        <v>8</v>
      </c>
      <c r="C5" s="4">
        <v>29</v>
      </c>
      <c r="D5" s="4">
        <v>45</v>
      </c>
      <c r="E5" s="4">
        <v>1</v>
      </c>
      <c r="F5" s="4">
        <v>50</v>
      </c>
      <c r="G5" s="10">
        <f t="shared" ref="G5:G10" si="1">B5+C5/60</f>
        <v>8.4833333333333325</v>
      </c>
      <c r="H5" s="4">
        <v>50</v>
      </c>
      <c r="I5" s="5">
        <f t="shared" ref="I5:I10" si="2">G5*D5</f>
        <v>381.74999999999994</v>
      </c>
      <c r="J5" s="5">
        <f>I5-H5</f>
        <v>331.74999999999994</v>
      </c>
      <c r="K5">
        <v>22</v>
      </c>
      <c r="N5" s="87"/>
    </row>
    <row r="6" spans="1:16">
      <c r="A6" s="6">
        <v>46057</v>
      </c>
      <c r="B6" s="4">
        <v>7</v>
      </c>
      <c r="C6" s="4">
        <v>51</v>
      </c>
      <c r="D6" s="4">
        <v>55</v>
      </c>
      <c r="E6" s="4">
        <v>1</v>
      </c>
      <c r="F6" s="4">
        <v>50</v>
      </c>
      <c r="G6" s="10">
        <f t="shared" si="1"/>
        <v>7.85</v>
      </c>
      <c r="H6" s="4">
        <v>50</v>
      </c>
      <c r="I6" s="5">
        <f t="shared" si="2"/>
        <v>431.75</v>
      </c>
      <c r="J6" s="5">
        <f>I6-H6</f>
        <v>381.75</v>
      </c>
      <c r="K6">
        <v>27</v>
      </c>
      <c r="N6" s="87"/>
    </row>
    <row r="7" spans="1:16">
      <c r="A7" s="6">
        <v>46058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10">
        <v>0</v>
      </c>
      <c r="H7" s="4">
        <v>0</v>
      </c>
      <c r="I7" s="5">
        <v>0</v>
      </c>
      <c r="J7" s="5">
        <v>0</v>
      </c>
      <c r="K7">
        <v>0</v>
      </c>
      <c r="N7" s="87"/>
    </row>
    <row r="8" spans="1:16">
      <c r="A8" s="6">
        <v>46059</v>
      </c>
      <c r="B8" s="4">
        <v>8</v>
      </c>
      <c r="C8" s="4">
        <v>12</v>
      </c>
      <c r="D8" s="4">
        <v>55</v>
      </c>
      <c r="E8" s="4">
        <v>1</v>
      </c>
      <c r="F8" s="4">
        <v>50</v>
      </c>
      <c r="G8" s="10">
        <f t="shared" si="1"/>
        <v>8.1999999999999993</v>
      </c>
      <c r="H8" s="4">
        <v>50</v>
      </c>
      <c r="I8" s="5">
        <f t="shared" si="2"/>
        <v>450.99999999999994</v>
      </c>
      <c r="J8" s="5">
        <f>I8-H8</f>
        <v>400.99999999999994</v>
      </c>
      <c r="K8">
        <v>27</v>
      </c>
      <c r="N8" s="87"/>
    </row>
    <row r="9" spans="1:16">
      <c r="A9" s="6">
        <v>7.37</v>
      </c>
      <c r="B9" s="4">
        <v>7</v>
      </c>
      <c r="C9" s="4">
        <v>37</v>
      </c>
      <c r="D9" s="4">
        <v>65</v>
      </c>
      <c r="E9" s="12">
        <v>1</v>
      </c>
      <c r="F9" s="4">
        <v>50</v>
      </c>
      <c r="G9" s="10">
        <f t="shared" si="1"/>
        <v>7.6166666666666671</v>
      </c>
      <c r="H9" s="4">
        <v>50</v>
      </c>
      <c r="I9" s="5">
        <f t="shared" si="2"/>
        <v>495.08333333333337</v>
      </c>
      <c r="J9" s="5">
        <f t="shared" ref="J9:J10" si="3">I9-H9</f>
        <v>445.08333333333337</v>
      </c>
      <c r="K9">
        <v>35</v>
      </c>
      <c r="N9" s="87"/>
    </row>
    <row r="10" spans="1:16" ht="16" thickBot="1">
      <c r="A10" s="6">
        <v>46061</v>
      </c>
      <c r="B10" s="4">
        <v>8</v>
      </c>
      <c r="C10" s="4">
        <v>4</v>
      </c>
      <c r="D10" s="4">
        <v>55</v>
      </c>
      <c r="E10" s="12">
        <v>1</v>
      </c>
      <c r="F10" s="4">
        <v>50</v>
      </c>
      <c r="G10" s="10">
        <f t="shared" si="1"/>
        <v>8.0666666666666664</v>
      </c>
      <c r="H10" s="12">
        <v>50</v>
      </c>
      <c r="I10" s="5">
        <f t="shared" si="2"/>
        <v>443.66666666666663</v>
      </c>
      <c r="J10" s="5">
        <f t="shared" si="3"/>
        <v>393.66666666666663</v>
      </c>
      <c r="K10">
        <v>27</v>
      </c>
      <c r="N10" s="81">
        <v>2350</v>
      </c>
    </row>
    <row r="11" spans="1:16" s="86" customFormat="1" ht="20" thickBot="1">
      <c r="A11" s="91" t="s">
        <v>11</v>
      </c>
      <c r="B11" s="92">
        <f>SUM(B12:B18)</f>
        <v>64</v>
      </c>
      <c r="C11" s="92">
        <f>SUM(C12:C18)</f>
        <v>116</v>
      </c>
      <c r="D11" s="92">
        <f>SUM(D12)</f>
        <v>45</v>
      </c>
      <c r="E11" s="92">
        <f>SUM(E12:E18)</f>
        <v>6</v>
      </c>
      <c r="F11" s="92">
        <f>SUM(F12:F18)</f>
        <v>300</v>
      </c>
      <c r="G11" s="93">
        <f>B11+C11/60</f>
        <v>65.933333333333337</v>
      </c>
      <c r="H11" s="92">
        <f>SUM(H12:H18)</f>
        <v>300</v>
      </c>
      <c r="I11" s="94">
        <f>SUM(I12:I18)</f>
        <v>3512.5000000000005</v>
      </c>
      <c r="J11" s="95">
        <f>SUM(J12:J18)</f>
        <v>3212.5000000000005</v>
      </c>
      <c r="K11" s="8">
        <f>SUM(K12:K18)</f>
        <v>165</v>
      </c>
      <c r="L11" s="9">
        <v>0</v>
      </c>
      <c r="M11" s="96">
        <f>J11+L11</f>
        <v>3212.5000000000005</v>
      </c>
      <c r="N11" s="97">
        <f>SUM(N12:N18)</f>
        <v>3430</v>
      </c>
      <c r="O11" s="98">
        <f>3515-N11</f>
        <v>85</v>
      </c>
    </row>
    <row r="12" spans="1:16">
      <c r="A12" s="80" t="s">
        <v>25</v>
      </c>
      <c r="B12" s="4">
        <v>11</v>
      </c>
      <c r="C12" s="4">
        <v>28</v>
      </c>
      <c r="D12" s="4">
        <v>45</v>
      </c>
      <c r="E12" s="4">
        <v>1</v>
      </c>
      <c r="F12" s="4">
        <v>50</v>
      </c>
      <c r="G12" s="10">
        <f>B12+C12/60</f>
        <v>11.466666666666667</v>
      </c>
      <c r="H12" s="4">
        <v>50</v>
      </c>
      <c r="I12" s="5">
        <f>G12*D12</f>
        <v>516</v>
      </c>
      <c r="J12" s="5">
        <f>I12-H12</f>
        <v>466</v>
      </c>
      <c r="K12">
        <v>25</v>
      </c>
      <c r="M12" t="s">
        <v>26</v>
      </c>
      <c r="N12" s="83">
        <f>150</f>
        <v>150</v>
      </c>
      <c r="P12" t="s">
        <v>27</v>
      </c>
    </row>
    <row r="13" spans="1:16">
      <c r="A13" s="80" t="s">
        <v>28</v>
      </c>
      <c r="B13" s="4">
        <v>11</v>
      </c>
      <c r="C13" s="4">
        <v>3</v>
      </c>
      <c r="D13" s="4">
        <v>55</v>
      </c>
      <c r="E13" s="4">
        <v>1</v>
      </c>
      <c r="F13" s="4">
        <v>50</v>
      </c>
      <c r="G13" s="10">
        <f t="shared" ref="G13:G67" si="4">B13+C13/60</f>
        <v>11.05</v>
      </c>
      <c r="H13" s="4">
        <v>50</v>
      </c>
      <c r="I13" s="5">
        <f>G13*D13</f>
        <v>607.75</v>
      </c>
      <c r="J13" s="5">
        <f t="shared" ref="J13:J18" si="5">I13-H13</f>
        <v>557.75</v>
      </c>
      <c r="K13">
        <v>29</v>
      </c>
      <c r="N13" s="82">
        <f>360+370+150</f>
        <v>880</v>
      </c>
      <c r="P13" t="s">
        <v>27</v>
      </c>
    </row>
    <row r="14" spans="1:16">
      <c r="A14" s="80" t="s">
        <v>29</v>
      </c>
      <c r="B14" s="4">
        <v>0</v>
      </c>
      <c r="C14" s="4">
        <v>0</v>
      </c>
      <c r="D14" s="4">
        <v>45</v>
      </c>
      <c r="E14" s="4">
        <v>0</v>
      </c>
      <c r="F14" s="4">
        <v>0</v>
      </c>
      <c r="G14" s="10">
        <f t="shared" si="4"/>
        <v>0</v>
      </c>
      <c r="H14" s="4">
        <v>0</v>
      </c>
      <c r="I14" s="5">
        <f t="shared" ref="I14:I18" si="6">G14*D14</f>
        <v>0</v>
      </c>
      <c r="J14" s="5">
        <f t="shared" si="5"/>
        <v>0</v>
      </c>
      <c r="K14">
        <v>0</v>
      </c>
      <c r="N14" s="51"/>
    </row>
    <row r="15" spans="1:16">
      <c r="A15" s="80" t="s">
        <v>30</v>
      </c>
      <c r="B15" s="4">
        <v>11</v>
      </c>
      <c r="C15" s="4">
        <v>5</v>
      </c>
      <c r="D15" s="4">
        <v>65</v>
      </c>
      <c r="E15" s="4">
        <v>1</v>
      </c>
      <c r="F15" s="4">
        <v>50</v>
      </c>
      <c r="G15" s="10">
        <f t="shared" si="4"/>
        <v>11.083333333333334</v>
      </c>
      <c r="H15" s="4">
        <v>50</v>
      </c>
      <c r="I15" s="5">
        <f t="shared" si="6"/>
        <v>720.41666666666674</v>
      </c>
      <c r="J15" s="5">
        <f t="shared" si="5"/>
        <v>670.41666666666674</v>
      </c>
      <c r="K15">
        <v>32</v>
      </c>
      <c r="N15" s="82"/>
    </row>
    <row r="16" spans="1:16">
      <c r="A16" s="80" t="s">
        <v>31</v>
      </c>
      <c r="B16" s="4">
        <v>11</v>
      </c>
      <c r="C16" s="4">
        <v>0</v>
      </c>
      <c r="D16" s="4">
        <v>45</v>
      </c>
      <c r="E16" s="4">
        <v>1</v>
      </c>
      <c r="F16" s="4">
        <v>50</v>
      </c>
      <c r="G16" s="10">
        <f t="shared" si="4"/>
        <v>11</v>
      </c>
      <c r="H16" s="4">
        <v>50</v>
      </c>
      <c r="I16" s="5">
        <f t="shared" si="6"/>
        <v>495</v>
      </c>
      <c r="J16" s="5">
        <f t="shared" si="5"/>
        <v>445</v>
      </c>
      <c r="K16">
        <v>23</v>
      </c>
      <c r="N16" s="83">
        <f>150+350</f>
        <v>500</v>
      </c>
      <c r="P16" t="s">
        <v>27</v>
      </c>
    </row>
    <row r="17" spans="1:16">
      <c r="A17" s="80"/>
      <c r="B17" s="4">
        <v>10</v>
      </c>
      <c r="C17" s="4">
        <v>47</v>
      </c>
      <c r="D17" s="4">
        <v>55</v>
      </c>
      <c r="E17" s="4">
        <v>1</v>
      </c>
      <c r="F17" s="4">
        <v>50</v>
      </c>
      <c r="G17" s="10">
        <f>B17+C17/60</f>
        <v>10.783333333333333</v>
      </c>
      <c r="H17" s="4">
        <v>50</v>
      </c>
      <c r="I17" s="5">
        <f t="shared" si="6"/>
        <v>593.08333333333337</v>
      </c>
      <c r="J17" s="5">
        <f t="shared" si="5"/>
        <v>543.08333333333337</v>
      </c>
      <c r="K17">
        <v>29</v>
      </c>
      <c r="N17" s="83"/>
    </row>
    <row r="18" spans="1:16" ht="16" thickBot="1">
      <c r="A18" s="80" t="s">
        <v>32</v>
      </c>
      <c r="B18" s="4">
        <v>10</v>
      </c>
      <c r="C18" s="4">
        <v>33</v>
      </c>
      <c r="D18" s="4">
        <v>55</v>
      </c>
      <c r="E18" s="4">
        <v>1</v>
      </c>
      <c r="F18" s="4">
        <v>50</v>
      </c>
      <c r="G18" s="10">
        <f t="shared" si="4"/>
        <v>10.55</v>
      </c>
      <c r="H18" s="4">
        <v>50</v>
      </c>
      <c r="I18" s="5">
        <f t="shared" si="6"/>
        <v>580.25</v>
      </c>
      <c r="J18" s="5">
        <f t="shared" si="5"/>
        <v>530.25</v>
      </c>
      <c r="K18">
        <v>27</v>
      </c>
      <c r="N18" s="83">
        <f>1210+690</f>
        <v>1900</v>
      </c>
    </row>
    <row r="19" spans="1:16" s="86" customFormat="1" ht="20" thickBot="1">
      <c r="A19" s="91" t="s">
        <v>14</v>
      </c>
      <c r="B19" s="8">
        <f>SUM(B20:B25)</f>
        <v>36</v>
      </c>
      <c r="C19" s="8">
        <f>SUM(C20:C25)</f>
        <v>127</v>
      </c>
      <c r="D19" s="8">
        <f>SUM(D20)</f>
        <v>45</v>
      </c>
      <c r="E19" s="8">
        <f>SUM(E20:E26)</f>
        <v>7</v>
      </c>
      <c r="F19" s="8">
        <f>SUM(F20:F25)</f>
        <v>300</v>
      </c>
      <c r="G19" s="93">
        <f t="shared" si="4"/>
        <v>38.116666666666667</v>
      </c>
      <c r="H19" s="8">
        <f>SUM(H20:H26)</f>
        <v>250</v>
      </c>
      <c r="I19" s="9">
        <f>SUM(I20:I25)</f>
        <v>2071.9166666666665</v>
      </c>
      <c r="J19" s="14">
        <f>SUM(J20:J26)</f>
        <v>1821.9166666666665</v>
      </c>
      <c r="K19" s="8">
        <f>SUM(K20:K26)</f>
        <v>143</v>
      </c>
      <c r="L19" s="9">
        <v>0</v>
      </c>
      <c r="M19" s="96">
        <f>J19+L19</f>
        <v>1821.9166666666665</v>
      </c>
      <c r="N19" s="99">
        <f>SUM(N20:N26)</f>
        <v>4221</v>
      </c>
      <c r="O19" s="98">
        <f>4038-N19</f>
        <v>-183</v>
      </c>
    </row>
    <row r="20" spans="1:16">
      <c r="A20" s="80" t="s">
        <v>25</v>
      </c>
      <c r="B20" s="4">
        <v>7</v>
      </c>
      <c r="C20" s="4">
        <v>25</v>
      </c>
      <c r="D20" s="4">
        <v>45</v>
      </c>
      <c r="E20" s="4">
        <v>1</v>
      </c>
      <c r="F20" s="4">
        <v>50</v>
      </c>
      <c r="G20" s="10">
        <f>B20+C20/60</f>
        <v>7.416666666666667</v>
      </c>
      <c r="H20" s="4">
        <v>50</v>
      </c>
      <c r="I20" s="5">
        <f t="shared" ref="I20:I50" si="7">G20*D20</f>
        <v>333.75</v>
      </c>
      <c r="J20" s="5">
        <f t="shared" ref="J20:J58" si="8">I20-H20</f>
        <v>283.75</v>
      </c>
      <c r="K20">
        <v>26</v>
      </c>
      <c r="N20" s="51">
        <v>0</v>
      </c>
      <c r="P20" t="s">
        <v>33</v>
      </c>
    </row>
    <row r="21" spans="1:16">
      <c r="A21" s="80" t="s">
        <v>34</v>
      </c>
      <c r="B21" s="4">
        <v>6</v>
      </c>
      <c r="C21" s="4">
        <v>20</v>
      </c>
      <c r="D21" s="4">
        <v>45</v>
      </c>
      <c r="E21" s="4">
        <v>1</v>
      </c>
      <c r="F21" s="4">
        <v>50</v>
      </c>
      <c r="G21" s="10">
        <f t="shared" ref="G21:G26" si="9">B21+C21/60</f>
        <v>6.333333333333333</v>
      </c>
      <c r="H21" s="4">
        <v>50</v>
      </c>
      <c r="I21" s="5">
        <f t="shared" si="7"/>
        <v>285</v>
      </c>
      <c r="J21" s="5">
        <f t="shared" si="8"/>
        <v>235</v>
      </c>
      <c r="K21">
        <v>22</v>
      </c>
      <c r="N21" s="51">
        <v>0</v>
      </c>
      <c r="P21" t="s">
        <v>35</v>
      </c>
    </row>
    <row r="22" spans="1:16">
      <c r="A22" s="80" t="s">
        <v>29</v>
      </c>
      <c r="B22" s="4">
        <v>9</v>
      </c>
      <c r="C22" s="4">
        <v>8</v>
      </c>
      <c r="D22" s="4">
        <v>65</v>
      </c>
      <c r="E22" s="4">
        <v>1</v>
      </c>
      <c r="F22" s="4">
        <v>50</v>
      </c>
      <c r="G22" s="10">
        <f t="shared" si="9"/>
        <v>9.1333333333333329</v>
      </c>
      <c r="H22" s="4">
        <v>50</v>
      </c>
      <c r="I22" s="5">
        <f t="shared" si="7"/>
        <v>593.66666666666663</v>
      </c>
      <c r="J22" s="5">
        <f t="shared" si="8"/>
        <v>543.66666666666663</v>
      </c>
      <c r="K22">
        <v>36</v>
      </c>
      <c r="N22" s="51">
        <v>0</v>
      </c>
      <c r="P22" t="s">
        <v>36</v>
      </c>
    </row>
    <row r="23" spans="1:16">
      <c r="A23" s="80" t="s">
        <v>37</v>
      </c>
      <c r="B23" s="4">
        <v>6</v>
      </c>
      <c r="C23" s="4">
        <v>32</v>
      </c>
      <c r="D23" s="4">
        <v>45</v>
      </c>
      <c r="E23" s="4">
        <v>1</v>
      </c>
      <c r="F23" s="4">
        <v>50</v>
      </c>
      <c r="G23" s="10">
        <f t="shared" si="9"/>
        <v>6.5333333333333332</v>
      </c>
      <c r="H23" s="4">
        <v>50</v>
      </c>
      <c r="I23" s="5">
        <f t="shared" si="7"/>
        <v>294</v>
      </c>
      <c r="J23" s="5">
        <f t="shared" si="8"/>
        <v>244</v>
      </c>
      <c r="K23">
        <v>26</v>
      </c>
      <c r="N23" s="83">
        <v>2400</v>
      </c>
      <c r="P23" t="s">
        <v>38</v>
      </c>
    </row>
    <row r="24" spans="1:16">
      <c r="A24" s="80" t="s">
        <v>39</v>
      </c>
      <c r="B24" s="4">
        <v>8</v>
      </c>
      <c r="C24" s="4">
        <v>42</v>
      </c>
      <c r="D24" s="4">
        <v>65</v>
      </c>
      <c r="E24" s="4">
        <v>1</v>
      </c>
      <c r="F24" s="4">
        <v>50</v>
      </c>
      <c r="G24" s="10">
        <f t="shared" si="9"/>
        <v>8.6999999999999993</v>
      </c>
      <c r="H24" s="4">
        <v>50</v>
      </c>
      <c r="I24" s="5">
        <f t="shared" si="7"/>
        <v>565.5</v>
      </c>
      <c r="J24" s="5">
        <f t="shared" si="8"/>
        <v>515.5</v>
      </c>
      <c r="K24">
        <v>33</v>
      </c>
      <c r="N24" s="83"/>
      <c r="P24" t="s">
        <v>40</v>
      </c>
    </row>
    <row r="25" spans="1:16">
      <c r="A25" s="80" t="s">
        <v>41</v>
      </c>
      <c r="B25" s="4">
        <v>0</v>
      </c>
      <c r="C25" s="4">
        <v>0</v>
      </c>
      <c r="D25" s="4">
        <v>45</v>
      </c>
      <c r="E25" s="4">
        <v>1</v>
      </c>
      <c r="F25" s="4">
        <v>50</v>
      </c>
      <c r="G25" s="10">
        <f t="shared" si="9"/>
        <v>0</v>
      </c>
      <c r="H25" s="4"/>
      <c r="I25" s="5">
        <f t="shared" si="7"/>
        <v>0</v>
      </c>
      <c r="J25" s="5">
        <f t="shared" si="8"/>
        <v>0</v>
      </c>
      <c r="K25">
        <v>0</v>
      </c>
      <c r="N25" s="83"/>
    </row>
    <row r="26" spans="1:16" ht="16" thickBot="1">
      <c r="A26" s="80" t="s">
        <v>42</v>
      </c>
      <c r="B26" s="4">
        <v>0</v>
      </c>
      <c r="C26" s="4">
        <v>0</v>
      </c>
      <c r="D26" s="4">
        <v>45</v>
      </c>
      <c r="E26" s="4">
        <v>1</v>
      </c>
      <c r="F26" s="4">
        <v>50</v>
      </c>
      <c r="G26" s="10">
        <f t="shared" si="9"/>
        <v>0</v>
      </c>
      <c r="H26" s="4"/>
      <c r="I26" s="5">
        <f t="shared" si="7"/>
        <v>0</v>
      </c>
      <c r="J26" s="5">
        <f t="shared" si="8"/>
        <v>0</v>
      </c>
      <c r="K26">
        <v>0</v>
      </c>
      <c r="N26" s="83">
        <v>1821</v>
      </c>
    </row>
    <row r="27" spans="1:16" s="86" customFormat="1" ht="20" thickBot="1">
      <c r="A27" s="91" t="s">
        <v>15</v>
      </c>
      <c r="B27" s="8">
        <f>SUM(B28:B34)</f>
        <v>45</v>
      </c>
      <c r="C27" s="8">
        <f>SUM(C28:C34)</f>
        <v>163</v>
      </c>
      <c r="D27" s="8">
        <f>SUM(D28)</f>
        <v>45</v>
      </c>
      <c r="E27" s="8">
        <f>SUM(E28:E34)</f>
        <v>5</v>
      </c>
      <c r="F27" s="8">
        <f>SUM(F28:F34)</f>
        <v>350</v>
      </c>
      <c r="G27" s="93">
        <f>B27+C27/60</f>
        <v>47.716666666666669</v>
      </c>
      <c r="H27" s="8">
        <f>SUM(H28:H34)</f>
        <v>250</v>
      </c>
      <c r="I27" s="9">
        <f>SUM(I28:I34)</f>
        <v>2245.25</v>
      </c>
      <c r="J27" s="14">
        <f>SUM(J28:J34)</f>
        <v>1995.25</v>
      </c>
      <c r="K27" s="8">
        <f>SUM(K28:K34)</f>
        <v>119</v>
      </c>
      <c r="L27" s="9">
        <v>0</v>
      </c>
      <c r="M27" s="96">
        <f>J27+L27</f>
        <v>1995.25</v>
      </c>
      <c r="N27" s="99">
        <f>SUM(N28:N34)</f>
        <v>3390</v>
      </c>
      <c r="O27" s="98">
        <f>3393-N27</f>
        <v>3</v>
      </c>
    </row>
    <row r="28" spans="1:16">
      <c r="A28" s="80" t="s">
        <v>25</v>
      </c>
      <c r="B28" s="4">
        <v>9</v>
      </c>
      <c r="C28" s="4">
        <v>30</v>
      </c>
      <c r="D28" s="4">
        <v>45</v>
      </c>
      <c r="E28" s="4">
        <v>1</v>
      </c>
      <c r="F28" s="4">
        <v>50</v>
      </c>
      <c r="G28" s="10">
        <f>B28+C28/60</f>
        <v>9.5</v>
      </c>
      <c r="H28" s="4">
        <v>50</v>
      </c>
      <c r="I28" s="5">
        <f>G28*D28</f>
        <v>427.5</v>
      </c>
      <c r="J28" s="5">
        <f>I28-H28</f>
        <v>377.5</v>
      </c>
      <c r="K28">
        <v>18</v>
      </c>
      <c r="N28" s="51">
        <v>0</v>
      </c>
    </row>
    <row r="29" spans="1:16">
      <c r="A29" s="80" t="s">
        <v>34</v>
      </c>
      <c r="B29" s="4">
        <v>0</v>
      </c>
      <c r="C29" s="4">
        <v>0</v>
      </c>
      <c r="D29" s="4">
        <v>45</v>
      </c>
      <c r="E29" s="4">
        <v>0</v>
      </c>
      <c r="F29" s="4">
        <v>50</v>
      </c>
      <c r="G29" s="10">
        <f t="shared" ref="G29:G34" si="10">B29+C29/60</f>
        <v>0</v>
      </c>
      <c r="H29" s="4">
        <v>0</v>
      </c>
      <c r="I29" s="5">
        <f>G29*D29</f>
        <v>0</v>
      </c>
      <c r="J29" s="5">
        <f>I29-H29</f>
        <v>0</v>
      </c>
      <c r="K29">
        <v>0</v>
      </c>
      <c r="N29" s="51">
        <v>0</v>
      </c>
    </row>
    <row r="30" spans="1:16">
      <c r="A30" s="80" t="s">
        <v>29</v>
      </c>
      <c r="B30" s="4">
        <v>0</v>
      </c>
      <c r="C30" s="4">
        <v>0</v>
      </c>
      <c r="D30" s="4">
        <v>45</v>
      </c>
      <c r="E30" s="4">
        <v>0</v>
      </c>
      <c r="F30" s="4">
        <v>50</v>
      </c>
      <c r="G30" s="10">
        <f t="shared" si="10"/>
        <v>0</v>
      </c>
      <c r="H30" s="4">
        <v>0</v>
      </c>
      <c r="I30" s="5">
        <f t="shared" ref="I30:I34" si="11">G30*D30</f>
        <v>0</v>
      </c>
      <c r="J30" s="5">
        <f t="shared" ref="J30:J34" si="12">I30-H30</f>
        <v>0</v>
      </c>
      <c r="K30">
        <v>0</v>
      </c>
      <c r="N30" s="51">
        <v>0</v>
      </c>
    </row>
    <row r="31" spans="1:16">
      <c r="A31" s="80" t="s">
        <v>37</v>
      </c>
      <c r="B31" s="4">
        <v>10</v>
      </c>
      <c r="C31" s="4">
        <v>14</v>
      </c>
      <c r="D31" s="4">
        <v>45</v>
      </c>
      <c r="E31" s="4">
        <v>1</v>
      </c>
      <c r="F31" s="4">
        <v>50</v>
      </c>
      <c r="G31" s="10">
        <f t="shared" si="10"/>
        <v>10.233333333333333</v>
      </c>
      <c r="H31" s="4">
        <v>50</v>
      </c>
      <c r="I31" s="5">
        <f t="shared" si="11"/>
        <v>460.49999999999994</v>
      </c>
      <c r="J31" s="5">
        <f t="shared" si="12"/>
        <v>410.49999999999994</v>
      </c>
      <c r="K31">
        <v>27</v>
      </c>
      <c r="N31" s="51">
        <v>0</v>
      </c>
      <c r="P31" t="s">
        <v>43</v>
      </c>
    </row>
    <row r="32" spans="1:16">
      <c r="A32" s="80" t="s">
        <v>39</v>
      </c>
      <c r="B32" s="4">
        <v>9</v>
      </c>
      <c r="C32" s="4">
        <v>48</v>
      </c>
      <c r="D32" s="4">
        <v>55</v>
      </c>
      <c r="E32" s="4">
        <v>1</v>
      </c>
      <c r="F32" s="4">
        <v>50</v>
      </c>
      <c r="G32" s="10">
        <f t="shared" si="10"/>
        <v>9.8000000000000007</v>
      </c>
      <c r="H32" s="4">
        <v>50</v>
      </c>
      <c r="I32" s="5">
        <f t="shared" si="11"/>
        <v>539</v>
      </c>
      <c r="J32" s="5">
        <f t="shared" si="12"/>
        <v>489</v>
      </c>
      <c r="K32">
        <v>29</v>
      </c>
      <c r="N32" s="83">
        <v>1870</v>
      </c>
    </row>
    <row r="33" spans="1:16">
      <c r="A33" s="80" t="s">
        <v>44</v>
      </c>
      <c r="B33" s="4">
        <v>8</v>
      </c>
      <c r="C33" s="4">
        <v>31</v>
      </c>
      <c r="D33" s="4">
        <v>45</v>
      </c>
      <c r="E33" s="4">
        <v>1</v>
      </c>
      <c r="F33" s="4">
        <v>50</v>
      </c>
      <c r="G33" s="10">
        <f>B33+C33/60</f>
        <v>8.5166666666666675</v>
      </c>
      <c r="H33" s="4">
        <v>50</v>
      </c>
      <c r="I33" s="5">
        <f>G33*D33</f>
        <v>383.25000000000006</v>
      </c>
      <c r="J33" s="5">
        <f>I33-H33</f>
        <v>333.25000000000006</v>
      </c>
      <c r="K33">
        <v>21</v>
      </c>
      <c r="N33" s="82"/>
    </row>
    <row r="34" spans="1:16" ht="16" thickBot="1">
      <c r="A34" s="80" t="s">
        <v>32</v>
      </c>
      <c r="B34" s="4">
        <v>9</v>
      </c>
      <c r="C34" s="4">
        <v>40</v>
      </c>
      <c r="D34" s="4">
        <v>45</v>
      </c>
      <c r="E34" s="4">
        <v>1</v>
      </c>
      <c r="F34" s="4">
        <v>50</v>
      </c>
      <c r="G34" s="10">
        <f t="shared" si="10"/>
        <v>9.6666666666666661</v>
      </c>
      <c r="H34" s="4">
        <v>50</v>
      </c>
      <c r="I34" s="5">
        <f t="shared" si="11"/>
        <v>435</v>
      </c>
      <c r="J34" s="5">
        <f t="shared" si="12"/>
        <v>385</v>
      </c>
      <c r="K34">
        <v>24</v>
      </c>
      <c r="N34" s="83">
        <v>1520</v>
      </c>
    </row>
    <row r="35" spans="1:16" s="54" customFormat="1" ht="20" thickBot="1">
      <c r="A35" s="72" t="s">
        <v>18</v>
      </c>
      <c r="B35" s="44">
        <f>SUM(B36:B42)</f>
        <v>53</v>
      </c>
      <c r="C35" s="44">
        <f>SUM(C36:C42)</f>
        <v>151</v>
      </c>
      <c r="D35" s="44">
        <f>SUM(D36)</f>
        <v>45</v>
      </c>
      <c r="E35" s="44">
        <f>SUM(E36:E42)</f>
        <v>6</v>
      </c>
      <c r="F35" s="44">
        <f>SUM(F36:F41)</f>
        <v>300</v>
      </c>
      <c r="G35" s="67">
        <f t="shared" si="4"/>
        <v>55.516666666666666</v>
      </c>
      <c r="H35" s="44">
        <f>SUM(H36:H42)</f>
        <v>300</v>
      </c>
      <c r="I35" s="46">
        <f>SUM(I36:I42)</f>
        <v>2873.25</v>
      </c>
      <c r="J35" s="47">
        <f>SUM(J36:J42)</f>
        <v>2573.25</v>
      </c>
      <c r="K35" s="44">
        <f>SUM(K36:K42)</f>
        <v>169</v>
      </c>
      <c r="L35" s="46">
        <v>0</v>
      </c>
      <c r="M35" s="69">
        <f>J35+L35</f>
        <v>2573.25</v>
      </c>
      <c r="N35" s="55">
        <f>SUM(N36:N42)</f>
        <v>4450</v>
      </c>
      <c r="O35" s="90">
        <f>4461-N35</f>
        <v>11</v>
      </c>
    </row>
    <row r="36" spans="1:16" ht="19.25" customHeight="1">
      <c r="A36" s="6">
        <v>46055</v>
      </c>
      <c r="B36" s="4">
        <v>9</v>
      </c>
      <c r="C36" s="4">
        <v>13</v>
      </c>
      <c r="D36" s="4">
        <v>45</v>
      </c>
      <c r="E36" s="4">
        <v>1</v>
      </c>
      <c r="F36" s="4">
        <v>50</v>
      </c>
      <c r="G36" s="10">
        <f>B36+C36/60</f>
        <v>9.2166666666666668</v>
      </c>
      <c r="H36" s="4">
        <v>50</v>
      </c>
      <c r="I36" s="5">
        <f t="shared" ref="I36:I41" si="13">G36*D36</f>
        <v>414.75</v>
      </c>
      <c r="J36" s="5">
        <f t="shared" ref="J36:J41" si="14">I36-H36</f>
        <v>364.75</v>
      </c>
      <c r="K36">
        <v>20</v>
      </c>
      <c r="N36" s="82"/>
      <c r="O36" s="49"/>
    </row>
    <row r="37" spans="1:16" ht="16.25" customHeight="1">
      <c r="A37" s="6">
        <v>46056</v>
      </c>
      <c r="B37" s="4">
        <v>9</v>
      </c>
      <c r="C37" s="4">
        <v>41</v>
      </c>
      <c r="D37" s="4">
        <v>55</v>
      </c>
      <c r="E37" s="4">
        <v>1</v>
      </c>
      <c r="F37" s="4">
        <v>50</v>
      </c>
      <c r="G37" s="10">
        <f t="shared" ref="G37:G41" si="15">B37+C37/60</f>
        <v>9.6833333333333336</v>
      </c>
      <c r="H37" s="4">
        <v>50</v>
      </c>
      <c r="I37" s="5">
        <f t="shared" si="13"/>
        <v>532.58333333333337</v>
      </c>
      <c r="J37" s="5">
        <f t="shared" si="14"/>
        <v>482.58333333333337</v>
      </c>
      <c r="K37">
        <v>28</v>
      </c>
      <c r="N37" s="82"/>
      <c r="O37" s="49"/>
      <c r="P37" t="s">
        <v>45</v>
      </c>
    </row>
    <row r="38" spans="1:16">
      <c r="A38" s="6">
        <v>46057</v>
      </c>
      <c r="B38" s="4">
        <v>9</v>
      </c>
      <c r="C38" s="4">
        <v>2</v>
      </c>
      <c r="D38" s="4">
        <v>55</v>
      </c>
      <c r="E38" s="4">
        <v>1</v>
      </c>
      <c r="F38" s="4">
        <v>50</v>
      </c>
      <c r="G38" s="10">
        <f t="shared" si="15"/>
        <v>9.0333333333333332</v>
      </c>
      <c r="H38" s="4">
        <v>50</v>
      </c>
      <c r="I38" s="5">
        <f t="shared" si="13"/>
        <v>496.83333333333331</v>
      </c>
      <c r="J38" s="5">
        <f t="shared" si="14"/>
        <v>446.83333333333331</v>
      </c>
      <c r="K38">
        <v>30</v>
      </c>
      <c r="N38" s="83">
        <f>780+380+150</f>
        <v>1310</v>
      </c>
      <c r="P38" t="s">
        <v>46</v>
      </c>
    </row>
    <row r="39" spans="1:16">
      <c r="A39" s="6">
        <v>46058</v>
      </c>
      <c r="B39" s="4">
        <v>9</v>
      </c>
      <c r="C39" s="4">
        <v>4</v>
      </c>
      <c r="D39" s="4">
        <v>55</v>
      </c>
      <c r="E39" s="4">
        <v>1</v>
      </c>
      <c r="F39" s="4">
        <v>50</v>
      </c>
      <c r="G39" s="10">
        <f t="shared" si="15"/>
        <v>9.0666666666666664</v>
      </c>
      <c r="H39" s="4">
        <v>50</v>
      </c>
      <c r="I39" s="5">
        <f t="shared" si="13"/>
        <v>498.66666666666663</v>
      </c>
      <c r="J39" s="5">
        <f t="shared" si="14"/>
        <v>448.66666666666663</v>
      </c>
      <c r="K39">
        <v>30</v>
      </c>
      <c r="N39" s="83">
        <f>150+760</f>
        <v>910</v>
      </c>
      <c r="P39" t="s">
        <v>46</v>
      </c>
    </row>
    <row r="40" spans="1:16">
      <c r="A40" s="6">
        <v>46059</v>
      </c>
      <c r="B40" s="4">
        <v>9</v>
      </c>
      <c r="C40" s="4">
        <v>43</v>
      </c>
      <c r="D40" s="4">
        <v>55</v>
      </c>
      <c r="E40" s="4">
        <v>1</v>
      </c>
      <c r="F40" s="4">
        <v>50</v>
      </c>
      <c r="G40" s="10">
        <f t="shared" si="15"/>
        <v>9.7166666666666668</v>
      </c>
      <c r="H40" s="4">
        <v>50</v>
      </c>
      <c r="I40" s="5">
        <f t="shared" si="13"/>
        <v>534.41666666666663</v>
      </c>
      <c r="J40" s="5">
        <f t="shared" si="14"/>
        <v>484.41666666666663</v>
      </c>
      <c r="K40">
        <v>31</v>
      </c>
      <c r="N40" s="83">
        <f>150+330</f>
        <v>480</v>
      </c>
      <c r="P40" t="s">
        <v>47</v>
      </c>
    </row>
    <row r="41" spans="1:16">
      <c r="A41" s="6">
        <v>46060</v>
      </c>
      <c r="B41" s="4">
        <v>8</v>
      </c>
      <c r="C41" s="4">
        <v>48</v>
      </c>
      <c r="D41" s="4">
        <v>45</v>
      </c>
      <c r="E41" s="4">
        <v>1</v>
      </c>
      <c r="F41" s="4">
        <v>50</v>
      </c>
      <c r="G41" s="10">
        <f t="shared" si="15"/>
        <v>8.8000000000000007</v>
      </c>
      <c r="H41" s="4">
        <v>50</v>
      </c>
      <c r="I41" s="5">
        <f t="shared" si="13"/>
        <v>396.00000000000006</v>
      </c>
      <c r="J41" s="5">
        <f t="shared" si="14"/>
        <v>346.00000000000006</v>
      </c>
      <c r="K41">
        <v>30</v>
      </c>
      <c r="N41" s="83">
        <v>680</v>
      </c>
      <c r="P41" s="51"/>
    </row>
    <row r="42" spans="1:16" ht="16" thickBot="1">
      <c r="A42" s="6">
        <v>46061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10">
        <v>0</v>
      </c>
      <c r="H42" s="4">
        <v>0</v>
      </c>
      <c r="I42" s="5">
        <v>0</v>
      </c>
      <c r="J42" s="5">
        <v>0</v>
      </c>
      <c r="K42">
        <v>0</v>
      </c>
      <c r="L42" s="1">
        <v>0</v>
      </c>
      <c r="M42">
        <v>0</v>
      </c>
      <c r="N42" s="83">
        <v>1070</v>
      </c>
    </row>
    <row r="43" spans="1:16" s="86" customFormat="1" ht="20" thickBot="1">
      <c r="A43" s="91" t="s">
        <v>48</v>
      </c>
      <c r="B43" s="8">
        <f>SUM(B44:B50)</f>
        <v>46</v>
      </c>
      <c r="C43" s="8">
        <f>SUM(C44:C50)</f>
        <v>199</v>
      </c>
      <c r="D43" s="8">
        <f>SUM(D44)</f>
        <v>45</v>
      </c>
      <c r="E43" s="8">
        <f>SUM(E44:E50)</f>
        <v>6</v>
      </c>
      <c r="F43" s="8">
        <f>SUM(F44:F50)</f>
        <v>350</v>
      </c>
      <c r="G43" s="93">
        <f t="shared" si="4"/>
        <v>49.31666666666667</v>
      </c>
      <c r="H43" s="8">
        <f>SUM(H44:H50)</f>
        <v>300</v>
      </c>
      <c r="I43" s="100">
        <f>SUM(I44:I50)</f>
        <v>2408.25</v>
      </c>
      <c r="J43" s="101">
        <f>SUM(J44:J50)</f>
        <v>2108.25</v>
      </c>
      <c r="K43" s="8">
        <f>SUM(K44:K50)</f>
        <v>152</v>
      </c>
      <c r="L43" s="104">
        <v>0</v>
      </c>
      <c r="M43" s="96">
        <f>J43+L43</f>
        <v>2108.25</v>
      </c>
      <c r="N43" s="99">
        <f>SUM(N44:N50)</f>
        <v>3460</v>
      </c>
      <c r="O43" s="98">
        <f>3457-N43</f>
        <v>-3</v>
      </c>
    </row>
    <row r="44" spans="1:16">
      <c r="A44" s="80">
        <v>46055</v>
      </c>
      <c r="B44" s="4">
        <v>7</v>
      </c>
      <c r="C44" s="4">
        <v>47</v>
      </c>
      <c r="D44" s="4">
        <v>45</v>
      </c>
      <c r="E44" s="4">
        <v>1</v>
      </c>
      <c r="F44" s="4">
        <v>50</v>
      </c>
      <c r="G44" s="10">
        <f t="shared" si="4"/>
        <v>7.7833333333333332</v>
      </c>
      <c r="H44" s="4">
        <v>50</v>
      </c>
      <c r="I44" s="5">
        <f t="shared" si="7"/>
        <v>350.25</v>
      </c>
      <c r="J44" s="5">
        <f>I44-H44</f>
        <v>300.25</v>
      </c>
      <c r="K44">
        <v>23</v>
      </c>
      <c r="N44" s="81">
        <v>490</v>
      </c>
    </row>
    <row r="45" spans="1:16">
      <c r="A45" s="80">
        <v>46056</v>
      </c>
      <c r="B45" s="4">
        <v>6</v>
      </c>
      <c r="C45" s="4">
        <v>28</v>
      </c>
      <c r="D45" s="4">
        <v>45</v>
      </c>
      <c r="E45" s="4">
        <v>1</v>
      </c>
      <c r="F45" s="4">
        <v>50</v>
      </c>
      <c r="G45" s="10">
        <f t="shared" si="4"/>
        <v>6.4666666666666668</v>
      </c>
      <c r="H45" s="4">
        <v>50</v>
      </c>
      <c r="I45" s="5">
        <f t="shared" si="7"/>
        <v>291</v>
      </c>
      <c r="J45" s="5">
        <f t="shared" ref="J45:J50" si="16">I45-H45</f>
        <v>241</v>
      </c>
      <c r="K45">
        <v>24</v>
      </c>
      <c r="N45" s="81">
        <v>540</v>
      </c>
    </row>
    <row r="46" spans="1:16">
      <c r="A46" s="80">
        <v>46057</v>
      </c>
      <c r="B46" s="4">
        <v>0</v>
      </c>
      <c r="C46" s="4">
        <v>0</v>
      </c>
      <c r="D46" s="4">
        <v>45</v>
      </c>
      <c r="E46" s="4">
        <v>0</v>
      </c>
      <c r="F46" s="4">
        <v>50</v>
      </c>
      <c r="G46" s="10">
        <f t="shared" si="4"/>
        <v>0</v>
      </c>
      <c r="H46" s="4">
        <v>0</v>
      </c>
      <c r="I46" s="5">
        <f t="shared" si="7"/>
        <v>0</v>
      </c>
      <c r="J46" s="5">
        <f t="shared" si="16"/>
        <v>0</v>
      </c>
      <c r="K46">
        <v>0</v>
      </c>
      <c r="N46" s="87"/>
    </row>
    <row r="47" spans="1:16">
      <c r="A47" s="80">
        <v>46058</v>
      </c>
      <c r="B47" s="4">
        <v>8</v>
      </c>
      <c r="C47" s="4">
        <v>22</v>
      </c>
      <c r="D47" s="4">
        <v>45</v>
      </c>
      <c r="E47" s="4">
        <v>1</v>
      </c>
      <c r="F47" s="4">
        <v>50</v>
      </c>
      <c r="G47" s="10">
        <f t="shared" si="4"/>
        <v>8.3666666666666671</v>
      </c>
      <c r="H47" s="4">
        <v>50</v>
      </c>
      <c r="I47" s="5">
        <f t="shared" si="7"/>
        <v>376.5</v>
      </c>
      <c r="J47" s="5">
        <f t="shared" si="16"/>
        <v>326.5</v>
      </c>
      <c r="K47">
        <v>24</v>
      </c>
      <c r="N47" s="81">
        <f>430+200</f>
        <v>630</v>
      </c>
      <c r="P47" t="s">
        <v>49</v>
      </c>
    </row>
    <row r="48" spans="1:16">
      <c r="A48" s="80">
        <v>46059</v>
      </c>
      <c r="B48" s="4">
        <v>7</v>
      </c>
      <c r="C48" s="4">
        <v>57</v>
      </c>
      <c r="D48" s="4">
        <v>45</v>
      </c>
      <c r="E48" s="4">
        <v>1</v>
      </c>
      <c r="F48" s="4">
        <v>50</v>
      </c>
      <c r="G48" s="10">
        <f t="shared" si="4"/>
        <v>7.95</v>
      </c>
      <c r="H48" s="4">
        <v>50</v>
      </c>
      <c r="I48" s="5">
        <f t="shared" si="7"/>
        <v>357.75</v>
      </c>
      <c r="J48" s="5">
        <f t="shared" si="16"/>
        <v>307.75</v>
      </c>
      <c r="K48">
        <v>22</v>
      </c>
      <c r="N48" s="81">
        <v>550</v>
      </c>
    </row>
    <row r="49" spans="1:17">
      <c r="A49" s="80">
        <v>46060</v>
      </c>
      <c r="B49" s="4">
        <v>9</v>
      </c>
      <c r="C49" s="4">
        <v>18</v>
      </c>
      <c r="D49" s="4">
        <v>45</v>
      </c>
      <c r="E49" s="4">
        <v>1</v>
      </c>
      <c r="F49" s="4">
        <v>50</v>
      </c>
      <c r="G49" s="10">
        <f t="shared" si="4"/>
        <v>9.3000000000000007</v>
      </c>
      <c r="H49" s="4">
        <v>50</v>
      </c>
      <c r="I49" s="5">
        <f t="shared" si="7"/>
        <v>418.50000000000006</v>
      </c>
      <c r="J49" s="5">
        <f t="shared" si="16"/>
        <v>368.50000000000006</v>
      </c>
      <c r="K49">
        <v>26</v>
      </c>
      <c r="N49" s="83"/>
    </row>
    <row r="50" spans="1:17" ht="16" thickBot="1">
      <c r="A50" s="80">
        <v>46061</v>
      </c>
      <c r="B50" s="4">
        <v>9</v>
      </c>
      <c r="C50" s="4">
        <v>27</v>
      </c>
      <c r="D50" s="4">
        <v>65</v>
      </c>
      <c r="E50" s="4">
        <v>1</v>
      </c>
      <c r="F50" s="4">
        <v>50</v>
      </c>
      <c r="G50" s="10">
        <f t="shared" si="4"/>
        <v>9.4499999999999993</v>
      </c>
      <c r="H50" s="4">
        <v>50</v>
      </c>
      <c r="I50" s="5">
        <f t="shared" si="7"/>
        <v>614.25</v>
      </c>
      <c r="J50" s="5">
        <f t="shared" si="16"/>
        <v>564.25</v>
      </c>
      <c r="K50">
        <v>33</v>
      </c>
      <c r="N50" s="83">
        <v>1250</v>
      </c>
    </row>
    <row r="51" spans="1:17" s="54" customFormat="1" ht="20" thickBot="1">
      <c r="A51" s="72" t="s">
        <v>50</v>
      </c>
      <c r="B51" s="44">
        <f>SUM(B52:B58)</f>
        <v>53</v>
      </c>
      <c r="C51" s="44">
        <f>SUM(C52:C58)</f>
        <v>225</v>
      </c>
      <c r="D51" s="44">
        <f>SUM(D52)</f>
        <v>55</v>
      </c>
      <c r="E51" s="44">
        <f>SUM(E52:E58)</f>
        <v>6</v>
      </c>
      <c r="F51" s="44">
        <f>SUM(F52:F58)</f>
        <v>300</v>
      </c>
      <c r="G51" s="67">
        <f t="shared" si="4"/>
        <v>56.75</v>
      </c>
      <c r="H51" s="44">
        <f>SUM(H52:H58)</f>
        <v>300</v>
      </c>
      <c r="I51" s="46">
        <f>SUM(I52:I58)</f>
        <v>3423.75</v>
      </c>
      <c r="J51" s="47">
        <f>SUM(J52:J58)</f>
        <v>3123.75</v>
      </c>
      <c r="K51" s="44">
        <f>SUM(K52:K58)</f>
        <v>204</v>
      </c>
      <c r="L51" s="46">
        <v>0</v>
      </c>
      <c r="M51" s="69">
        <f>J51</f>
        <v>3123.75</v>
      </c>
      <c r="N51" s="63">
        <f>SUM(N52:N58)</f>
        <v>5603</v>
      </c>
      <c r="O51" s="90">
        <f>5601-N51</f>
        <v>-2</v>
      </c>
    </row>
    <row r="52" spans="1:17" ht="19">
      <c r="A52" s="6">
        <v>46055</v>
      </c>
      <c r="B52" s="4">
        <v>9</v>
      </c>
      <c r="C52" s="4">
        <v>3</v>
      </c>
      <c r="D52" s="4">
        <v>55</v>
      </c>
      <c r="E52" s="4">
        <v>1</v>
      </c>
      <c r="F52" s="4">
        <v>50</v>
      </c>
      <c r="G52" s="10">
        <f>B52+C52/60</f>
        <v>9.0500000000000007</v>
      </c>
      <c r="H52" s="4">
        <v>50</v>
      </c>
      <c r="I52" s="5">
        <f>G52*D52</f>
        <v>497.75000000000006</v>
      </c>
      <c r="J52" s="5">
        <f>I52-H52</f>
        <v>447.75000000000006</v>
      </c>
      <c r="K52">
        <v>28</v>
      </c>
      <c r="N52" s="51">
        <v>264</v>
      </c>
      <c r="O52" s="49"/>
      <c r="P52" t="s">
        <v>51</v>
      </c>
    </row>
    <row r="53" spans="1:17">
      <c r="A53" s="6">
        <v>46056</v>
      </c>
      <c r="B53" s="4">
        <v>8</v>
      </c>
      <c r="C53" s="4">
        <v>34</v>
      </c>
      <c r="D53" s="4">
        <v>55</v>
      </c>
      <c r="E53" s="4">
        <v>1</v>
      </c>
      <c r="F53" s="4">
        <v>50</v>
      </c>
      <c r="G53" s="10">
        <f t="shared" ref="G53:G58" si="17">B53+C53/60</f>
        <v>8.5666666666666664</v>
      </c>
      <c r="H53" s="4">
        <v>50</v>
      </c>
      <c r="I53" s="5">
        <f t="shared" ref="I53:I58" si="18">G53*D53</f>
        <v>471.16666666666663</v>
      </c>
      <c r="J53" s="5">
        <f t="shared" si="8"/>
        <v>421.16666666666663</v>
      </c>
      <c r="K53">
        <v>27</v>
      </c>
      <c r="N53" s="87"/>
      <c r="P53" t="s">
        <v>52</v>
      </c>
    </row>
    <row r="54" spans="1:17">
      <c r="A54" s="6">
        <v>46057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10">
        <f t="shared" si="17"/>
        <v>0</v>
      </c>
      <c r="H54" s="4">
        <v>0</v>
      </c>
      <c r="I54" s="5">
        <v>0</v>
      </c>
      <c r="J54" s="5">
        <v>0</v>
      </c>
      <c r="K54">
        <v>0</v>
      </c>
      <c r="N54" s="127">
        <v>200</v>
      </c>
      <c r="P54" t="s">
        <v>53</v>
      </c>
    </row>
    <row r="55" spans="1:17">
      <c r="A55" s="6">
        <v>46058</v>
      </c>
      <c r="B55" s="4">
        <v>8</v>
      </c>
      <c r="C55" s="4">
        <v>53</v>
      </c>
      <c r="D55" s="4">
        <v>55</v>
      </c>
      <c r="E55" s="4">
        <v>1</v>
      </c>
      <c r="F55" s="4">
        <v>50</v>
      </c>
      <c r="G55" s="10">
        <f t="shared" si="17"/>
        <v>8.8833333333333329</v>
      </c>
      <c r="H55" s="4">
        <v>50</v>
      </c>
      <c r="I55" s="5">
        <f t="shared" si="18"/>
        <v>488.58333333333331</v>
      </c>
      <c r="J55" s="5">
        <f>I55-H55</f>
        <v>438.58333333333331</v>
      </c>
      <c r="K55">
        <v>31</v>
      </c>
      <c r="N55" s="83">
        <f>826+150</f>
        <v>976</v>
      </c>
      <c r="P55" t="s">
        <v>54</v>
      </c>
    </row>
    <row r="56" spans="1:17">
      <c r="A56" s="6">
        <v>46059</v>
      </c>
      <c r="B56" s="4">
        <v>9</v>
      </c>
      <c r="C56" s="4">
        <v>58</v>
      </c>
      <c r="D56" s="4">
        <v>65</v>
      </c>
      <c r="E56" s="4">
        <v>1</v>
      </c>
      <c r="F56" s="4">
        <v>50</v>
      </c>
      <c r="G56" s="10">
        <f t="shared" si="17"/>
        <v>9.9666666666666668</v>
      </c>
      <c r="H56" s="4">
        <v>50</v>
      </c>
      <c r="I56" s="5">
        <f t="shared" si="18"/>
        <v>647.83333333333337</v>
      </c>
      <c r="J56" s="5">
        <f t="shared" si="8"/>
        <v>597.83333333333337</v>
      </c>
      <c r="K56">
        <v>36</v>
      </c>
      <c r="N56" s="81">
        <v>965</v>
      </c>
      <c r="P56" t="s">
        <v>51</v>
      </c>
    </row>
    <row r="57" spans="1:17">
      <c r="A57" s="6">
        <v>46060</v>
      </c>
      <c r="B57" s="4">
        <v>9</v>
      </c>
      <c r="C57" s="4">
        <v>57</v>
      </c>
      <c r="D57" s="4">
        <v>65</v>
      </c>
      <c r="E57" s="4">
        <v>1</v>
      </c>
      <c r="F57" s="4">
        <v>50</v>
      </c>
      <c r="G57" s="10">
        <f t="shared" si="17"/>
        <v>9.9499999999999993</v>
      </c>
      <c r="H57" s="4">
        <v>50</v>
      </c>
      <c r="I57" s="5">
        <f t="shared" si="18"/>
        <v>646.75</v>
      </c>
      <c r="J57" s="5">
        <f t="shared" si="8"/>
        <v>596.75</v>
      </c>
      <c r="K57">
        <v>38</v>
      </c>
      <c r="N57" s="87">
        <v>998</v>
      </c>
      <c r="P57" t="s">
        <v>55</v>
      </c>
    </row>
    <row r="58" spans="1:17" ht="16" thickBot="1">
      <c r="A58" s="6">
        <v>46061</v>
      </c>
      <c r="B58" s="4">
        <v>10</v>
      </c>
      <c r="C58" s="4">
        <v>20</v>
      </c>
      <c r="D58" s="4">
        <v>65</v>
      </c>
      <c r="E58" s="4">
        <v>1</v>
      </c>
      <c r="F58" s="4">
        <v>50</v>
      </c>
      <c r="G58" s="10">
        <f t="shared" si="17"/>
        <v>10.333333333333334</v>
      </c>
      <c r="H58" s="4">
        <v>50</v>
      </c>
      <c r="I58" s="5">
        <f t="shared" si="18"/>
        <v>671.66666666666674</v>
      </c>
      <c r="J58" s="5">
        <f t="shared" si="8"/>
        <v>621.66666666666674</v>
      </c>
      <c r="K58">
        <v>44</v>
      </c>
      <c r="N58" s="81">
        <v>2200</v>
      </c>
      <c r="P58" t="s">
        <v>56</v>
      </c>
    </row>
    <row r="59" spans="1:17" s="54" customFormat="1" ht="20" thickBot="1">
      <c r="A59" s="72" t="s">
        <v>57</v>
      </c>
      <c r="B59" s="44">
        <f>SUM(B60:B66)</f>
        <v>67</v>
      </c>
      <c r="C59" s="44">
        <f>SUM(C60:C66)</f>
        <v>254</v>
      </c>
      <c r="D59" s="44">
        <f>SUM(D60)</f>
        <v>65</v>
      </c>
      <c r="E59" s="44">
        <f>SUM(E60:E66)</f>
        <v>7</v>
      </c>
      <c r="F59" s="44">
        <f>SUM(F60:F66)</f>
        <v>350</v>
      </c>
      <c r="G59" s="67">
        <f t="shared" si="4"/>
        <v>71.233333333333334</v>
      </c>
      <c r="H59" s="44">
        <f>SUM(H60:H66)</f>
        <v>350</v>
      </c>
      <c r="I59" s="46">
        <f>SUM(I60:I66)</f>
        <v>4640.2333333333336</v>
      </c>
      <c r="J59" s="47">
        <f>SUM(J60:J66)</f>
        <v>4290.2333333333336</v>
      </c>
      <c r="K59" s="44">
        <f>SUM(K60:K66)</f>
        <v>253</v>
      </c>
      <c r="L59" s="46">
        <v>300</v>
      </c>
      <c r="M59" s="69">
        <f>J59</f>
        <v>4290.2333333333336</v>
      </c>
      <c r="N59" s="63">
        <f>SUM(N60:N66)</f>
        <v>7446</v>
      </c>
      <c r="O59" s="90">
        <f>7452-N59</f>
        <v>6</v>
      </c>
    </row>
    <row r="60" spans="1:17">
      <c r="A60" s="80" t="s">
        <v>58</v>
      </c>
      <c r="B60" s="7">
        <v>10</v>
      </c>
      <c r="C60" s="7">
        <v>43</v>
      </c>
      <c r="D60" s="7">
        <v>65</v>
      </c>
      <c r="E60" s="7">
        <v>1</v>
      </c>
      <c r="F60" s="7">
        <v>50</v>
      </c>
      <c r="G60" s="11">
        <f t="shared" si="4"/>
        <v>10.716666666666667</v>
      </c>
      <c r="H60" s="7">
        <v>50</v>
      </c>
      <c r="I60" s="5">
        <f t="shared" ref="I60:I66" si="19">G60*D60</f>
        <v>696.58333333333337</v>
      </c>
      <c r="J60" s="5">
        <f t="shared" ref="J60:J62" si="20">I60-H60</f>
        <v>646.58333333333337</v>
      </c>
      <c r="K60">
        <v>34</v>
      </c>
      <c r="N60" s="51">
        <v>200</v>
      </c>
      <c r="O60" s="51"/>
      <c r="P60" t="s">
        <v>59</v>
      </c>
    </row>
    <row r="61" spans="1:17">
      <c r="A61" s="80" t="s">
        <v>60</v>
      </c>
      <c r="B61" s="7">
        <v>9</v>
      </c>
      <c r="C61" s="7">
        <v>52</v>
      </c>
      <c r="D61" s="7">
        <v>65</v>
      </c>
      <c r="E61" s="7">
        <v>1</v>
      </c>
      <c r="F61" s="4">
        <v>50</v>
      </c>
      <c r="G61" s="11">
        <f t="shared" si="4"/>
        <v>9.8666666666666671</v>
      </c>
      <c r="H61" s="7">
        <v>50</v>
      </c>
      <c r="I61" s="5">
        <f t="shared" si="19"/>
        <v>641.33333333333337</v>
      </c>
      <c r="J61" s="5">
        <f t="shared" si="20"/>
        <v>591.33333333333337</v>
      </c>
      <c r="K61">
        <v>34</v>
      </c>
      <c r="N61" s="51">
        <v>150</v>
      </c>
      <c r="P61" t="s">
        <v>61</v>
      </c>
    </row>
    <row r="62" spans="1:17">
      <c r="A62" s="80" t="s">
        <v>62</v>
      </c>
      <c r="B62" s="7">
        <v>9</v>
      </c>
      <c r="C62" s="7">
        <v>57</v>
      </c>
      <c r="D62" s="7">
        <v>65</v>
      </c>
      <c r="E62" s="7">
        <v>1</v>
      </c>
      <c r="F62" s="4">
        <v>50</v>
      </c>
      <c r="G62" s="11">
        <f t="shared" si="4"/>
        <v>9.9499999999999993</v>
      </c>
      <c r="H62" s="7">
        <v>50</v>
      </c>
      <c r="I62" s="5">
        <f t="shared" si="19"/>
        <v>646.75</v>
      </c>
      <c r="J62" s="5">
        <f t="shared" si="20"/>
        <v>596.75</v>
      </c>
      <c r="K62">
        <v>35</v>
      </c>
      <c r="N62" s="51">
        <v>200</v>
      </c>
      <c r="P62" t="s">
        <v>63</v>
      </c>
      <c r="Q62" t="s">
        <v>64</v>
      </c>
    </row>
    <row r="63" spans="1:17">
      <c r="A63" s="80" t="s">
        <v>65</v>
      </c>
      <c r="B63" s="7">
        <v>9</v>
      </c>
      <c r="C63" s="7">
        <v>51</v>
      </c>
      <c r="D63" s="7">
        <v>65</v>
      </c>
      <c r="E63" s="7">
        <v>1</v>
      </c>
      <c r="F63" s="4">
        <v>50</v>
      </c>
      <c r="G63" s="11">
        <f t="shared" si="4"/>
        <v>9.85</v>
      </c>
      <c r="H63" s="7">
        <v>50</v>
      </c>
      <c r="I63" s="5">
        <f t="shared" si="19"/>
        <v>640.25</v>
      </c>
      <c r="J63" s="5">
        <f>I63-H63</f>
        <v>590.25</v>
      </c>
      <c r="K63">
        <v>37</v>
      </c>
      <c r="N63" s="83">
        <v>2400</v>
      </c>
    </row>
    <row r="64" spans="1:17">
      <c r="A64" s="80" t="s">
        <v>66</v>
      </c>
      <c r="B64" s="7">
        <v>10</v>
      </c>
      <c r="C64" s="7">
        <v>2</v>
      </c>
      <c r="D64" s="7">
        <v>65</v>
      </c>
      <c r="E64" s="7">
        <v>1</v>
      </c>
      <c r="F64" s="4">
        <v>50</v>
      </c>
      <c r="G64" s="11">
        <f t="shared" si="4"/>
        <v>10.033333333333333</v>
      </c>
      <c r="H64" s="7">
        <v>50</v>
      </c>
      <c r="I64" s="5">
        <f t="shared" si="19"/>
        <v>652.16666666666663</v>
      </c>
      <c r="J64" s="5">
        <f>I64-H64</f>
        <v>602.16666666666663</v>
      </c>
      <c r="K64">
        <v>36</v>
      </c>
      <c r="N64" s="82">
        <v>1300</v>
      </c>
      <c r="Q64" t="s">
        <v>64</v>
      </c>
    </row>
    <row r="65" spans="1:17">
      <c r="A65" s="80" t="s">
        <v>67</v>
      </c>
      <c r="B65" s="7">
        <v>10</v>
      </c>
      <c r="C65" s="7">
        <v>4</v>
      </c>
      <c r="D65" s="7">
        <v>66</v>
      </c>
      <c r="E65" s="7">
        <v>1</v>
      </c>
      <c r="F65" s="4">
        <v>50</v>
      </c>
      <c r="G65" s="11">
        <f t="shared" si="4"/>
        <v>10.066666666666666</v>
      </c>
      <c r="H65" s="7">
        <v>50</v>
      </c>
      <c r="I65" s="5">
        <f t="shared" si="19"/>
        <v>664.4</v>
      </c>
      <c r="J65" s="5">
        <f>I65-H65</f>
        <v>614.4</v>
      </c>
      <c r="K65">
        <v>36</v>
      </c>
      <c r="N65" s="83">
        <f>1650+150</f>
        <v>1800</v>
      </c>
      <c r="P65" t="s">
        <v>46</v>
      </c>
    </row>
    <row r="66" spans="1:17" ht="16" thickBot="1">
      <c r="A66" s="80" t="s">
        <v>68</v>
      </c>
      <c r="B66" s="7">
        <v>10</v>
      </c>
      <c r="C66" s="7">
        <v>45</v>
      </c>
      <c r="D66" s="7">
        <v>65</v>
      </c>
      <c r="E66" s="7">
        <v>1</v>
      </c>
      <c r="F66" s="4">
        <v>50</v>
      </c>
      <c r="G66" s="11">
        <f t="shared" si="4"/>
        <v>10.75</v>
      </c>
      <c r="H66" s="4">
        <v>50</v>
      </c>
      <c r="I66" s="5">
        <f t="shared" si="19"/>
        <v>698.75</v>
      </c>
      <c r="J66" s="5">
        <f>I66-H66</f>
        <v>648.75</v>
      </c>
      <c r="K66">
        <v>41</v>
      </c>
      <c r="N66" s="83">
        <f>1296+100</f>
        <v>1396</v>
      </c>
      <c r="P66" t="s">
        <v>69</v>
      </c>
    </row>
    <row r="67" spans="1:17" s="54" customFormat="1" ht="20" thickBot="1">
      <c r="A67" s="72" t="s">
        <v>70</v>
      </c>
      <c r="B67" s="44">
        <f>SUM(B68:B74)</f>
        <v>37</v>
      </c>
      <c r="C67" s="44">
        <f>SUM(C68:C74)</f>
        <v>205</v>
      </c>
      <c r="D67" s="44">
        <f>SUM(D68)</f>
        <v>45</v>
      </c>
      <c r="E67" s="44">
        <f>SUM(E68:E74)</f>
        <v>5</v>
      </c>
      <c r="F67" s="44">
        <f>SUM(F68:F74)</f>
        <v>350</v>
      </c>
      <c r="G67" s="67">
        <f t="shared" si="4"/>
        <v>40.416666666666664</v>
      </c>
      <c r="H67" s="44">
        <f>SUM(H68:H74)</f>
        <v>250</v>
      </c>
      <c r="I67" s="46">
        <f>SUM(I68:I74)</f>
        <v>1818.75</v>
      </c>
      <c r="J67" s="47">
        <f>SUM(J68:J74)</f>
        <v>1568.75</v>
      </c>
      <c r="K67" s="44">
        <f>SUM(K68:K74)</f>
        <v>93</v>
      </c>
      <c r="L67" s="46">
        <v>0</v>
      </c>
      <c r="M67" s="69">
        <f>J67</f>
        <v>1568.75</v>
      </c>
      <c r="N67" s="63">
        <f>SUM(N68:N74)</f>
        <v>3297</v>
      </c>
      <c r="O67" s="90">
        <f>2949-N67</f>
        <v>-348</v>
      </c>
    </row>
    <row r="68" spans="1:17">
      <c r="A68" s="80" t="s">
        <v>58</v>
      </c>
      <c r="B68" s="7">
        <v>0</v>
      </c>
      <c r="C68" s="7">
        <v>0</v>
      </c>
      <c r="D68" s="7">
        <v>45</v>
      </c>
      <c r="E68" s="7">
        <v>0</v>
      </c>
      <c r="F68" s="7">
        <v>50</v>
      </c>
      <c r="G68" s="11">
        <f>B68+C68/60</f>
        <v>0</v>
      </c>
      <c r="H68" s="7">
        <v>0</v>
      </c>
      <c r="I68" s="5">
        <f t="shared" ref="I68:I73" si="21">G68*D68</f>
        <v>0</v>
      </c>
      <c r="J68" s="5">
        <f>I68-H68</f>
        <v>0</v>
      </c>
      <c r="K68">
        <v>0</v>
      </c>
      <c r="N68" s="82"/>
      <c r="O68" s="51"/>
    </row>
    <row r="69" spans="1:17">
      <c r="A69" s="80" t="s">
        <v>60</v>
      </c>
      <c r="B69" s="7">
        <v>9</v>
      </c>
      <c r="C69" s="7">
        <v>24</v>
      </c>
      <c r="D69" s="7">
        <v>45</v>
      </c>
      <c r="E69" s="7">
        <v>1</v>
      </c>
      <c r="F69" s="7">
        <v>50</v>
      </c>
      <c r="G69" s="11">
        <f t="shared" ref="G69:G71" si="22">B69+C69/60</f>
        <v>9.4</v>
      </c>
      <c r="H69" s="7">
        <v>50</v>
      </c>
      <c r="I69" s="5">
        <f t="shared" si="21"/>
        <v>423</v>
      </c>
      <c r="J69" s="5">
        <f>I69-H69</f>
        <v>373</v>
      </c>
      <c r="K69">
        <v>20</v>
      </c>
      <c r="N69" s="51"/>
      <c r="P69" t="s">
        <v>71</v>
      </c>
    </row>
    <row r="70" spans="1:17">
      <c r="A70" s="80" t="s">
        <v>62</v>
      </c>
      <c r="B70" s="7">
        <v>7</v>
      </c>
      <c r="C70" s="7">
        <v>55</v>
      </c>
      <c r="D70" s="7">
        <v>45</v>
      </c>
      <c r="E70" s="7">
        <v>1</v>
      </c>
      <c r="F70" s="7">
        <v>50</v>
      </c>
      <c r="G70" s="11">
        <f t="shared" si="22"/>
        <v>7.916666666666667</v>
      </c>
      <c r="H70" s="7">
        <v>50</v>
      </c>
      <c r="I70" s="5">
        <f t="shared" si="21"/>
        <v>356.25</v>
      </c>
      <c r="J70" s="5">
        <f t="shared" ref="J70:J74" si="23">I70-H70</f>
        <v>306.25</v>
      </c>
      <c r="K70">
        <v>19</v>
      </c>
      <c r="N70" s="51">
        <v>100</v>
      </c>
      <c r="P70" t="s">
        <v>53</v>
      </c>
      <c r="Q70" t="s">
        <v>64</v>
      </c>
    </row>
    <row r="71" spans="1:17">
      <c r="A71" s="80" t="s">
        <v>72</v>
      </c>
      <c r="B71" s="7">
        <v>5</v>
      </c>
      <c r="C71" s="7">
        <v>16</v>
      </c>
      <c r="D71" s="7">
        <v>45</v>
      </c>
      <c r="E71" s="7">
        <v>1</v>
      </c>
      <c r="F71" s="7">
        <v>50</v>
      </c>
      <c r="G71" s="11">
        <f t="shared" si="22"/>
        <v>5.2666666666666666</v>
      </c>
      <c r="H71" s="7">
        <v>50</v>
      </c>
      <c r="I71" s="5">
        <f t="shared" si="21"/>
        <v>237</v>
      </c>
      <c r="J71" s="5">
        <f t="shared" si="23"/>
        <v>187</v>
      </c>
      <c r="K71">
        <v>13</v>
      </c>
      <c r="N71" s="83">
        <f>1140+100</f>
        <v>1240</v>
      </c>
      <c r="P71" t="s">
        <v>73</v>
      </c>
    </row>
    <row r="72" spans="1:17">
      <c r="A72" s="80" t="s">
        <v>66</v>
      </c>
      <c r="B72" s="7">
        <v>8</v>
      </c>
      <c r="C72" s="7">
        <v>53</v>
      </c>
      <c r="D72" s="7">
        <v>45</v>
      </c>
      <c r="E72" s="7">
        <v>1</v>
      </c>
      <c r="F72" s="7">
        <v>50</v>
      </c>
      <c r="G72" s="11">
        <f>B72+C72/60</f>
        <v>8.8833333333333329</v>
      </c>
      <c r="H72" s="7">
        <v>50</v>
      </c>
      <c r="I72" s="5">
        <f t="shared" si="21"/>
        <v>399.75</v>
      </c>
      <c r="J72" s="5">
        <f t="shared" si="23"/>
        <v>349.75</v>
      </c>
      <c r="K72">
        <v>16</v>
      </c>
      <c r="N72" s="51">
        <v>150</v>
      </c>
      <c r="P72" t="s">
        <v>53</v>
      </c>
    </row>
    <row r="73" spans="1:17">
      <c r="A73" s="80" t="s">
        <v>67</v>
      </c>
      <c r="B73" s="7">
        <v>8</v>
      </c>
      <c r="C73" s="7">
        <v>57</v>
      </c>
      <c r="D73" s="7">
        <v>45</v>
      </c>
      <c r="E73" s="7">
        <v>1</v>
      </c>
      <c r="F73" s="7">
        <v>50</v>
      </c>
      <c r="G73" s="11">
        <f>B73+C73/60</f>
        <v>8.9499999999999993</v>
      </c>
      <c r="H73" s="7">
        <v>50</v>
      </c>
      <c r="I73" s="5">
        <f t="shared" si="21"/>
        <v>402.74999999999994</v>
      </c>
      <c r="J73" s="5">
        <f t="shared" si="23"/>
        <v>352.74999999999994</v>
      </c>
      <c r="K73">
        <v>25</v>
      </c>
      <c r="N73" s="83">
        <v>1330</v>
      </c>
    </row>
    <row r="74" spans="1:17" ht="16" thickBot="1">
      <c r="A74" s="80" t="s">
        <v>68</v>
      </c>
      <c r="B74" s="7">
        <v>0</v>
      </c>
      <c r="C74" s="7">
        <v>0</v>
      </c>
      <c r="D74" s="7">
        <v>45</v>
      </c>
      <c r="E74" s="7">
        <v>0</v>
      </c>
      <c r="F74" s="7">
        <v>50</v>
      </c>
      <c r="G74" s="11">
        <v>0</v>
      </c>
      <c r="H74" s="4">
        <v>0</v>
      </c>
      <c r="I74" s="5">
        <v>0</v>
      </c>
      <c r="J74" s="5">
        <f t="shared" si="23"/>
        <v>0</v>
      </c>
      <c r="K74">
        <v>0</v>
      </c>
      <c r="N74" s="83">
        <f>450+27</f>
        <v>477</v>
      </c>
    </row>
    <row r="75" spans="1:17" s="86" customFormat="1" ht="20" thickBot="1">
      <c r="A75" s="91" t="s">
        <v>74</v>
      </c>
      <c r="B75" s="8">
        <f>SUM(B76:B82)</f>
        <v>44</v>
      </c>
      <c r="C75" s="8">
        <f>SUM(C76:C82)</f>
        <v>128</v>
      </c>
      <c r="D75" s="8">
        <f>SUM(D76)</f>
        <v>45</v>
      </c>
      <c r="E75" s="8">
        <f>SUM(E76:E82)</f>
        <v>5</v>
      </c>
      <c r="F75" s="8">
        <f>SUM(F76:F82)</f>
        <v>350</v>
      </c>
      <c r="G75" s="93">
        <f t="shared" ref="G75" si="24">B75+C75/60</f>
        <v>46.133333333333333</v>
      </c>
      <c r="H75" s="8">
        <f>SUM(H76:H82)</f>
        <v>250</v>
      </c>
      <c r="I75" s="9">
        <f>SUM(I76:I82)</f>
        <v>2076</v>
      </c>
      <c r="J75" s="14">
        <f>SUM(J76:J82)</f>
        <v>1826</v>
      </c>
      <c r="K75" s="8">
        <f>SUM(K76:K82)</f>
        <v>107</v>
      </c>
      <c r="L75" s="9">
        <v>0</v>
      </c>
      <c r="M75" s="96">
        <f>J75</f>
        <v>1826</v>
      </c>
      <c r="N75" s="102">
        <f>SUM(N76:N82)</f>
        <v>2310</v>
      </c>
      <c r="O75" s="98">
        <f>2369-N75</f>
        <v>59</v>
      </c>
    </row>
    <row r="76" spans="1:17">
      <c r="A76" s="80" t="s">
        <v>25</v>
      </c>
      <c r="B76" s="7">
        <v>9</v>
      </c>
      <c r="C76" s="7">
        <v>22</v>
      </c>
      <c r="D76" s="7">
        <v>45</v>
      </c>
      <c r="E76" s="7">
        <v>1</v>
      </c>
      <c r="F76" s="7">
        <v>50</v>
      </c>
      <c r="G76" s="11">
        <f>B76+C76/60</f>
        <v>9.3666666666666671</v>
      </c>
      <c r="H76" s="7">
        <v>50</v>
      </c>
      <c r="I76" s="5">
        <f t="shared" ref="I76:I81" si="25">G76*D76</f>
        <v>421.5</v>
      </c>
      <c r="J76" s="5">
        <f>I76-H76</f>
        <v>371.5</v>
      </c>
      <c r="K76">
        <v>26</v>
      </c>
      <c r="N76" s="83"/>
      <c r="O76" s="51"/>
    </row>
    <row r="77" spans="1:17">
      <c r="A77" s="80" t="s">
        <v>28</v>
      </c>
      <c r="B77" s="4">
        <v>9</v>
      </c>
      <c r="C77" s="4">
        <v>28</v>
      </c>
      <c r="D77" s="7">
        <v>45</v>
      </c>
      <c r="E77" s="7">
        <v>1</v>
      </c>
      <c r="F77" s="7">
        <v>50</v>
      </c>
      <c r="G77" s="11">
        <f t="shared" ref="G77:G79" si="26">B77+C77/60</f>
        <v>9.4666666666666668</v>
      </c>
      <c r="H77" s="4">
        <v>50</v>
      </c>
      <c r="I77" s="5">
        <f t="shared" si="25"/>
        <v>426</v>
      </c>
      <c r="J77" s="5">
        <f>I77-H77</f>
        <v>376</v>
      </c>
      <c r="K77">
        <v>24</v>
      </c>
      <c r="N77" s="83">
        <v>1000</v>
      </c>
    </row>
    <row r="78" spans="1:17">
      <c r="A78" s="80" t="s">
        <v>29</v>
      </c>
      <c r="B78" s="4">
        <v>9</v>
      </c>
      <c r="C78" s="4">
        <v>3</v>
      </c>
      <c r="D78" s="7">
        <v>45</v>
      </c>
      <c r="E78" s="7">
        <v>1</v>
      </c>
      <c r="F78" s="7">
        <v>50</v>
      </c>
      <c r="G78" s="11">
        <f t="shared" si="26"/>
        <v>9.0500000000000007</v>
      </c>
      <c r="H78" s="4">
        <v>50</v>
      </c>
      <c r="I78" s="5">
        <f t="shared" si="25"/>
        <v>407.25000000000006</v>
      </c>
      <c r="J78" s="5">
        <f t="shared" ref="J78:J82" si="27">I78-H78</f>
        <v>357.25000000000006</v>
      </c>
      <c r="K78">
        <v>25</v>
      </c>
      <c r="N78" s="51"/>
      <c r="P78" t="s">
        <v>75</v>
      </c>
      <c r="Q78" t="s">
        <v>64</v>
      </c>
    </row>
    <row r="79" spans="1:17" ht="9" customHeight="1">
      <c r="A79" s="80" t="s">
        <v>37</v>
      </c>
      <c r="B79" s="4">
        <v>8</v>
      </c>
      <c r="C79" s="4">
        <v>44</v>
      </c>
      <c r="D79" s="7">
        <v>45</v>
      </c>
      <c r="E79" s="7">
        <v>1</v>
      </c>
      <c r="F79" s="7">
        <v>50</v>
      </c>
      <c r="G79" s="11">
        <f t="shared" si="26"/>
        <v>8.7333333333333325</v>
      </c>
      <c r="H79" s="4">
        <v>50</v>
      </c>
      <c r="I79" s="5">
        <f t="shared" si="25"/>
        <v>392.99999999999994</v>
      </c>
      <c r="J79" s="5">
        <f t="shared" si="27"/>
        <v>342.99999999999994</v>
      </c>
      <c r="K79">
        <v>15</v>
      </c>
      <c r="N79" s="51"/>
    </row>
    <row r="80" spans="1:17">
      <c r="A80" s="80" t="s">
        <v>39</v>
      </c>
      <c r="B80" s="4">
        <v>9</v>
      </c>
      <c r="C80" s="4">
        <v>31</v>
      </c>
      <c r="D80" s="7">
        <v>45</v>
      </c>
      <c r="E80" s="7">
        <v>1</v>
      </c>
      <c r="F80" s="7">
        <v>50</v>
      </c>
      <c r="G80" s="11">
        <f>B80+C80/60</f>
        <v>9.5166666666666675</v>
      </c>
      <c r="H80" s="4">
        <v>50</v>
      </c>
      <c r="I80" s="5">
        <f t="shared" si="25"/>
        <v>428.25000000000006</v>
      </c>
      <c r="J80" s="5">
        <f t="shared" si="27"/>
        <v>378.25000000000006</v>
      </c>
      <c r="K80">
        <v>17</v>
      </c>
      <c r="N80" s="51"/>
    </row>
    <row r="81" spans="1:17">
      <c r="A81" s="80" t="s">
        <v>41</v>
      </c>
      <c r="B81" s="4">
        <v>0</v>
      </c>
      <c r="C81" s="4">
        <v>0</v>
      </c>
      <c r="D81" s="7">
        <v>45</v>
      </c>
      <c r="E81" s="7">
        <v>0</v>
      </c>
      <c r="F81" s="7">
        <v>50</v>
      </c>
      <c r="G81" s="11">
        <f>B81+C81/60</f>
        <v>0</v>
      </c>
      <c r="H81" s="4">
        <v>0</v>
      </c>
      <c r="I81" s="5">
        <f t="shared" si="25"/>
        <v>0</v>
      </c>
      <c r="J81" s="5">
        <f t="shared" si="27"/>
        <v>0</v>
      </c>
      <c r="K81">
        <v>0</v>
      </c>
      <c r="N81" s="83">
        <v>1110</v>
      </c>
    </row>
    <row r="82" spans="1:17" ht="16" thickBot="1">
      <c r="A82" s="80" t="s">
        <v>42</v>
      </c>
      <c r="B82" s="4">
        <v>0</v>
      </c>
      <c r="C82" s="4">
        <v>0</v>
      </c>
      <c r="D82" s="7">
        <v>45</v>
      </c>
      <c r="E82" s="7">
        <v>0</v>
      </c>
      <c r="F82" s="7">
        <v>50</v>
      </c>
      <c r="G82" s="11">
        <v>0</v>
      </c>
      <c r="H82" s="4">
        <v>0</v>
      </c>
      <c r="I82" s="5">
        <v>0</v>
      </c>
      <c r="J82" s="5">
        <f t="shared" si="27"/>
        <v>0</v>
      </c>
      <c r="K82">
        <v>0</v>
      </c>
      <c r="N82" s="83">
        <v>200</v>
      </c>
    </row>
    <row r="83" spans="1:17" ht="20" thickBot="1">
      <c r="A83" s="91" t="s">
        <v>76</v>
      </c>
      <c r="B83" s="8">
        <f>SUM(B84:B90)</f>
        <v>65</v>
      </c>
      <c r="C83" s="8">
        <f>SUM(C84:C90)</f>
        <v>104</v>
      </c>
      <c r="D83" s="8">
        <f>SUM(D84)</f>
        <v>55</v>
      </c>
      <c r="E83" s="8">
        <f>SUM(E84:E90)</f>
        <v>6</v>
      </c>
      <c r="F83" s="8">
        <f>SUM(F84:F90)</f>
        <v>350</v>
      </c>
      <c r="G83" s="93">
        <f t="shared" ref="G83:G106" si="28">B83+C83/60</f>
        <v>66.733333333333334</v>
      </c>
      <c r="H83" s="8">
        <f>SUM(H84:H90)</f>
        <v>300</v>
      </c>
      <c r="I83" s="9">
        <f>SUM(I84:I90)</f>
        <v>3671.833333333333</v>
      </c>
      <c r="J83" s="14">
        <f>SUM(J84:J90)</f>
        <v>3371.833333333333</v>
      </c>
      <c r="K83" s="8">
        <f>SUM(K84:K90)</f>
        <v>164</v>
      </c>
      <c r="L83" s="9">
        <v>0</v>
      </c>
      <c r="M83" s="96">
        <f>J83</f>
        <v>3371.833333333333</v>
      </c>
      <c r="N83" s="102">
        <f>SUM(N84:N90)</f>
        <v>5100</v>
      </c>
      <c r="O83" s="98">
        <f>5670-N83</f>
        <v>570</v>
      </c>
      <c r="P83" s="86"/>
      <c r="Q83" s="86"/>
    </row>
    <row r="84" spans="1:17">
      <c r="A84" s="80" t="s">
        <v>25</v>
      </c>
      <c r="B84" s="7">
        <v>0</v>
      </c>
      <c r="C84" s="7">
        <v>0</v>
      </c>
      <c r="D84" s="7">
        <v>55</v>
      </c>
      <c r="E84" s="7">
        <v>0</v>
      </c>
      <c r="F84" s="7">
        <v>50</v>
      </c>
      <c r="G84" s="11">
        <f t="shared" si="28"/>
        <v>0</v>
      </c>
      <c r="H84" s="7">
        <v>0</v>
      </c>
      <c r="I84" s="5">
        <f t="shared" ref="I84:I90" si="29">G84*D84</f>
        <v>0</v>
      </c>
      <c r="J84" s="5">
        <f t="shared" ref="J84:J90" si="30">I84-H84</f>
        <v>0</v>
      </c>
      <c r="K84">
        <v>0</v>
      </c>
      <c r="N84" s="83"/>
      <c r="O84" s="51"/>
      <c r="P84" s="115"/>
    </row>
    <row r="85" spans="1:17">
      <c r="A85" s="80" t="s">
        <v>28</v>
      </c>
      <c r="B85" s="7">
        <v>10</v>
      </c>
      <c r="C85" s="7">
        <v>35</v>
      </c>
      <c r="D85" s="7">
        <v>45</v>
      </c>
      <c r="E85" s="7">
        <v>1</v>
      </c>
      <c r="F85" s="7">
        <v>50</v>
      </c>
      <c r="G85" s="11">
        <f t="shared" si="28"/>
        <v>10.583333333333334</v>
      </c>
      <c r="H85" s="4">
        <v>50</v>
      </c>
      <c r="I85" s="5">
        <f t="shared" si="29"/>
        <v>476.25</v>
      </c>
      <c r="J85" s="5">
        <f t="shared" si="30"/>
        <v>426.25</v>
      </c>
      <c r="K85">
        <v>20</v>
      </c>
      <c r="N85" s="83">
        <v>100</v>
      </c>
      <c r="P85" t="s">
        <v>77</v>
      </c>
    </row>
    <row r="86" spans="1:17">
      <c r="A86" s="80" t="s">
        <v>29</v>
      </c>
      <c r="B86" s="7">
        <v>11</v>
      </c>
      <c r="C86" s="7">
        <v>14</v>
      </c>
      <c r="D86" s="7">
        <v>55</v>
      </c>
      <c r="E86" s="7">
        <v>1</v>
      </c>
      <c r="F86" s="7">
        <v>50</v>
      </c>
      <c r="G86" s="11">
        <f t="shared" si="28"/>
        <v>11.233333333333333</v>
      </c>
      <c r="H86" s="4">
        <v>50</v>
      </c>
      <c r="I86" s="5">
        <f t="shared" si="29"/>
        <v>617.83333333333326</v>
      </c>
      <c r="J86" s="5">
        <f t="shared" si="30"/>
        <v>567.83333333333326</v>
      </c>
      <c r="K86">
        <v>27</v>
      </c>
      <c r="N86" s="83">
        <v>1180</v>
      </c>
      <c r="Q86" t="s">
        <v>64</v>
      </c>
    </row>
    <row r="87" spans="1:17">
      <c r="A87" s="80" t="s">
        <v>37</v>
      </c>
      <c r="B87" s="7">
        <v>11</v>
      </c>
      <c r="C87" s="7">
        <v>21</v>
      </c>
      <c r="D87" s="7">
        <v>55</v>
      </c>
      <c r="E87" s="7">
        <v>1</v>
      </c>
      <c r="F87" s="7">
        <v>50</v>
      </c>
      <c r="G87" s="11">
        <f t="shared" si="28"/>
        <v>11.35</v>
      </c>
      <c r="H87" s="4">
        <v>50</v>
      </c>
      <c r="I87" s="5">
        <f t="shared" si="29"/>
        <v>624.25</v>
      </c>
      <c r="J87" s="5">
        <f t="shared" si="30"/>
        <v>574.25</v>
      </c>
      <c r="K87">
        <v>29</v>
      </c>
      <c r="N87" s="51"/>
    </row>
    <row r="88" spans="1:17">
      <c r="A88" s="80" t="s">
        <v>39</v>
      </c>
      <c r="B88" s="7">
        <v>11</v>
      </c>
      <c r="C88" s="7">
        <v>25</v>
      </c>
      <c r="D88" s="7">
        <v>45</v>
      </c>
      <c r="E88" s="7">
        <v>1</v>
      </c>
      <c r="F88" s="7">
        <v>50</v>
      </c>
      <c r="G88" s="11">
        <f t="shared" si="28"/>
        <v>11.416666666666666</v>
      </c>
      <c r="H88" s="4">
        <v>50</v>
      </c>
      <c r="I88" s="5">
        <f t="shared" si="29"/>
        <v>513.75</v>
      </c>
      <c r="J88" s="5">
        <f t="shared" si="30"/>
        <v>463.75</v>
      </c>
      <c r="K88">
        <v>24</v>
      </c>
      <c r="N88" s="83">
        <v>2000</v>
      </c>
    </row>
    <row r="89" spans="1:17">
      <c r="A89" s="80" t="s">
        <v>41</v>
      </c>
      <c r="B89" s="7">
        <v>11</v>
      </c>
      <c r="C89" s="7">
        <v>9</v>
      </c>
      <c r="D89" s="7">
        <v>65</v>
      </c>
      <c r="E89" s="7">
        <v>1</v>
      </c>
      <c r="F89" s="7">
        <v>50</v>
      </c>
      <c r="G89" s="11">
        <f t="shared" si="28"/>
        <v>11.15</v>
      </c>
      <c r="H89" s="4">
        <v>50</v>
      </c>
      <c r="I89" s="5">
        <f t="shared" si="29"/>
        <v>724.75</v>
      </c>
      <c r="J89" s="5">
        <f t="shared" si="30"/>
        <v>674.75</v>
      </c>
      <c r="K89">
        <v>33</v>
      </c>
      <c r="N89" s="83">
        <f>150</f>
        <v>150</v>
      </c>
      <c r="P89" t="s">
        <v>27</v>
      </c>
    </row>
    <row r="90" spans="1:17" ht="16" thickBot="1">
      <c r="A90" s="80" t="s">
        <v>42</v>
      </c>
      <c r="B90" s="7">
        <v>11</v>
      </c>
      <c r="C90" s="7">
        <v>0</v>
      </c>
      <c r="D90" s="7">
        <v>65</v>
      </c>
      <c r="E90" s="7">
        <v>1</v>
      </c>
      <c r="F90" s="7">
        <v>50</v>
      </c>
      <c r="G90" s="11">
        <f t="shared" si="28"/>
        <v>11</v>
      </c>
      <c r="H90" s="4">
        <v>50</v>
      </c>
      <c r="I90" s="5">
        <f t="shared" si="29"/>
        <v>715</v>
      </c>
      <c r="J90" s="5">
        <f t="shared" si="30"/>
        <v>665</v>
      </c>
      <c r="K90">
        <v>31</v>
      </c>
      <c r="N90" s="83">
        <v>1670</v>
      </c>
    </row>
    <row r="91" spans="1:17" ht="20" thickBot="1">
      <c r="A91" s="91" t="s">
        <v>78</v>
      </c>
      <c r="B91" s="8">
        <f>SUM(B92:B98)</f>
        <v>50</v>
      </c>
      <c r="C91" s="8">
        <f>SUM(C92:C98)</f>
        <v>68</v>
      </c>
      <c r="D91" s="8">
        <v>45</v>
      </c>
      <c r="E91" s="8">
        <f>SUM(E92:E98)</f>
        <v>6</v>
      </c>
      <c r="F91" s="8">
        <v>50</v>
      </c>
      <c r="G91" s="93">
        <f t="shared" si="28"/>
        <v>51.133333333333333</v>
      </c>
      <c r="H91" s="8">
        <f>SUM(H92:H98)</f>
        <v>300</v>
      </c>
      <c r="I91" s="9">
        <f>SUM(I92:I98)</f>
        <v>2472.5</v>
      </c>
      <c r="J91" s="14">
        <f>SUM(J92:J98)</f>
        <v>2172.5</v>
      </c>
      <c r="K91" s="8">
        <f>SUM(K92:K98)</f>
        <v>145</v>
      </c>
      <c r="L91" s="9">
        <v>0</v>
      </c>
      <c r="M91" s="96">
        <f>J91</f>
        <v>2172.5</v>
      </c>
      <c r="N91" s="102">
        <f>SUM(N92:N98)</f>
        <v>1700</v>
      </c>
      <c r="O91" s="98">
        <f>3452-N91</f>
        <v>1752</v>
      </c>
      <c r="P91" s="86"/>
      <c r="Q91" s="86"/>
    </row>
    <row r="92" spans="1:17">
      <c r="A92" s="6">
        <v>46055</v>
      </c>
      <c r="B92" s="7">
        <v>7</v>
      </c>
      <c r="C92" s="7">
        <v>24</v>
      </c>
      <c r="D92" s="7">
        <v>45</v>
      </c>
      <c r="E92" s="7">
        <v>1</v>
      </c>
      <c r="F92" s="7">
        <v>50</v>
      </c>
      <c r="G92" s="11">
        <f t="shared" si="28"/>
        <v>7.4</v>
      </c>
      <c r="H92" s="7">
        <v>50</v>
      </c>
      <c r="I92" s="5">
        <f t="shared" ref="I92:I98" si="31">G92*D92</f>
        <v>333</v>
      </c>
      <c r="J92" s="5">
        <f t="shared" ref="J92:J98" si="32">I92-H92</f>
        <v>283</v>
      </c>
      <c r="K92">
        <v>20</v>
      </c>
      <c r="N92" s="83">
        <v>300</v>
      </c>
      <c r="O92" s="51"/>
    </row>
    <row r="93" spans="1:17">
      <c r="A93" s="6">
        <v>46056</v>
      </c>
      <c r="B93" s="7">
        <v>8</v>
      </c>
      <c r="C93" s="7">
        <v>1</v>
      </c>
      <c r="D93" s="7">
        <v>45</v>
      </c>
      <c r="E93" s="7">
        <v>1</v>
      </c>
      <c r="F93" s="7">
        <v>50</v>
      </c>
      <c r="G93" s="11">
        <f t="shared" si="28"/>
        <v>8.0166666666666675</v>
      </c>
      <c r="H93" s="4">
        <v>50</v>
      </c>
      <c r="I93" s="5">
        <f t="shared" si="31"/>
        <v>360.75000000000006</v>
      </c>
      <c r="J93" s="5">
        <f t="shared" si="32"/>
        <v>310.75000000000006</v>
      </c>
      <c r="K93">
        <v>24</v>
      </c>
      <c r="N93" s="83">
        <f>600+100</f>
        <v>700</v>
      </c>
      <c r="P93" t="s">
        <v>79</v>
      </c>
    </row>
    <row r="94" spans="1:17">
      <c r="A94" s="6">
        <v>46057</v>
      </c>
      <c r="B94" s="7">
        <v>9</v>
      </c>
      <c r="C94" s="7">
        <v>2</v>
      </c>
      <c r="D94" s="7">
        <v>55</v>
      </c>
      <c r="E94" s="7">
        <v>1</v>
      </c>
      <c r="F94" s="7">
        <v>50</v>
      </c>
      <c r="G94" s="11">
        <f t="shared" si="28"/>
        <v>9.0333333333333332</v>
      </c>
      <c r="H94" s="4">
        <v>50</v>
      </c>
      <c r="I94" s="5">
        <f t="shared" si="31"/>
        <v>496.83333333333331</v>
      </c>
      <c r="J94" s="5">
        <f t="shared" si="32"/>
        <v>446.83333333333331</v>
      </c>
      <c r="K94">
        <v>29</v>
      </c>
      <c r="N94" s="83">
        <v>400</v>
      </c>
      <c r="Q94" t="s">
        <v>64</v>
      </c>
    </row>
    <row r="95" spans="1:17" ht="12.75" customHeight="1">
      <c r="A95" s="6">
        <v>46058</v>
      </c>
      <c r="B95" s="7">
        <v>0</v>
      </c>
      <c r="C95" s="7">
        <v>0</v>
      </c>
      <c r="D95" s="7">
        <v>45</v>
      </c>
      <c r="E95" s="7">
        <v>0</v>
      </c>
      <c r="F95" s="7">
        <v>50</v>
      </c>
      <c r="G95" s="11">
        <f t="shared" si="28"/>
        <v>0</v>
      </c>
      <c r="H95" s="4">
        <v>0</v>
      </c>
      <c r="I95" s="5">
        <f t="shared" si="31"/>
        <v>0</v>
      </c>
      <c r="J95" s="5">
        <f t="shared" si="32"/>
        <v>0</v>
      </c>
      <c r="K95">
        <v>0</v>
      </c>
      <c r="N95" s="51"/>
    </row>
    <row r="96" spans="1:17">
      <c r="A96" s="6">
        <v>46059</v>
      </c>
      <c r="B96" s="7">
        <v>9</v>
      </c>
      <c r="C96" s="7">
        <v>34</v>
      </c>
      <c r="D96" s="7">
        <v>45</v>
      </c>
      <c r="E96" s="7">
        <v>1</v>
      </c>
      <c r="F96" s="7">
        <v>50</v>
      </c>
      <c r="G96" s="11">
        <f t="shared" si="28"/>
        <v>9.5666666666666664</v>
      </c>
      <c r="H96" s="4">
        <v>50</v>
      </c>
      <c r="I96" s="5">
        <f t="shared" si="31"/>
        <v>430.5</v>
      </c>
      <c r="J96" s="5">
        <f t="shared" si="32"/>
        <v>380.5</v>
      </c>
      <c r="K96">
        <v>19</v>
      </c>
      <c r="N96" s="124">
        <v>150</v>
      </c>
      <c r="P96" t="s">
        <v>80</v>
      </c>
    </row>
    <row r="97" spans="1:17">
      <c r="A97" s="6">
        <v>46060</v>
      </c>
      <c r="B97" s="7">
        <v>9</v>
      </c>
      <c r="C97" s="7">
        <v>0</v>
      </c>
      <c r="D97" s="7">
        <v>45</v>
      </c>
      <c r="E97" s="7">
        <v>1</v>
      </c>
      <c r="F97" s="7">
        <v>50</v>
      </c>
      <c r="G97" s="11">
        <f t="shared" si="28"/>
        <v>9</v>
      </c>
      <c r="H97" s="4">
        <v>50</v>
      </c>
      <c r="I97" s="5">
        <f t="shared" si="31"/>
        <v>405</v>
      </c>
      <c r="J97" s="5">
        <f t="shared" si="32"/>
        <v>355</v>
      </c>
      <c r="K97">
        <v>25</v>
      </c>
      <c r="N97" s="51"/>
    </row>
    <row r="98" spans="1:17" ht="16" thickBot="1">
      <c r="A98" s="6">
        <v>46061</v>
      </c>
      <c r="B98" s="7">
        <v>8</v>
      </c>
      <c r="C98" s="7">
        <v>7</v>
      </c>
      <c r="D98" s="7">
        <v>55</v>
      </c>
      <c r="E98" s="7">
        <v>1</v>
      </c>
      <c r="F98" s="7">
        <v>50</v>
      </c>
      <c r="G98" s="11">
        <f t="shared" si="28"/>
        <v>8.1166666666666671</v>
      </c>
      <c r="H98" s="4">
        <v>50</v>
      </c>
      <c r="I98" s="5">
        <f t="shared" si="31"/>
        <v>446.41666666666669</v>
      </c>
      <c r="J98" s="5">
        <f t="shared" si="32"/>
        <v>396.41666666666669</v>
      </c>
      <c r="K98">
        <v>28</v>
      </c>
      <c r="N98" s="51">
        <f>150</f>
        <v>150</v>
      </c>
      <c r="P98" t="s">
        <v>27</v>
      </c>
    </row>
    <row r="99" spans="1:17" s="54" customFormat="1" ht="20" thickBot="1">
      <c r="A99" s="72" t="s">
        <v>81</v>
      </c>
      <c r="B99" s="44">
        <f>SUM(B100:B106)</f>
        <v>53</v>
      </c>
      <c r="C99" s="44">
        <f>SUM(C100:C106)</f>
        <v>107</v>
      </c>
      <c r="D99" s="44">
        <v>45</v>
      </c>
      <c r="E99" s="44">
        <f>SUM(E100:E106)</f>
        <v>6</v>
      </c>
      <c r="F99" s="44">
        <v>50</v>
      </c>
      <c r="G99" s="67">
        <f t="shared" si="28"/>
        <v>54.783333333333331</v>
      </c>
      <c r="H99" s="44">
        <f>SUM(H100:H106)</f>
        <v>300</v>
      </c>
      <c r="I99" s="47">
        <f>SUM(I100:I106)</f>
        <v>2762.0833333333339</v>
      </c>
      <c r="J99" s="47">
        <f>SUM(J100:J106)</f>
        <v>2462.0833333333335</v>
      </c>
      <c r="K99" s="44">
        <f>SUM(K100:K106)</f>
        <v>146</v>
      </c>
      <c r="L99" s="46">
        <v>0</v>
      </c>
      <c r="M99" s="69">
        <f>J99</f>
        <v>2462.0833333333335</v>
      </c>
      <c r="N99" s="63">
        <f>SUM(N100:N106)</f>
        <v>4022</v>
      </c>
      <c r="O99" s="90">
        <f>4022-N99</f>
        <v>0</v>
      </c>
    </row>
    <row r="100" spans="1:17">
      <c r="A100" s="6">
        <v>46055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11">
        <f t="shared" si="28"/>
        <v>0</v>
      </c>
      <c r="H100" s="7">
        <v>0</v>
      </c>
      <c r="I100" s="5">
        <f t="shared" ref="I100:I106" si="33">G100*D100</f>
        <v>0</v>
      </c>
      <c r="J100" s="5">
        <f t="shared" ref="J100:J106" si="34">I100-H100</f>
        <v>0</v>
      </c>
      <c r="K100">
        <v>0</v>
      </c>
      <c r="N100" s="51">
        <v>150</v>
      </c>
      <c r="O100" s="51"/>
      <c r="P100" t="s">
        <v>82</v>
      </c>
    </row>
    <row r="101" spans="1:17">
      <c r="A101" s="6">
        <v>46056</v>
      </c>
      <c r="B101" s="4">
        <v>7</v>
      </c>
      <c r="C101" s="4">
        <v>2</v>
      </c>
      <c r="D101" s="7">
        <v>45</v>
      </c>
      <c r="E101" s="7">
        <v>1</v>
      </c>
      <c r="F101" s="7">
        <v>50</v>
      </c>
      <c r="G101" s="11">
        <f t="shared" si="28"/>
        <v>7.0333333333333332</v>
      </c>
      <c r="H101" s="4">
        <v>50</v>
      </c>
      <c r="I101" s="5">
        <f t="shared" si="33"/>
        <v>316.5</v>
      </c>
      <c r="J101" s="5">
        <f t="shared" si="34"/>
        <v>266.5</v>
      </c>
      <c r="K101">
        <v>14</v>
      </c>
      <c r="N101" s="51">
        <v>100</v>
      </c>
      <c r="P101" t="s">
        <v>83</v>
      </c>
    </row>
    <row r="102" spans="1:17">
      <c r="A102" s="6">
        <v>46057</v>
      </c>
      <c r="B102" s="4">
        <v>9</v>
      </c>
      <c r="C102" s="4">
        <v>22</v>
      </c>
      <c r="D102" s="7">
        <v>55</v>
      </c>
      <c r="E102" s="7">
        <v>1</v>
      </c>
      <c r="F102" s="7">
        <v>50</v>
      </c>
      <c r="G102" s="11">
        <f t="shared" si="28"/>
        <v>9.3666666666666671</v>
      </c>
      <c r="H102" s="4">
        <v>50</v>
      </c>
      <c r="I102" s="5">
        <f t="shared" si="33"/>
        <v>515.16666666666674</v>
      </c>
      <c r="J102" s="5">
        <f t="shared" si="34"/>
        <v>465.16666666666674</v>
      </c>
      <c r="K102">
        <v>25</v>
      </c>
      <c r="N102" s="83">
        <f>550+478</f>
        <v>1028</v>
      </c>
      <c r="Q102" t="s">
        <v>64</v>
      </c>
    </row>
    <row r="103" spans="1:17">
      <c r="A103" s="6">
        <v>46058</v>
      </c>
      <c r="B103" s="4">
        <v>10</v>
      </c>
      <c r="C103" s="4">
        <v>15</v>
      </c>
      <c r="D103" s="7">
        <v>45</v>
      </c>
      <c r="E103" s="7">
        <v>1</v>
      </c>
      <c r="F103" s="7">
        <v>50</v>
      </c>
      <c r="G103" s="11">
        <f t="shared" si="28"/>
        <v>10.25</v>
      </c>
      <c r="H103" s="4">
        <v>50</v>
      </c>
      <c r="I103" s="5">
        <f t="shared" si="33"/>
        <v>461.25</v>
      </c>
      <c r="J103" s="5">
        <f t="shared" si="34"/>
        <v>411.25</v>
      </c>
      <c r="K103">
        <v>25</v>
      </c>
      <c r="N103" s="51">
        <v>244</v>
      </c>
      <c r="P103" t="s">
        <v>61</v>
      </c>
    </row>
    <row r="104" spans="1:17">
      <c r="A104" s="6">
        <v>46059</v>
      </c>
      <c r="B104" s="4">
        <v>10</v>
      </c>
      <c r="C104" s="4">
        <v>12</v>
      </c>
      <c r="D104" s="7">
        <v>55</v>
      </c>
      <c r="E104" s="7">
        <v>1</v>
      </c>
      <c r="F104" s="7">
        <v>50</v>
      </c>
      <c r="G104" s="11">
        <f t="shared" si="28"/>
        <v>10.199999999999999</v>
      </c>
      <c r="H104" s="4">
        <v>50</v>
      </c>
      <c r="I104" s="5">
        <f t="shared" si="33"/>
        <v>561</v>
      </c>
      <c r="J104" s="5">
        <f t="shared" si="34"/>
        <v>511</v>
      </c>
      <c r="K104">
        <v>28</v>
      </c>
      <c r="N104" s="51">
        <v>150</v>
      </c>
      <c r="P104" t="s">
        <v>61</v>
      </c>
    </row>
    <row r="105" spans="1:17">
      <c r="A105" s="6">
        <v>46060</v>
      </c>
      <c r="B105" s="4">
        <v>7</v>
      </c>
      <c r="C105" s="4">
        <v>49</v>
      </c>
      <c r="D105" s="7">
        <v>45</v>
      </c>
      <c r="E105" s="7">
        <v>1</v>
      </c>
      <c r="F105" s="7">
        <v>50</v>
      </c>
      <c r="G105" s="11">
        <f t="shared" si="28"/>
        <v>7.8166666666666664</v>
      </c>
      <c r="H105" s="4">
        <v>50</v>
      </c>
      <c r="I105" s="5">
        <f t="shared" si="33"/>
        <v>351.75</v>
      </c>
      <c r="J105" s="5">
        <f t="shared" si="34"/>
        <v>301.75</v>
      </c>
      <c r="K105">
        <v>23</v>
      </c>
      <c r="N105" s="83">
        <v>200</v>
      </c>
      <c r="P105" t="s">
        <v>84</v>
      </c>
    </row>
    <row r="106" spans="1:17" ht="16" thickBot="1">
      <c r="A106" s="6">
        <v>46061</v>
      </c>
      <c r="B106" s="4">
        <v>10</v>
      </c>
      <c r="C106" s="4">
        <v>7</v>
      </c>
      <c r="D106" s="7">
        <v>55</v>
      </c>
      <c r="E106" s="7">
        <v>1</v>
      </c>
      <c r="F106" s="7">
        <v>50</v>
      </c>
      <c r="G106" s="11">
        <f t="shared" si="28"/>
        <v>10.116666666666667</v>
      </c>
      <c r="H106" s="4">
        <v>50</v>
      </c>
      <c r="I106" s="5">
        <f t="shared" si="33"/>
        <v>556.41666666666674</v>
      </c>
      <c r="J106" s="5">
        <f t="shared" si="34"/>
        <v>506.41666666666674</v>
      </c>
      <c r="K106">
        <v>31</v>
      </c>
      <c r="N106" s="83">
        <f>1800+200+150</f>
        <v>2150</v>
      </c>
      <c r="P106" t="s">
        <v>85</v>
      </c>
    </row>
    <row r="107" spans="1:17" s="86" customFormat="1" ht="20" hidden="1" thickBot="1">
      <c r="A107" s="91" t="s">
        <v>86</v>
      </c>
      <c r="B107" s="8">
        <f>SUM(B108:B114)</f>
        <v>28</v>
      </c>
      <c r="C107" s="8">
        <f>SUM(C108:C114)</f>
        <v>69</v>
      </c>
      <c r="D107" s="8">
        <f>SUM(D108)</f>
        <v>45</v>
      </c>
      <c r="E107" s="8">
        <f>SUM(E108:E114)</f>
        <v>9</v>
      </c>
      <c r="F107" s="8">
        <f>SUM(F108:F114)</f>
        <v>650</v>
      </c>
      <c r="G107" s="93">
        <f t="shared" ref="G107" si="35">B107+C107/60</f>
        <v>29.15</v>
      </c>
      <c r="H107" s="8">
        <f>SUM(H108:H114)</f>
        <v>150</v>
      </c>
      <c r="I107" s="9">
        <f>SUM(I108:I113)</f>
        <v>0</v>
      </c>
      <c r="J107" s="14">
        <f>SUM(J108:J113)</f>
        <v>0</v>
      </c>
      <c r="K107" s="8">
        <f>SUM(K108:K114)</f>
        <v>68</v>
      </c>
      <c r="L107" s="9">
        <v>0</v>
      </c>
      <c r="M107" s="96">
        <f>J107</f>
        <v>0</v>
      </c>
      <c r="N107" s="102">
        <f>SUM(N108:N111)</f>
        <v>0</v>
      </c>
      <c r="O107" s="98">
        <v>0</v>
      </c>
    </row>
    <row r="108" spans="1:17" hidden="1">
      <c r="A108" s="6">
        <v>46048</v>
      </c>
      <c r="B108" s="7">
        <v>0</v>
      </c>
      <c r="C108" s="7">
        <v>0</v>
      </c>
      <c r="D108" s="7">
        <v>45</v>
      </c>
      <c r="E108" s="7">
        <v>1</v>
      </c>
      <c r="F108" s="7">
        <v>50</v>
      </c>
      <c r="G108" s="11">
        <f>B108+C108/60</f>
        <v>0</v>
      </c>
      <c r="H108" s="7">
        <v>0</v>
      </c>
      <c r="I108" s="5">
        <f t="shared" ref="I108:I113" si="36">G108*D108</f>
        <v>0</v>
      </c>
      <c r="J108" s="5">
        <f>I108-H108</f>
        <v>0</v>
      </c>
      <c r="K108">
        <v>6</v>
      </c>
      <c r="N108" s="82">
        <v>0</v>
      </c>
      <c r="O108" s="51"/>
    </row>
    <row r="109" spans="1:17" hidden="1">
      <c r="A109" s="6">
        <v>46049</v>
      </c>
      <c r="B109" s="4">
        <v>0</v>
      </c>
      <c r="C109" s="4">
        <v>0</v>
      </c>
      <c r="D109" s="7">
        <v>45</v>
      </c>
      <c r="E109" s="7">
        <v>1</v>
      </c>
      <c r="F109" s="7">
        <v>50</v>
      </c>
      <c r="G109" s="11">
        <f t="shared" ref="G109:G111" si="37">B109+C109/60</f>
        <v>0</v>
      </c>
      <c r="H109" s="4">
        <v>0</v>
      </c>
      <c r="I109" s="5">
        <f t="shared" si="36"/>
        <v>0</v>
      </c>
      <c r="J109" s="5">
        <f>I109-H109</f>
        <v>0</v>
      </c>
      <c r="K109">
        <v>0</v>
      </c>
      <c r="N109" s="51"/>
      <c r="O109" s="51"/>
    </row>
    <row r="110" spans="1:17" hidden="1">
      <c r="A110" s="6">
        <v>46050</v>
      </c>
      <c r="B110" s="4">
        <v>0</v>
      </c>
      <c r="C110" s="4">
        <v>0</v>
      </c>
      <c r="D110" s="7">
        <v>45</v>
      </c>
      <c r="E110" s="7">
        <v>1</v>
      </c>
      <c r="F110" s="7">
        <v>50</v>
      </c>
      <c r="G110" s="11">
        <f t="shared" si="37"/>
        <v>0</v>
      </c>
      <c r="H110" s="4">
        <v>0</v>
      </c>
      <c r="I110" s="5">
        <f t="shared" si="36"/>
        <v>0</v>
      </c>
      <c r="J110" s="5">
        <f t="shared" ref="J110:J113" si="38">I110-H110</f>
        <v>0</v>
      </c>
      <c r="K110">
        <v>0</v>
      </c>
      <c r="N110" s="51"/>
      <c r="O110" s="51"/>
      <c r="Q110" t="s">
        <v>64</v>
      </c>
    </row>
    <row r="111" spans="1:17" hidden="1">
      <c r="A111" s="6">
        <v>46051</v>
      </c>
      <c r="B111" s="4">
        <v>0</v>
      </c>
      <c r="C111" s="4">
        <v>0</v>
      </c>
      <c r="D111" s="7">
        <v>45</v>
      </c>
      <c r="E111" s="7">
        <v>1</v>
      </c>
      <c r="F111" s="7">
        <v>50</v>
      </c>
      <c r="G111" s="11">
        <f t="shared" si="37"/>
        <v>0</v>
      </c>
      <c r="H111" s="4">
        <v>0</v>
      </c>
      <c r="I111" s="5">
        <f t="shared" si="36"/>
        <v>0</v>
      </c>
      <c r="J111" s="5">
        <f t="shared" si="38"/>
        <v>0</v>
      </c>
      <c r="K111">
        <v>0</v>
      </c>
      <c r="N111" s="51"/>
      <c r="O111" s="51"/>
    </row>
    <row r="112" spans="1:17" hidden="1">
      <c r="A112" s="6">
        <v>46052</v>
      </c>
      <c r="B112" s="4">
        <v>0</v>
      </c>
      <c r="C112" s="4">
        <v>0</v>
      </c>
      <c r="D112" s="7">
        <v>45</v>
      </c>
      <c r="E112" s="7">
        <v>1</v>
      </c>
      <c r="F112" s="7">
        <v>50</v>
      </c>
      <c r="G112" s="11">
        <f t="shared" ref="G112:G129" si="39">B112+C112/60</f>
        <v>0</v>
      </c>
      <c r="H112" s="4">
        <v>0</v>
      </c>
      <c r="I112" s="5">
        <f t="shared" si="36"/>
        <v>0</v>
      </c>
      <c r="J112" s="5">
        <f t="shared" si="38"/>
        <v>0</v>
      </c>
      <c r="K112">
        <v>0</v>
      </c>
      <c r="N112" s="51"/>
      <c r="O112" s="51"/>
    </row>
    <row r="113" spans="1:17" ht="16" hidden="1" thickBot="1">
      <c r="A113" s="6">
        <v>46053</v>
      </c>
      <c r="B113" s="4">
        <v>0</v>
      </c>
      <c r="C113" s="4">
        <v>0</v>
      </c>
      <c r="D113" s="7">
        <v>45</v>
      </c>
      <c r="E113" s="7">
        <v>1</v>
      </c>
      <c r="F113" s="7">
        <v>50</v>
      </c>
      <c r="G113" s="11">
        <f t="shared" si="39"/>
        <v>0</v>
      </c>
      <c r="H113" s="4">
        <v>0</v>
      </c>
      <c r="I113" s="5">
        <f t="shared" si="36"/>
        <v>0</v>
      </c>
      <c r="J113" s="5">
        <f t="shared" si="38"/>
        <v>0</v>
      </c>
      <c r="K113">
        <v>0</v>
      </c>
      <c r="N113" s="51"/>
      <c r="O113" s="51"/>
    </row>
    <row r="114" spans="1:17" s="86" customFormat="1" ht="20" thickBot="1">
      <c r="A114" s="91" t="s">
        <v>87</v>
      </c>
      <c r="B114" s="8">
        <f>SUM(B115:B121)</f>
        <v>28</v>
      </c>
      <c r="C114" s="8">
        <f t="shared" ref="C114:F114" si="40">SUM(C115:C121)</f>
        <v>69</v>
      </c>
      <c r="D114" s="8">
        <f t="shared" si="40"/>
        <v>315</v>
      </c>
      <c r="E114" s="8">
        <f t="shared" si="40"/>
        <v>3</v>
      </c>
      <c r="F114" s="8">
        <f t="shared" si="40"/>
        <v>350</v>
      </c>
      <c r="G114" s="123">
        <f t="shared" si="39"/>
        <v>29.15</v>
      </c>
      <c r="H114" s="8">
        <f>SUM(H115:H121)</f>
        <v>150</v>
      </c>
      <c r="I114" s="14">
        <f>SUM(I115:I121)</f>
        <v>1311.75</v>
      </c>
      <c r="J114" s="14">
        <f>SUM(J115:J121)</f>
        <v>1161.75</v>
      </c>
      <c r="K114" s="8">
        <f>SUM(K115:K121)</f>
        <v>62</v>
      </c>
      <c r="L114" s="9">
        <v>0</v>
      </c>
      <c r="M114" s="96">
        <f>J114</f>
        <v>1161.75</v>
      </c>
      <c r="N114" s="102">
        <f>SUM(N115:N121)</f>
        <v>2800</v>
      </c>
      <c r="O114" s="98">
        <f>2989-N114</f>
        <v>189</v>
      </c>
    </row>
    <row r="115" spans="1:17">
      <c r="A115" s="6">
        <v>46055</v>
      </c>
      <c r="B115" s="7">
        <v>0</v>
      </c>
      <c r="C115" s="7">
        <v>0</v>
      </c>
      <c r="D115" s="7">
        <v>45</v>
      </c>
      <c r="E115" s="7">
        <v>0</v>
      </c>
      <c r="F115" s="7">
        <v>50</v>
      </c>
      <c r="G115" s="11">
        <f t="shared" si="39"/>
        <v>0</v>
      </c>
      <c r="H115" s="7">
        <v>0</v>
      </c>
      <c r="I115" s="5">
        <f>G115*D115</f>
        <v>0</v>
      </c>
      <c r="J115" s="5">
        <f t="shared" ref="J115:J121" si="41">I115-H115</f>
        <v>0</v>
      </c>
      <c r="K115">
        <v>0</v>
      </c>
      <c r="N115" s="82"/>
      <c r="O115" s="51"/>
    </row>
    <row r="116" spans="1:17">
      <c r="A116" s="6">
        <v>46056</v>
      </c>
      <c r="B116" s="4">
        <v>0</v>
      </c>
      <c r="C116" s="4">
        <v>0</v>
      </c>
      <c r="D116" s="7">
        <v>45</v>
      </c>
      <c r="E116" s="7">
        <v>0</v>
      </c>
      <c r="F116" s="7">
        <v>50</v>
      </c>
      <c r="G116" s="11">
        <f t="shared" si="39"/>
        <v>0</v>
      </c>
      <c r="H116" s="7">
        <v>0</v>
      </c>
      <c r="I116" s="5">
        <f>G116*D116</f>
        <v>0</v>
      </c>
      <c r="J116" s="5">
        <f t="shared" si="41"/>
        <v>0</v>
      </c>
      <c r="K116">
        <v>0</v>
      </c>
      <c r="N116" s="83"/>
      <c r="O116" s="51"/>
    </row>
    <row r="117" spans="1:17">
      <c r="A117" s="6">
        <v>46057</v>
      </c>
      <c r="B117" s="4">
        <v>0</v>
      </c>
      <c r="C117" s="4">
        <v>0</v>
      </c>
      <c r="D117" s="7">
        <v>45</v>
      </c>
      <c r="E117" s="7">
        <v>0</v>
      </c>
      <c r="F117" s="7">
        <v>50</v>
      </c>
      <c r="G117" s="11">
        <f t="shared" si="39"/>
        <v>0</v>
      </c>
      <c r="H117" s="7">
        <v>0</v>
      </c>
      <c r="I117" s="5">
        <v>0</v>
      </c>
      <c r="J117" s="5">
        <f t="shared" si="41"/>
        <v>0</v>
      </c>
      <c r="K117">
        <v>0</v>
      </c>
      <c r="N117" s="83"/>
      <c r="O117" s="51"/>
      <c r="Q117" t="s">
        <v>64</v>
      </c>
    </row>
    <row r="118" spans="1:17">
      <c r="A118" s="80" t="s">
        <v>88</v>
      </c>
      <c r="B118" s="4">
        <v>10</v>
      </c>
      <c r="C118" s="4">
        <v>13</v>
      </c>
      <c r="D118" s="7">
        <v>45</v>
      </c>
      <c r="E118" s="7">
        <v>1</v>
      </c>
      <c r="F118" s="7">
        <v>50</v>
      </c>
      <c r="G118" s="11">
        <f t="shared" si="39"/>
        <v>10.216666666666667</v>
      </c>
      <c r="H118" s="7">
        <v>50</v>
      </c>
      <c r="I118" s="5">
        <f>G118*D118</f>
        <v>459.75</v>
      </c>
      <c r="J118" s="5">
        <f t="shared" si="41"/>
        <v>409.75</v>
      </c>
      <c r="K118">
        <v>22</v>
      </c>
      <c r="N118" s="83">
        <v>700</v>
      </c>
      <c r="O118" s="51"/>
    </row>
    <row r="119" spans="1:17">
      <c r="A119" s="80" t="s">
        <v>31</v>
      </c>
      <c r="B119" s="4">
        <v>9</v>
      </c>
      <c r="C119" s="4">
        <v>8</v>
      </c>
      <c r="D119" s="7">
        <v>45</v>
      </c>
      <c r="E119" s="7">
        <v>1</v>
      </c>
      <c r="F119" s="7">
        <v>50</v>
      </c>
      <c r="G119" s="11">
        <f t="shared" si="39"/>
        <v>9.1333333333333329</v>
      </c>
      <c r="H119" s="7">
        <v>50</v>
      </c>
      <c r="I119" s="5">
        <f>G119*D119</f>
        <v>411</v>
      </c>
      <c r="J119" s="5">
        <f t="shared" si="41"/>
        <v>361</v>
      </c>
      <c r="K119">
        <v>18</v>
      </c>
      <c r="N119" s="51"/>
      <c r="O119" s="51"/>
    </row>
    <row r="120" spans="1:17">
      <c r="A120" s="80" t="s">
        <v>44</v>
      </c>
      <c r="B120" s="4">
        <v>9</v>
      </c>
      <c r="C120" s="4">
        <v>48</v>
      </c>
      <c r="D120" s="7">
        <v>45</v>
      </c>
      <c r="E120" s="7">
        <v>1</v>
      </c>
      <c r="F120" s="7">
        <v>50</v>
      </c>
      <c r="G120" s="11">
        <f t="shared" si="39"/>
        <v>9.8000000000000007</v>
      </c>
      <c r="H120" s="7">
        <v>50</v>
      </c>
      <c r="I120" s="5">
        <f>G120*D120</f>
        <v>441.00000000000006</v>
      </c>
      <c r="J120" s="5">
        <f t="shared" si="41"/>
        <v>391.00000000000006</v>
      </c>
      <c r="K120">
        <v>22</v>
      </c>
      <c r="N120" s="83">
        <f>1750+50+300</f>
        <v>2100</v>
      </c>
      <c r="O120" s="51"/>
    </row>
    <row r="121" spans="1:17" ht="16" thickBot="1">
      <c r="A121" s="80" t="s">
        <v>32</v>
      </c>
      <c r="B121" s="4">
        <v>0</v>
      </c>
      <c r="C121" s="4">
        <v>0</v>
      </c>
      <c r="D121" s="7">
        <v>45</v>
      </c>
      <c r="E121" s="7">
        <v>0</v>
      </c>
      <c r="F121" s="7">
        <v>50</v>
      </c>
      <c r="G121" s="11">
        <f t="shared" si="39"/>
        <v>0</v>
      </c>
      <c r="H121" s="7">
        <v>0</v>
      </c>
      <c r="I121" s="5">
        <f>G121*D121</f>
        <v>0</v>
      </c>
      <c r="J121" s="5">
        <f t="shared" si="41"/>
        <v>0</v>
      </c>
      <c r="K121">
        <v>0</v>
      </c>
      <c r="N121" s="83"/>
      <c r="O121" s="51"/>
      <c r="P121" t="s">
        <v>89</v>
      </c>
    </row>
    <row r="122" spans="1:17" s="86" customFormat="1" ht="20" thickBot="1">
      <c r="A122" s="91" t="s">
        <v>90</v>
      </c>
      <c r="B122" s="8">
        <f>SUM(B123:B129)</f>
        <v>37</v>
      </c>
      <c r="C122" s="8">
        <f t="shared" ref="C122:F122" si="42">SUM(C123:C129)</f>
        <v>75</v>
      </c>
      <c r="D122" s="8">
        <f>SUM(D123)</f>
        <v>45</v>
      </c>
      <c r="E122" s="8">
        <f t="shared" si="42"/>
        <v>4</v>
      </c>
      <c r="F122" s="8">
        <f t="shared" si="42"/>
        <v>350</v>
      </c>
      <c r="G122" s="123">
        <f t="shared" si="39"/>
        <v>38.25</v>
      </c>
      <c r="H122" s="8">
        <f>SUM(H123:H129)</f>
        <v>200</v>
      </c>
      <c r="I122" s="14">
        <f>SUM(I123:I129)</f>
        <v>2385.9166666666665</v>
      </c>
      <c r="J122" s="14">
        <f>SUM(J123:J129)</f>
        <v>2185.9166666666665</v>
      </c>
      <c r="K122" s="8">
        <f>SUM(K123:K129)</f>
        <v>135</v>
      </c>
      <c r="L122" s="9">
        <v>0</v>
      </c>
      <c r="M122" s="96">
        <f>J122</f>
        <v>2185.9166666666665</v>
      </c>
      <c r="N122" s="102">
        <f>SUM(N123:N129)</f>
        <v>3390</v>
      </c>
      <c r="O122" s="98">
        <f>4206-N122</f>
        <v>816</v>
      </c>
    </row>
    <row r="123" spans="1:17">
      <c r="A123" s="6">
        <v>46055</v>
      </c>
      <c r="B123" s="7">
        <v>0</v>
      </c>
      <c r="C123" s="7">
        <v>0</v>
      </c>
      <c r="D123" s="7">
        <v>45</v>
      </c>
      <c r="E123" s="7">
        <v>0</v>
      </c>
      <c r="F123" s="7">
        <v>50</v>
      </c>
      <c r="G123" s="11">
        <f t="shared" si="39"/>
        <v>0</v>
      </c>
      <c r="H123" s="7">
        <v>0</v>
      </c>
      <c r="I123" s="5">
        <f>G123*D123</f>
        <v>0</v>
      </c>
      <c r="J123" s="5">
        <f t="shared" ref="J123:J129" si="43">I123-H123</f>
        <v>0</v>
      </c>
      <c r="K123">
        <v>0</v>
      </c>
      <c r="N123" s="82"/>
      <c r="O123" s="51"/>
    </row>
    <row r="124" spans="1:17">
      <c r="A124" s="6">
        <v>46056</v>
      </c>
      <c r="B124" s="4">
        <v>0</v>
      </c>
      <c r="C124" s="4">
        <v>0</v>
      </c>
      <c r="D124" s="7">
        <v>45</v>
      </c>
      <c r="E124" s="7">
        <v>0</v>
      </c>
      <c r="F124" s="7">
        <v>50</v>
      </c>
      <c r="G124" s="11">
        <f t="shared" si="39"/>
        <v>0</v>
      </c>
      <c r="H124" s="7">
        <v>0</v>
      </c>
      <c r="I124" s="5">
        <f>G124*D124</f>
        <v>0</v>
      </c>
      <c r="J124" s="5">
        <f t="shared" si="43"/>
        <v>0</v>
      </c>
      <c r="K124">
        <v>0</v>
      </c>
      <c r="N124" s="83"/>
    </row>
    <row r="125" spans="1:17">
      <c r="A125" s="6">
        <v>46057</v>
      </c>
      <c r="B125" s="4">
        <v>0</v>
      </c>
      <c r="C125" s="4">
        <v>0</v>
      </c>
      <c r="D125" s="7">
        <v>45</v>
      </c>
      <c r="E125" s="7">
        <v>0</v>
      </c>
      <c r="F125" s="7">
        <v>50</v>
      </c>
      <c r="G125" s="11">
        <f t="shared" si="39"/>
        <v>0</v>
      </c>
      <c r="H125" s="7">
        <v>0</v>
      </c>
      <c r="I125" s="5">
        <v>0</v>
      </c>
      <c r="J125" s="5">
        <f t="shared" si="43"/>
        <v>0</v>
      </c>
      <c r="K125">
        <v>0</v>
      </c>
      <c r="N125" s="83"/>
      <c r="Q125" t="s">
        <v>64</v>
      </c>
    </row>
    <row r="126" spans="1:17">
      <c r="A126" s="80" t="s">
        <v>88</v>
      </c>
      <c r="B126" s="4">
        <v>11</v>
      </c>
      <c r="C126" s="4">
        <v>0</v>
      </c>
      <c r="D126" s="7">
        <v>65</v>
      </c>
      <c r="E126" s="7">
        <v>1</v>
      </c>
      <c r="F126" s="7">
        <v>50</v>
      </c>
      <c r="G126" s="11">
        <f t="shared" si="39"/>
        <v>11</v>
      </c>
      <c r="H126" s="7">
        <v>50</v>
      </c>
      <c r="I126" s="5">
        <f>G126*D126</f>
        <v>715</v>
      </c>
      <c r="J126" s="5">
        <f t="shared" si="43"/>
        <v>665</v>
      </c>
      <c r="K126">
        <v>33</v>
      </c>
      <c r="N126" s="1">
        <f>150+920+150</f>
        <v>1220</v>
      </c>
    </row>
    <row r="127" spans="1:17">
      <c r="A127" s="80" t="s">
        <v>31</v>
      </c>
      <c r="B127" s="4">
        <v>11</v>
      </c>
      <c r="C127" s="4">
        <v>42</v>
      </c>
      <c r="D127" s="7">
        <v>65</v>
      </c>
      <c r="E127" s="7">
        <v>1</v>
      </c>
      <c r="F127" s="7">
        <v>50</v>
      </c>
      <c r="G127" s="11">
        <f t="shared" si="39"/>
        <v>11.7</v>
      </c>
      <c r="H127" s="7">
        <v>50</v>
      </c>
      <c r="I127" s="5">
        <f>G127*D127</f>
        <v>760.5</v>
      </c>
      <c r="J127" s="5">
        <f t="shared" si="43"/>
        <v>710.5</v>
      </c>
      <c r="K127">
        <v>38</v>
      </c>
      <c r="N127" s="83">
        <f>1430+640+100</f>
        <v>2170</v>
      </c>
      <c r="P127" t="s">
        <v>89</v>
      </c>
    </row>
    <row r="128" spans="1:17">
      <c r="A128" s="80" t="s">
        <v>44</v>
      </c>
      <c r="B128" s="4">
        <v>10</v>
      </c>
      <c r="C128" s="4">
        <v>32</v>
      </c>
      <c r="D128" s="7">
        <v>65</v>
      </c>
      <c r="E128" s="7">
        <v>1</v>
      </c>
      <c r="F128" s="7">
        <v>50</v>
      </c>
      <c r="G128" s="11">
        <f t="shared" si="39"/>
        <v>10.533333333333333</v>
      </c>
      <c r="H128" s="7">
        <v>50</v>
      </c>
      <c r="I128" s="5">
        <f>G128*D128</f>
        <v>684.66666666666663</v>
      </c>
      <c r="J128" s="5">
        <f t="shared" si="43"/>
        <v>634.66666666666663</v>
      </c>
      <c r="K128">
        <v>43</v>
      </c>
      <c r="N128" s="51"/>
      <c r="O128" s="1"/>
    </row>
    <row r="129" spans="1:15">
      <c r="A129" s="80" t="s">
        <v>32</v>
      </c>
      <c r="B129" s="4">
        <v>5</v>
      </c>
      <c r="C129" s="4">
        <v>1</v>
      </c>
      <c r="D129" s="7">
        <v>45</v>
      </c>
      <c r="E129" s="7">
        <v>1</v>
      </c>
      <c r="F129" s="7">
        <v>50</v>
      </c>
      <c r="G129" s="11">
        <f t="shared" si="39"/>
        <v>5.0166666666666666</v>
      </c>
      <c r="H129" s="7">
        <v>50</v>
      </c>
      <c r="I129" s="5">
        <f>G129*D129</f>
        <v>225.75</v>
      </c>
      <c r="J129" s="5">
        <f t="shared" si="43"/>
        <v>175.75</v>
      </c>
      <c r="K129">
        <v>21</v>
      </c>
      <c r="N129" s="83"/>
      <c r="O129" s="1"/>
    </row>
    <row r="130" spans="1:15" ht="32" customHeight="1" thickBot="1">
      <c r="A130" t="s">
        <v>17</v>
      </c>
      <c r="H130" s="121">
        <f t="shared" ref="H130:O130" si="44">H19+H27+H35+H43+H51+H59+H67+H75+H83+H91+H99+H107+H114+H11+H3+H122</f>
        <v>4200</v>
      </c>
      <c r="I130" s="121">
        <f t="shared" si="44"/>
        <v>39877.23333333333</v>
      </c>
      <c r="J130" s="121">
        <f t="shared" si="44"/>
        <v>35827.23333333333</v>
      </c>
      <c r="K130" s="122">
        <f t="shared" si="44"/>
        <v>2263</v>
      </c>
      <c r="L130" s="121">
        <f t="shared" si="44"/>
        <v>300</v>
      </c>
      <c r="M130" s="121">
        <f t="shared" si="44"/>
        <v>35827.23333333333</v>
      </c>
      <c r="N130" s="121">
        <f t="shared" si="44"/>
        <v>56969</v>
      </c>
      <c r="O130" s="125">
        <f t="shared" si="44"/>
        <v>2954</v>
      </c>
    </row>
    <row r="131" spans="1:15" ht="16" thickTop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7272-769A-664C-935F-6858724B9AE5}">
  <dimension ref="A1:K13"/>
  <sheetViews>
    <sheetView workbookViewId="0">
      <selection activeCell="G36" sqref="G36"/>
    </sheetView>
  </sheetViews>
  <sheetFormatPr baseColWidth="10" defaultColWidth="8.6640625" defaultRowHeight="15"/>
  <cols>
    <col min="1" max="1" width="11.33203125" bestFit="1" customWidth="1"/>
    <col min="4" max="4" width="12.33203125" bestFit="1" customWidth="1"/>
    <col min="8" max="8" width="12.5" bestFit="1" customWidth="1"/>
    <col min="9" max="10" width="11.33203125" bestFit="1" customWidth="1"/>
    <col min="11" max="11" width="10.33203125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1">
      <c r="A2" t="s">
        <v>10</v>
      </c>
      <c r="B2" s="4">
        <v>41</v>
      </c>
      <c r="C2" s="4">
        <v>54</v>
      </c>
      <c r="D2" s="4">
        <v>45</v>
      </c>
      <c r="E2" s="4">
        <v>5</v>
      </c>
      <c r="F2" s="4">
        <v>50</v>
      </c>
      <c r="G2" s="4">
        <f t="shared" ref="G2:G10" si="0">B2+C2/60</f>
        <v>41.9</v>
      </c>
      <c r="H2" s="4">
        <f t="shared" ref="H2:H10" si="1">E2*F2</f>
        <v>250</v>
      </c>
      <c r="I2" s="5">
        <f t="shared" ref="I2:I10" si="2">G2*D2</f>
        <v>1885.5</v>
      </c>
      <c r="J2" s="5">
        <f t="shared" ref="J2:J10" si="3">I2-H2</f>
        <v>1635.5</v>
      </c>
    </row>
    <row r="3" spans="1:11">
      <c r="A3" t="s">
        <v>11</v>
      </c>
      <c r="B3" s="4">
        <v>37</v>
      </c>
      <c r="C3" s="4">
        <v>3</v>
      </c>
      <c r="D3" s="4">
        <v>45</v>
      </c>
      <c r="E3" s="4">
        <v>4</v>
      </c>
      <c r="F3" s="4">
        <v>50</v>
      </c>
      <c r="G3" s="4">
        <f t="shared" si="0"/>
        <v>37.049999999999997</v>
      </c>
      <c r="H3" s="4">
        <f t="shared" si="1"/>
        <v>200</v>
      </c>
      <c r="I3" s="5">
        <f t="shared" si="2"/>
        <v>1667.2499999999998</v>
      </c>
      <c r="J3" s="5">
        <f t="shared" si="3"/>
        <v>1467.2499999999998</v>
      </c>
    </row>
    <row r="4" spans="1:11">
      <c r="A4" t="s">
        <v>12</v>
      </c>
      <c r="B4" s="4">
        <v>0</v>
      </c>
      <c r="C4" s="4">
        <v>0</v>
      </c>
      <c r="D4" s="4">
        <v>45</v>
      </c>
      <c r="E4" s="4">
        <v>0</v>
      </c>
      <c r="F4" s="4">
        <v>50</v>
      </c>
      <c r="G4" s="4">
        <f t="shared" si="0"/>
        <v>0</v>
      </c>
      <c r="H4" s="4">
        <f t="shared" si="1"/>
        <v>0</v>
      </c>
      <c r="I4" s="5">
        <f t="shared" si="2"/>
        <v>0</v>
      </c>
      <c r="J4" s="5">
        <f t="shared" si="3"/>
        <v>0</v>
      </c>
    </row>
    <row r="5" spans="1:11">
      <c r="A5" t="s">
        <v>13</v>
      </c>
      <c r="B5" s="4">
        <v>0</v>
      </c>
      <c r="C5" s="4">
        <v>0</v>
      </c>
      <c r="D5" s="4">
        <v>55</v>
      </c>
      <c r="E5" s="4">
        <v>0</v>
      </c>
      <c r="F5" s="4">
        <v>50</v>
      </c>
      <c r="G5" s="4">
        <f t="shared" si="0"/>
        <v>0</v>
      </c>
      <c r="H5" s="4">
        <f t="shared" si="1"/>
        <v>0</v>
      </c>
      <c r="I5" s="5">
        <f t="shared" si="2"/>
        <v>0</v>
      </c>
      <c r="J5" s="5">
        <f t="shared" si="3"/>
        <v>0</v>
      </c>
    </row>
    <row r="6" spans="1:11">
      <c r="A6" t="s">
        <v>91</v>
      </c>
      <c r="B6" s="4">
        <v>20</v>
      </c>
      <c r="C6" s="4">
        <v>35</v>
      </c>
      <c r="D6" s="4">
        <v>45</v>
      </c>
      <c r="E6" s="4">
        <v>2</v>
      </c>
      <c r="F6" s="4">
        <v>50</v>
      </c>
      <c r="G6" s="4">
        <f t="shared" si="0"/>
        <v>20.583333333333332</v>
      </c>
      <c r="H6" s="4">
        <f t="shared" si="1"/>
        <v>100</v>
      </c>
      <c r="I6" s="5">
        <f t="shared" si="2"/>
        <v>926.25</v>
      </c>
      <c r="J6" s="5">
        <f t="shared" si="3"/>
        <v>826.25</v>
      </c>
    </row>
    <row r="7" spans="1:11">
      <c r="A7" t="s">
        <v>92</v>
      </c>
      <c r="B7" s="4">
        <v>32</v>
      </c>
      <c r="C7" s="4">
        <v>21</v>
      </c>
      <c r="D7" s="4">
        <v>65</v>
      </c>
      <c r="E7" s="4">
        <v>3</v>
      </c>
      <c r="F7" s="4">
        <v>50</v>
      </c>
      <c r="G7" s="4">
        <f t="shared" si="0"/>
        <v>32.35</v>
      </c>
      <c r="H7" s="4">
        <f t="shared" si="1"/>
        <v>150</v>
      </c>
      <c r="I7" s="5">
        <f t="shared" si="2"/>
        <v>2102.75</v>
      </c>
      <c r="J7" s="5">
        <f t="shared" si="3"/>
        <v>1952.75</v>
      </c>
      <c r="K7" s="1">
        <f>J6+J7</f>
        <v>2779</v>
      </c>
    </row>
    <row r="8" spans="1:11">
      <c r="A8" t="s">
        <v>93</v>
      </c>
      <c r="B8" s="4">
        <v>51</v>
      </c>
      <c r="C8" s="4">
        <v>3</v>
      </c>
      <c r="D8" s="4">
        <v>45</v>
      </c>
      <c r="E8" s="4">
        <v>5</v>
      </c>
      <c r="F8" s="4">
        <v>50</v>
      </c>
      <c r="G8" s="4">
        <f t="shared" si="0"/>
        <v>51.05</v>
      </c>
      <c r="H8" s="4">
        <f t="shared" si="1"/>
        <v>250</v>
      </c>
      <c r="I8" s="5">
        <f t="shared" si="2"/>
        <v>2297.25</v>
      </c>
      <c r="J8" s="5">
        <f t="shared" si="3"/>
        <v>2047.25</v>
      </c>
      <c r="K8" s="1">
        <f>J8+J9</f>
        <v>2664.5833333333335</v>
      </c>
    </row>
    <row r="9" spans="1:11">
      <c r="A9" t="s">
        <v>16</v>
      </c>
      <c r="B9" s="4">
        <v>10</v>
      </c>
      <c r="C9" s="4">
        <v>16</v>
      </c>
      <c r="D9" s="4">
        <v>65</v>
      </c>
      <c r="E9" s="4">
        <v>1</v>
      </c>
      <c r="F9" s="4">
        <v>50</v>
      </c>
      <c r="G9" s="4">
        <f t="shared" si="0"/>
        <v>10.266666666666667</v>
      </c>
      <c r="H9" s="4">
        <f t="shared" si="1"/>
        <v>50</v>
      </c>
      <c r="I9" s="5">
        <f t="shared" si="2"/>
        <v>667.33333333333337</v>
      </c>
      <c r="J9" s="5">
        <f t="shared" si="3"/>
        <v>617.33333333333337</v>
      </c>
    </row>
    <row r="10" spans="1:11">
      <c r="A10" t="s">
        <v>18</v>
      </c>
      <c r="B10" s="4">
        <v>37</v>
      </c>
      <c r="C10" s="4">
        <v>26</v>
      </c>
      <c r="D10" s="4">
        <v>45</v>
      </c>
      <c r="E10" s="4">
        <v>6</v>
      </c>
      <c r="F10" s="4">
        <v>50</v>
      </c>
      <c r="G10" s="4">
        <f t="shared" si="0"/>
        <v>37.43333333333333</v>
      </c>
      <c r="H10" s="4">
        <f t="shared" si="1"/>
        <v>300</v>
      </c>
      <c r="I10" s="5">
        <f t="shared" si="2"/>
        <v>1684.4999999999998</v>
      </c>
      <c r="J10" s="5">
        <f t="shared" si="3"/>
        <v>1384.4999999999998</v>
      </c>
    </row>
    <row r="11" spans="1:11">
      <c r="A11" t="s">
        <v>48</v>
      </c>
      <c r="B11" s="4">
        <v>52</v>
      </c>
      <c r="C11" s="4">
        <v>34</v>
      </c>
      <c r="D11" s="4">
        <v>45</v>
      </c>
      <c r="E11" s="4">
        <v>6</v>
      </c>
      <c r="F11" s="4">
        <v>50</v>
      </c>
      <c r="G11" s="4">
        <f t="shared" ref="G11:G12" si="4">B11+C11/60</f>
        <v>52.56666666666667</v>
      </c>
      <c r="H11" s="4">
        <f t="shared" ref="H11:H12" si="5">E11*F11</f>
        <v>300</v>
      </c>
      <c r="I11" s="5">
        <f t="shared" ref="I11:I12" si="6">G11*D11</f>
        <v>2365.5</v>
      </c>
      <c r="J11" s="5">
        <f t="shared" ref="J11:J12" si="7">I11-H11</f>
        <v>2065.5</v>
      </c>
    </row>
    <row r="12" spans="1:11">
      <c r="A12" t="s">
        <v>50</v>
      </c>
      <c r="B12" s="4">
        <v>57</v>
      </c>
      <c r="C12" s="4">
        <v>54</v>
      </c>
      <c r="D12" s="4">
        <v>45</v>
      </c>
      <c r="E12" s="4">
        <v>6</v>
      </c>
      <c r="F12" s="4">
        <v>50</v>
      </c>
      <c r="G12" s="4">
        <f t="shared" si="4"/>
        <v>57.9</v>
      </c>
      <c r="H12" s="4">
        <f t="shared" si="5"/>
        <v>300</v>
      </c>
      <c r="I12" s="5">
        <f t="shared" si="6"/>
        <v>2605.5</v>
      </c>
      <c r="J12" s="5">
        <f t="shared" si="7"/>
        <v>2305.5</v>
      </c>
    </row>
    <row r="13" spans="1:11" ht="16" thickBot="1">
      <c r="A13" t="s">
        <v>17</v>
      </c>
      <c r="H13">
        <f>SUM(H2:H9)</f>
        <v>1000</v>
      </c>
      <c r="I13" s="3">
        <f>SUM(I2:I12)</f>
        <v>16201.833333333334</v>
      </c>
      <c r="J13" s="3">
        <f>SUM(J2:J12)</f>
        <v>14301.833333333334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DE771-0C80-F849-A0C7-F869DA196F08}">
  <dimension ref="A1:Q52"/>
  <sheetViews>
    <sheetView workbookViewId="0">
      <pane ySplit="1" topLeftCell="A21" activePane="bottomLeft" state="frozen"/>
      <selection pane="bottomLeft" activeCell="Q5" sqref="Q5"/>
    </sheetView>
  </sheetViews>
  <sheetFormatPr baseColWidth="10" defaultColWidth="8.6640625" defaultRowHeight="15"/>
  <cols>
    <col min="1" max="1" width="11.33203125" bestFit="1" customWidth="1"/>
    <col min="4" max="4" width="12.33203125" bestFit="1" customWidth="1"/>
    <col min="6" max="6" width="12.6640625" bestFit="1" customWidth="1"/>
    <col min="7" max="7" width="16.6640625" bestFit="1" customWidth="1"/>
    <col min="8" max="8" width="16.33203125" bestFit="1" customWidth="1"/>
    <col min="9" max="9" width="19.33203125" bestFit="1" customWidth="1"/>
    <col min="10" max="10" width="11.6640625" bestFit="1" customWidth="1"/>
    <col min="11" max="11" width="6" bestFit="1" customWidth="1"/>
    <col min="12" max="12" width="10.33203125" bestFit="1" customWidth="1"/>
    <col min="13" max="13" width="17" bestFit="1" customWidth="1"/>
    <col min="14" max="14" width="15.33203125" bestFit="1" customWidth="1"/>
    <col min="17" max="17" width="11.33203125" bestFit="1" customWidth="1"/>
  </cols>
  <sheetData>
    <row r="1" spans="1:17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</row>
    <row r="2" spans="1:17" ht="19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7" ht="16">
      <c r="A3" s="16" t="s">
        <v>10</v>
      </c>
      <c r="B3" s="8">
        <f>SUM(B4:B7)</f>
        <v>34</v>
      </c>
      <c r="C3" s="8">
        <f>SUM(C4:C7)</f>
        <v>84</v>
      </c>
      <c r="D3" s="8">
        <f>SUM(D4)</f>
        <v>45</v>
      </c>
      <c r="E3" s="8">
        <f>SUM(E4:E7)</f>
        <v>4</v>
      </c>
      <c r="F3" s="8">
        <f>SUM(F4:F7)</f>
        <v>200</v>
      </c>
      <c r="G3" s="13">
        <f t="shared" ref="G3:G7" si="0">B3+C3/60</f>
        <v>35.4</v>
      </c>
      <c r="H3" s="8">
        <f>SUM(H4:H7)</f>
        <v>200</v>
      </c>
      <c r="I3" s="9">
        <f>SUM(I4:I7)</f>
        <v>1593</v>
      </c>
      <c r="J3" s="14">
        <f>SUM(J4:J7)</f>
        <v>1393</v>
      </c>
      <c r="K3" s="8">
        <f>SUM(K4:K7)</f>
        <v>68</v>
      </c>
    </row>
    <row r="4" spans="1:17">
      <c r="A4" s="6">
        <v>46021</v>
      </c>
      <c r="B4" s="4">
        <v>9</v>
      </c>
      <c r="C4" s="4">
        <v>5</v>
      </c>
      <c r="D4" s="4">
        <v>45</v>
      </c>
      <c r="E4" s="4">
        <v>1</v>
      </c>
      <c r="F4" s="4">
        <v>50</v>
      </c>
      <c r="G4" s="10">
        <f t="shared" si="0"/>
        <v>9.0833333333333339</v>
      </c>
      <c r="H4" s="4">
        <v>50</v>
      </c>
      <c r="I4" s="5">
        <f t="shared" ref="I4:I7" si="1">G4*D4</f>
        <v>408.75</v>
      </c>
      <c r="J4" s="5">
        <f>I4-H4</f>
        <v>358.75</v>
      </c>
      <c r="K4">
        <v>20</v>
      </c>
    </row>
    <row r="5" spans="1:17">
      <c r="A5" s="6" t="s">
        <v>94</v>
      </c>
      <c r="B5" s="4">
        <v>10</v>
      </c>
      <c r="C5" s="4">
        <v>34</v>
      </c>
      <c r="D5" s="4">
        <v>45</v>
      </c>
      <c r="E5" s="4">
        <v>1</v>
      </c>
      <c r="F5" s="4">
        <v>50</v>
      </c>
      <c r="G5" s="10">
        <f t="shared" si="0"/>
        <v>10.566666666666666</v>
      </c>
      <c r="H5" s="4">
        <v>50</v>
      </c>
      <c r="I5" s="5">
        <f t="shared" si="1"/>
        <v>475.5</v>
      </c>
      <c r="J5" s="5">
        <f t="shared" ref="J5:J7" si="2">I5-H5</f>
        <v>425.5</v>
      </c>
      <c r="K5">
        <v>20</v>
      </c>
      <c r="Q5" s="1">
        <f>J6+J7+J11+J12+J13+J14+J18+J19+J21+J25+J26+J27+J28+J34+J35+J41+J42+J43+J44+J48+J49+J50+J51</f>
        <v>10124.583333333332</v>
      </c>
    </row>
    <row r="6" spans="1:17">
      <c r="A6" s="6">
        <v>46024</v>
      </c>
      <c r="B6" s="4">
        <v>7</v>
      </c>
      <c r="C6" s="4">
        <v>36</v>
      </c>
      <c r="D6" s="4">
        <v>45</v>
      </c>
      <c r="E6" s="4">
        <v>1</v>
      </c>
      <c r="F6" s="4">
        <v>50</v>
      </c>
      <c r="G6" s="10">
        <f t="shared" si="0"/>
        <v>7.6</v>
      </c>
      <c r="H6" s="4">
        <v>50</v>
      </c>
      <c r="I6" s="5">
        <f t="shared" si="1"/>
        <v>342</v>
      </c>
      <c r="J6" s="5">
        <f t="shared" si="2"/>
        <v>292</v>
      </c>
      <c r="K6">
        <v>14</v>
      </c>
    </row>
    <row r="7" spans="1:17">
      <c r="A7" s="6">
        <v>46025</v>
      </c>
      <c r="B7" s="12">
        <v>8</v>
      </c>
      <c r="C7" s="12">
        <v>9</v>
      </c>
      <c r="D7" s="12">
        <v>45</v>
      </c>
      <c r="E7" s="12">
        <v>1</v>
      </c>
      <c r="F7" s="12">
        <v>50</v>
      </c>
      <c r="G7" s="10">
        <f t="shared" si="0"/>
        <v>8.15</v>
      </c>
      <c r="H7" s="4">
        <v>50</v>
      </c>
      <c r="I7" s="5">
        <f t="shared" si="1"/>
        <v>366.75</v>
      </c>
      <c r="J7" s="5">
        <f t="shared" si="2"/>
        <v>316.75</v>
      </c>
      <c r="K7">
        <v>14</v>
      </c>
      <c r="N7" s="1"/>
      <c r="P7" s="1"/>
    </row>
    <row r="8" spans="1:17" ht="16">
      <c r="A8" s="17" t="s">
        <v>11</v>
      </c>
      <c r="B8" s="18">
        <f>SUM(B9:B14)</f>
        <v>54</v>
      </c>
      <c r="C8" s="18">
        <f>SUM(C9:C14)</f>
        <v>162</v>
      </c>
      <c r="D8" s="18">
        <f>SUM(D9)</f>
        <v>45</v>
      </c>
      <c r="E8" s="18">
        <f>SUM(E9:E14)</f>
        <v>6</v>
      </c>
      <c r="F8" s="18">
        <f>SUM(F9)</f>
        <v>50</v>
      </c>
      <c r="G8" s="19">
        <f>B8+C8/60</f>
        <v>56.7</v>
      </c>
      <c r="H8" s="18">
        <f>SUM(H9:H14)</f>
        <v>300</v>
      </c>
      <c r="I8" s="20">
        <f>SUM(I9:I14)</f>
        <v>2551.5</v>
      </c>
      <c r="J8" s="21">
        <f>SUM(J6:J7)</f>
        <v>608.75</v>
      </c>
      <c r="K8" s="22">
        <f>SUM(K9:K14)</f>
        <v>114</v>
      </c>
    </row>
    <row r="9" spans="1:17">
      <c r="A9" s="6">
        <v>46385</v>
      </c>
      <c r="B9" s="4">
        <v>9</v>
      </c>
      <c r="C9" s="4">
        <v>17</v>
      </c>
      <c r="D9" s="4">
        <v>45</v>
      </c>
      <c r="E9" s="4">
        <v>1</v>
      </c>
      <c r="F9" s="4">
        <v>50</v>
      </c>
      <c r="G9" s="10">
        <f>B9+C9/60</f>
        <v>9.2833333333333332</v>
      </c>
      <c r="H9" s="4">
        <v>50</v>
      </c>
      <c r="I9" s="5">
        <f>G9*D9</f>
        <v>417.75</v>
      </c>
      <c r="J9" s="5">
        <f>I9-H9</f>
        <v>367.75</v>
      </c>
      <c r="K9">
        <v>17</v>
      </c>
    </row>
    <row r="10" spans="1:17">
      <c r="A10" s="6">
        <v>46022</v>
      </c>
      <c r="B10" s="4">
        <v>9</v>
      </c>
      <c r="C10" s="4">
        <v>39</v>
      </c>
      <c r="D10" s="4">
        <v>45</v>
      </c>
      <c r="E10" s="4">
        <v>1</v>
      </c>
      <c r="F10" s="4">
        <v>50</v>
      </c>
      <c r="G10" s="10">
        <f>B10+C10/60</f>
        <v>9.65</v>
      </c>
      <c r="H10" s="4">
        <v>50</v>
      </c>
      <c r="I10" s="5">
        <f>G10*D10</f>
        <v>434.25</v>
      </c>
      <c r="J10" s="5">
        <f t="shared" ref="J10:J13" si="3">I10-H10</f>
        <v>384.25</v>
      </c>
      <c r="K10">
        <v>21</v>
      </c>
    </row>
    <row r="11" spans="1:17">
      <c r="A11" s="6">
        <v>46023</v>
      </c>
      <c r="B11" s="4">
        <v>8</v>
      </c>
      <c r="C11" s="4">
        <v>40</v>
      </c>
      <c r="D11" s="4">
        <v>45</v>
      </c>
      <c r="E11" s="4">
        <v>1</v>
      </c>
      <c r="F11" s="4">
        <v>50</v>
      </c>
      <c r="G11" s="10">
        <f t="shared" ref="G11:G13" si="4">B11+C11/60</f>
        <v>8.6666666666666661</v>
      </c>
      <c r="H11" s="4">
        <v>50</v>
      </c>
      <c r="I11" s="5">
        <f t="shared" ref="I11:I13" si="5">G11*D11</f>
        <v>390</v>
      </c>
      <c r="J11" s="5">
        <f t="shared" si="3"/>
        <v>340</v>
      </c>
      <c r="K11">
        <v>16</v>
      </c>
    </row>
    <row r="12" spans="1:17">
      <c r="A12" s="6">
        <v>46024</v>
      </c>
      <c r="B12" s="4">
        <v>10</v>
      </c>
      <c r="C12" s="4">
        <v>5</v>
      </c>
      <c r="D12" s="4">
        <v>45</v>
      </c>
      <c r="E12" s="4">
        <v>1</v>
      </c>
      <c r="F12" s="4">
        <v>50</v>
      </c>
      <c r="G12" s="10">
        <f t="shared" si="4"/>
        <v>10.083333333333334</v>
      </c>
      <c r="H12" s="4">
        <v>50</v>
      </c>
      <c r="I12" s="5">
        <f t="shared" si="5"/>
        <v>453.75</v>
      </c>
      <c r="J12" s="5">
        <f t="shared" si="3"/>
        <v>403.75</v>
      </c>
      <c r="K12">
        <v>21</v>
      </c>
    </row>
    <row r="13" spans="1:17">
      <c r="A13" s="6">
        <v>46025</v>
      </c>
      <c r="B13" s="4">
        <v>9</v>
      </c>
      <c r="C13" s="4">
        <v>30</v>
      </c>
      <c r="D13" s="4">
        <v>45</v>
      </c>
      <c r="E13" s="4">
        <v>1</v>
      </c>
      <c r="F13" s="4">
        <v>50</v>
      </c>
      <c r="G13" s="10">
        <f t="shared" si="4"/>
        <v>9.5</v>
      </c>
      <c r="H13" s="4">
        <v>50</v>
      </c>
      <c r="I13" s="5">
        <f t="shared" si="5"/>
        <v>427.5</v>
      </c>
      <c r="J13" s="5">
        <f t="shared" si="3"/>
        <v>377.5</v>
      </c>
      <c r="K13">
        <v>22</v>
      </c>
    </row>
    <row r="14" spans="1:17">
      <c r="A14" s="6">
        <v>46026</v>
      </c>
      <c r="B14" s="4">
        <v>9</v>
      </c>
      <c r="C14" s="4">
        <v>31</v>
      </c>
      <c r="D14" s="4">
        <v>45</v>
      </c>
      <c r="E14" s="4">
        <v>1</v>
      </c>
      <c r="F14" s="4">
        <v>50</v>
      </c>
      <c r="G14" s="10">
        <f t="shared" ref="G14" si="6">B14+C14/60</f>
        <v>9.5166666666666675</v>
      </c>
      <c r="H14" s="4">
        <v>50</v>
      </c>
      <c r="I14" s="5">
        <f t="shared" ref="I14" si="7">G14*D14</f>
        <v>428.25000000000006</v>
      </c>
      <c r="J14" s="5">
        <f t="shared" ref="J14" si="8">I14-H14</f>
        <v>378.25000000000006</v>
      </c>
      <c r="K14">
        <v>17</v>
      </c>
    </row>
    <row r="15" spans="1:17" ht="16">
      <c r="A15" s="23" t="s">
        <v>14</v>
      </c>
      <c r="B15" s="24">
        <f>SUM(B16:B21)</f>
        <v>45</v>
      </c>
      <c r="C15" s="24">
        <f>SUM(C16:C21)</f>
        <v>138</v>
      </c>
      <c r="D15" s="24">
        <f>SUM(D16)</f>
        <v>45</v>
      </c>
      <c r="E15" s="24">
        <f>SUM(E16:E21)</f>
        <v>5</v>
      </c>
      <c r="F15" s="24">
        <f>SUM(F16:F20)</f>
        <v>200</v>
      </c>
      <c r="G15" s="25">
        <f t="shared" ref="G15:G51" si="9">B15+C15/60</f>
        <v>47.3</v>
      </c>
      <c r="H15" s="24">
        <f>SUM(H16:H20)</f>
        <v>200</v>
      </c>
      <c r="I15" s="26">
        <f>SUM(I16:I20)</f>
        <v>1999.8333333333333</v>
      </c>
      <c r="J15" s="27">
        <f>SUM(J16:J20)</f>
        <v>1799.8333333333333</v>
      </c>
      <c r="K15" s="24">
        <f>SUM(K16:K21)</f>
        <v>118</v>
      </c>
    </row>
    <row r="16" spans="1:17">
      <c r="A16" t="s">
        <v>95</v>
      </c>
      <c r="B16" s="4">
        <v>10</v>
      </c>
      <c r="C16" s="4">
        <v>8</v>
      </c>
      <c r="D16" s="4">
        <v>45</v>
      </c>
      <c r="E16" s="4">
        <v>1</v>
      </c>
      <c r="F16" s="4">
        <v>50</v>
      </c>
      <c r="G16" s="10">
        <f t="shared" si="9"/>
        <v>10.133333333333333</v>
      </c>
      <c r="H16" s="4">
        <f t="shared" ref="H16:H47" si="10">E16*F16</f>
        <v>50</v>
      </c>
      <c r="I16" s="5">
        <f t="shared" ref="I16:I51" si="11">G16*D16</f>
        <v>456</v>
      </c>
      <c r="J16" s="5">
        <f t="shared" ref="J16:J51" si="12">I16-H16</f>
        <v>406</v>
      </c>
      <c r="K16">
        <v>21</v>
      </c>
    </row>
    <row r="17" spans="1:11">
      <c r="A17" t="s">
        <v>96</v>
      </c>
      <c r="B17" s="4">
        <v>11</v>
      </c>
      <c r="C17" s="4">
        <v>15</v>
      </c>
      <c r="D17" s="4">
        <v>65</v>
      </c>
      <c r="E17" s="4">
        <v>1</v>
      </c>
      <c r="F17" s="4">
        <v>50</v>
      </c>
      <c r="G17" s="10">
        <f t="shared" si="9"/>
        <v>11.25</v>
      </c>
      <c r="H17" s="4">
        <f t="shared" si="10"/>
        <v>50</v>
      </c>
      <c r="I17" s="5">
        <f t="shared" ref="I17:I20" si="13">G17*D17</f>
        <v>731.25</v>
      </c>
      <c r="J17" s="5">
        <f t="shared" ref="J17:J20" si="14">I17-H17</f>
        <v>681.25</v>
      </c>
      <c r="K17">
        <v>32</v>
      </c>
    </row>
    <row r="18" spans="1:11">
      <c r="A18" t="s">
        <v>97</v>
      </c>
      <c r="B18" s="4">
        <v>9</v>
      </c>
      <c r="C18" s="4">
        <v>29</v>
      </c>
      <c r="D18" s="4">
        <v>55</v>
      </c>
      <c r="E18" s="4">
        <v>1</v>
      </c>
      <c r="F18" s="4">
        <v>50</v>
      </c>
      <c r="G18" s="10">
        <f t="shared" si="9"/>
        <v>9.4833333333333325</v>
      </c>
      <c r="H18" s="4">
        <f t="shared" si="10"/>
        <v>50</v>
      </c>
      <c r="I18" s="5">
        <f t="shared" si="13"/>
        <v>521.58333333333326</v>
      </c>
      <c r="J18" s="5">
        <f t="shared" si="14"/>
        <v>471.58333333333326</v>
      </c>
      <c r="K18">
        <v>27</v>
      </c>
    </row>
    <row r="19" spans="1:11">
      <c r="A19" s="6" t="s">
        <v>98</v>
      </c>
      <c r="B19" s="4">
        <v>6</v>
      </c>
      <c r="C19" s="4">
        <v>28</v>
      </c>
      <c r="D19" s="4">
        <v>45</v>
      </c>
      <c r="E19" s="4">
        <v>1</v>
      </c>
      <c r="F19" s="4">
        <v>50</v>
      </c>
      <c r="G19" s="10">
        <f t="shared" si="9"/>
        <v>6.4666666666666668</v>
      </c>
      <c r="H19" s="4">
        <f t="shared" si="10"/>
        <v>50</v>
      </c>
      <c r="I19" s="5">
        <f t="shared" si="13"/>
        <v>291</v>
      </c>
      <c r="J19" s="5">
        <f t="shared" si="14"/>
        <v>241</v>
      </c>
      <c r="K19">
        <v>10</v>
      </c>
    </row>
    <row r="20" spans="1:11">
      <c r="A20" t="s">
        <v>99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10">
        <f t="shared" si="9"/>
        <v>0</v>
      </c>
      <c r="H20" s="4">
        <f t="shared" si="10"/>
        <v>0</v>
      </c>
      <c r="I20" s="5">
        <f t="shared" si="13"/>
        <v>0</v>
      </c>
      <c r="J20" s="5">
        <f t="shared" si="14"/>
        <v>0</v>
      </c>
    </row>
    <row r="21" spans="1:11">
      <c r="A21" t="s">
        <v>100</v>
      </c>
      <c r="B21" s="4">
        <v>9</v>
      </c>
      <c r="C21" s="4">
        <v>58</v>
      </c>
      <c r="D21" s="4">
        <v>55</v>
      </c>
      <c r="E21" s="4">
        <v>1</v>
      </c>
      <c r="F21" s="4">
        <v>50</v>
      </c>
      <c r="G21" s="10">
        <f t="shared" si="9"/>
        <v>9.9666666666666668</v>
      </c>
      <c r="H21" s="4">
        <f t="shared" si="10"/>
        <v>50</v>
      </c>
      <c r="I21" s="5">
        <f t="shared" ref="I21" si="15">G21*D21</f>
        <v>548.16666666666663</v>
      </c>
      <c r="J21" s="5">
        <f t="shared" ref="J21" si="16">I21-H21</f>
        <v>498.16666666666663</v>
      </c>
      <c r="K21">
        <v>28</v>
      </c>
    </row>
    <row r="22" spans="1:11" ht="16">
      <c r="A22" s="28" t="s">
        <v>15</v>
      </c>
      <c r="B22" s="29">
        <f>SUM(B23:B28)</f>
        <v>57</v>
      </c>
      <c r="C22" s="29">
        <f>SUM(C23:C28)</f>
        <v>139</v>
      </c>
      <c r="D22" s="29">
        <f>SUM(D23)</f>
        <v>45</v>
      </c>
      <c r="E22" s="29">
        <f>SUM(E23:E28)</f>
        <v>6</v>
      </c>
      <c r="F22" s="29">
        <f>SUM(F23:F28)</f>
        <v>300</v>
      </c>
      <c r="G22" s="30">
        <f>B22+C22/60</f>
        <v>59.31666666666667</v>
      </c>
      <c r="H22" s="29">
        <f>SUM(H23:H28)</f>
        <v>300</v>
      </c>
      <c r="I22" s="31">
        <f>SUM(I23:I27)</f>
        <v>2416.5</v>
      </c>
      <c r="J22" s="32">
        <f>SUM(J23:J27)</f>
        <v>2166.5</v>
      </c>
      <c r="K22" s="29">
        <f>SUM(K23:K28)</f>
        <v>134</v>
      </c>
    </row>
    <row r="23" spans="1:11">
      <c r="A23" t="s">
        <v>96</v>
      </c>
      <c r="B23" s="4">
        <v>9</v>
      </c>
      <c r="C23" s="4">
        <v>15</v>
      </c>
      <c r="D23" s="4">
        <v>45</v>
      </c>
      <c r="E23" s="4">
        <v>1</v>
      </c>
      <c r="F23" s="4">
        <v>50</v>
      </c>
      <c r="G23" s="10">
        <f>B23+C23/60</f>
        <v>9.25</v>
      </c>
      <c r="H23" s="4">
        <f>E23*F23</f>
        <v>50</v>
      </c>
      <c r="I23" s="5">
        <f>G23*D23</f>
        <v>416.25</v>
      </c>
      <c r="J23" s="5">
        <f>I23-H23</f>
        <v>366.25</v>
      </c>
      <c r="K23">
        <v>20</v>
      </c>
    </row>
    <row r="24" spans="1:11">
      <c r="A24" t="s">
        <v>94</v>
      </c>
      <c r="B24" s="4">
        <v>11</v>
      </c>
      <c r="C24" s="4">
        <v>33</v>
      </c>
      <c r="D24" s="4">
        <v>65</v>
      </c>
      <c r="E24" s="4">
        <v>1</v>
      </c>
      <c r="F24" s="4">
        <v>50</v>
      </c>
      <c r="G24" s="10">
        <f>B24+C24/60</f>
        <v>11.55</v>
      </c>
      <c r="H24" s="4">
        <f>E24*F24</f>
        <v>50</v>
      </c>
      <c r="I24" s="5">
        <f>G24*D24</f>
        <v>750.75</v>
      </c>
      <c r="J24" s="5">
        <f>I24-H24</f>
        <v>700.75</v>
      </c>
      <c r="K24">
        <v>31</v>
      </c>
    </row>
    <row r="25" spans="1:11">
      <c r="A25" t="s">
        <v>97</v>
      </c>
      <c r="B25" s="4">
        <v>10</v>
      </c>
      <c r="C25" s="4">
        <v>13</v>
      </c>
      <c r="D25" s="4">
        <v>45</v>
      </c>
      <c r="E25" s="4">
        <v>1</v>
      </c>
      <c r="F25" s="4">
        <v>50</v>
      </c>
      <c r="G25" s="10">
        <f t="shared" ref="G25:G27" si="17">B25+C25/60</f>
        <v>10.216666666666667</v>
      </c>
      <c r="H25" s="4">
        <f t="shared" ref="H25:H27" si="18">E25*F25</f>
        <v>50</v>
      </c>
      <c r="I25" s="5">
        <f t="shared" ref="I25:I27" si="19">G25*D25</f>
        <v>459.75</v>
      </c>
      <c r="J25" s="5">
        <f t="shared" ref="J25:J27" si="20">I25-H25</f>
        <v>409.75</v>
      </c>
      <c r="K25">
        <v>23</v>
      </c>
    </row>
    <row r="26" spans="1:11">
      <c r="A26" t="s">
        <v>98</v>
      </c>
      <c r="B26" s="4">
        <v>8</v>
      </c>
      <c r="C26" s="4">
        <v>4</v>
      </c>
      <c r="D26" s="4">
        <v>45</v>
      </c>
      <c r="E26" s="4">
        <v>1</v>
      </c>
      <c r="F26" s="4">
        <v>50</v>
      </c>
      <c r="G26" s="10">
        <f t="shared" si="17"/>
        <v>8.0666666666666664</v>
      </c>
      <c r="H26" s="4">
        <f t="shared" si="18"/>
        <v>50</v>
      </c>
      <c r="I26" s="5">
        <f t="shared" si="19"/>
        <v>363</v>
      </c>
      <c r="J26" s="5">
        <f t="shared" si="20"/>
        <v>313</v>
      </c>
      <c r="K26">
        <v>19</v>
      </c>
    </row>
    <row r="27" spans="1:11">
      <c r="A27" t="s">
        <v>99</v>
      </c>
      <c r="B27" s="4">
        <v>9</v>
      </c>
      <c r="C27" s="4">
        <v>29</v>
      </c>
      <c r="D27" s="4">
        <v>45</v>
      </c>
      <c r="E27" s="4">
        <v>1</v>
      </c>
      <c r="F27" s="4">
        <v>50</v>
      </c>
      <c r="G27" s="10">
        <f t="shared" si="17"/>
        <v>9.4833333333333325</v>
      </c>
      <c r="H27" s="4">
        <f t="shared" si="18"/>
        <v>50</v>
      </c>
      <c r="I27" s="5">
        <f t="shared" si="19"/>
        <v>426.74999999999994</v>
      </c>
      <c r="J27" s="5">
        <f t="shared" si="20"/>
        <v>376.74999999999994</v>
      </c>
      <c r="K27">
        <v>20</v>
      </c>
    </row>
    <row r="28" spans="1:11">
      <c r="A28" t="s">
        <v>100</v>
      </c>
      <c r="B28" s="4">
        <v>10</v>
      </c>
      <c r="C28" s="4">
        <v>45</v>
      </c>
      <c r="D28" s="4">
        <v>45</v>
      </c>
      <c r="E28" s="4">
        <v>1</v>
      </c>
      <c r="F28" s="4">
        <v>50</v>
      </c>
      <c r="G28" s="10">
        <f t="shared" ref="G28" si="21">B28+C28/60</f>
        <v>10.75</v>
      </c>
      <c r="H28" s="4">
        <f t="shared" ref="H28" si="22">E28*F28</f>
        <v>50</v>
      </c>
      <c r="I28" s="5">
        <f t="shared" ref="I28" si="23">G28*D28</f>
        <v>483.75</v>
      </c>
      <c r="J28" s="5">
        <f t="shared" ref="J28" si="24">I28-H28</f>
        <v>433.75</v>
      </c>
      <c r="K28">
        <v>21</v>
      </c>
    </row>
    <row r="29" spans="1:11" ht="16">
      <c r="A29" s="33" t="s">
        <v>18</v>
      </c>
      <c r="B29" s="34">
        <f>SUM(B30:B36)</f>
        <v>33</v>
      </c>
      <c r="C29" s="34">
        <f>SUM(C30:C36)</f>
        <v>102</v>
      </c>
      <c r="D29" s="34">
        <f>SUM(D30:D31)</f>
        <v>90</v>
      </c>
      <c r="E29" s="34">
        <f>SUM(E30:E36)</f>
        <v>6</v>
      </c>
      <c r="F29" s="34">
        <f>SUM(F30:F31)</f>
        <v>100</v>
      </c>
      <c r="G29" s="35">
        <f t="shared" si="9"/>
        <v>34.700000000000003</v>
      </c>
      <c r="H29" s="34">
        <f>SUM(H30:H31)</f>
        <v>100</v>
      </c>
      <c r="I29" s="36">
        <f>SUM(I30:I36)</f>
        <v>1561.5</v>
      </c>
      <c r="J29" s="37">
        <f>SUM(J30:J36)</f>
        <v>1311.5</v>
      </c>
      <c r="K29" s="34">
        <f>SUM(K30:K36)</f>
        <v>111</v>
      </c>
    </row>
    <row r="30" spans="1:11">
      <c r="A30" s="6">
        <v>46020</v>
      </c>
      <c r="B30" s="4">
        <v>6</v>
      </c>
      <c r="C30" s="4">
        <v>0</v>
      </c>
      <c r="D30" s="4">
        <v>45</v>
      </c>
      <c r="E30" s="4">
        <v>1</v>
      </c>
      <c r="F30" s="4">
        <v>50</v>
      </c>
      <c r="G30" s="10">
        <f t="shared" si="9"/>
        <v>6</v>
      </c>
      <c r="H30" s="4">
        <f t="shared" si="10"/>
        <v>50</v>
      </c>
      <c r="I30" s="5">
        <f t="shared" si="11"/>
        <v>270</v>
      </c>
      <c r="J30" s="5">
        <f t="shared" si="12"/>
        <v>220</v>
      </c>
      <c r="K30">
        <v>14</v>
      </c>
    </row>
    <row r="31" spans="1:11">
      <c r="A31" s="6">
        <v>46021</v>
      </c>
      <c r="B31" s="4">
        <v>7</v>
      </c>
      <c r="C31" s="4">
        <v>0</v>
      </c>
      <c r="D31" s="4">
        <v>45</v>
      </c>
      <c r="E31" s="4">
        <v>1</v>
      </c>
      <c r="F31" s="4">
        <v>50</v>
      </c>
      <c r="G31" s="10">
        <f t="shared" ref="G31:G36" si="25">B31+C31/60</f>
        <v>7</v>
      </c>
      <c r="H31" s="4">
        <f t="shared" ref="H31:H34" si="26">E31*F31</f>
        <v>50</v>
      </c>
      <c r="I31" s="5">
        <f t="shared" ref="I31" si="27">G31*D31</f>
        <v>315</v>
      </c>
      <c r="J31" s="5">
        <f t="shared" ref="J31" si="28">I31-H31</f>
        <v>265</v>
      </c>
      <c r="K31">
        <v>20</v>
      </c>
    </row>
    <row r="32" spans="1:11">
      <c r="A32" s="6">
        <v>46022</v>
      </c>
      <c r="B32" s="4">
        <v>7</v>
      </c>
      <c r="C32" s="4">
        <v>20</v>
      </c>
      <c r="D32" s="4">
        <v>45</v>
      </c>
      <c r="E32" s="4">
        <v>1</v>
      </c>
      <c r="F32" s="4">
        <v>50</v>
      </c>
      <c r="G32" s="10">
        <f t="shared" si="25"/>
        <v>7.333333333333333</v>
      </c>
      <c r="H32" s="4">
        <f t="shared" si="26"/>
        <v>50</v>
      </c>
      <c r="I32" s="5">
        <f t="shared" ref="I32:I34" si="29">G32*D32</f>
        <v>330</v>
      </c>
      <c r="J32" s="5">
        <f t="shared" ref="J32:J34" si="30">I32-H32</f>
        <v>280</v>
      </c>
      <c r="K32">
        <v>22</v>
      </c>
    </row>
    <row r="33" spans="1:13">
      <c r="A33" s="6">
        <v>46023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10">
        <f t="shared" si="25"/>
        <v>0</v>
      </c>
      <c r="H33" s="4">
        <f t="shared" si="26"/>
        <v>0</v>
      </c>
      <c r="I33" s="5">
        <f t="shared" si="29"/>
        <v>0</v>
      </c>
      <c r="J33" s="5">
        <f t="shared" si="30"/>
        <v>0</v>
      </c>
      <c r="K33">
        <v>0</v>
      </c>
    </row>
    <row r="34" spans="1:13">
      <c r="A34" s="6">
        <v>46024</v>
      </c>
      <c r="B34" s="4">
        <v>7</v>
      </c>
      <c r="C34" s="4">
        <v>41</v>
      </c>
      <c r="D34" s="4">
        <v>45</v>
      </c>
      <c r="E34" s="4">
        <v>1</v>
      </c>
      <c r="F34" s="4">
        <v>50</v>
      </c>
      <c r="G34" s="10">
        <f t="shared" si="25"/>
        <v>7.6833333333333336</v>
      </c>
      <c r="H34" s="4">
        <f t="shared" si="26"/>
        <v>50</v>
      </c>
      <c r="I34" s="5">
        <f t="shared" si="29"/>
        <v>345.75</v>
      </c>
      <c r="J34" s="5">
        <f t="shared" si="30"/>
        <v>295.75</v>
      </c>
      <c r="K34">
        <v>22</v>
      </c>
    </row>
    <row r="35" spans="1:13">
      <c r="A35" s="6">
        <v>46025</v>
      </c>
      <c r="B35" s="4">
        <v>6</v>
      </c>
      <c r="C35" s="4">
        <v>41</v>
      </c>
      <c r="D35" s="4">
        <v>45</v>
      </c>
      <c r="E35" s="4">
        <v>1</v>
      </c>
      <c r="F35" s="4">
        <v>50</v>
      </c>
      <c r="G35" s="10">
        <f t="shared" si="25"/>
        <v>6.6833333333333336</v>
      </c>
      <c r="H35" s="4">
        <v>50</v>
      </c>
      <c r="I35" s="5">
        <f t="shared" ref="I35:I36" si="31">G35*D35</f>
        <v>300.75</v>
      </c>
      <c r="J35" s="5">
        <f t="shared" ref="J35:J36" si="32">I35-H35</f>
        <v>250.75</v>
      </c>
      <c r="K35">
        <v>16</v>
      </c>
    </row>
    <row r="36" spans="1:13">
      <c r="A36" s="6" t="s">
        <v>100</v>
      </c>
      <c r="B36" s="4"/>
      <c r="C36" s="4"/>
      <c r="D36" s="4"/>
      <c r="E36" s="4">
        <v>1</v>
      </c>
      <c r="F36" s="4">
        <v>50</v>
      </c>
      <c r="G36" s="10">
        <f t="shared" si="25"/>
        <v>0</v>
      </c>
      <c r="H36" s="4"/>
      <c r="I36" s="5">
        <f t="shared" si="31"/>
        <v>0</v>
      </c>
      <c r="J36" s="5">
        <f t="shared" si="32"/>
        <v>0</v>
      </c>
      <c r="K36">
        <v>17</v>
      </c>
    </row>
    <row r="37" spans="1:13" ht="16">
      <c r="A37" s="38" t="s">
        <v>48</v>
      </c>
      <c r="B37" s="39">
        <f>SUM(B38:B44)</f>
        <v>62</v>
      </c>
      <c r="C37" s="39">
        <f>SUM(C38:C44)</f>
        <v>222</v>
      </c>
      <c r="D37" s="39">
        <f>SUM(D38)</f>
        <v>45</v>
      </c>
      <c r="E37" s="39">
        <f>SUM(E38:E44)</f>
        <v>7</v>
      </c>
      <c r="F37" s="39">
        <f t="shared" ref="F37" si="33">SUM(F38:F39)</f>
        <v>100</v>
      </c>
      <c r="G37" s="40">
        <f t="shared" si="9"/>
        <v>65.7</v>
      </c>
      <c r="H37" s="39">
        <f>SUM(H38:H44)</f>
        <v>350</v>
      </c>
      <c r="I37" s="41">
        <f>SUM(I38:I44)</f>
        <v>3165.5</v>
      </c>
      <c r="J37" s="42">
        <f>SUM(J38:J44)</f>
        <v>2815.5</v>
      </c>
      <c r="K37" s="39">
        <f>SUM(K38:K44)</f>
        <v>148</v>
      </c>
    </row>
    <row r="38" spans="1:13">
      <c r="A38" s="6">
        <v>46020</v>
      </c>
      <c r="B38" s="4">
        <v>10</v>
      </c>
      <c r="C38" s="4">
        <v>36</v>
      </c>
      <c r="D38" s="4">
        <v>45</v>
      </c>
      <c r="E38" s="4">
        <v>1</v>
      </c>
      <c r="F38" s="4">
        <v>50</v>
      </c>
      <c r="G38" s="10">
        <f t="shared" si="9"/>
        <v>10.6</v>
      </c>
      <c r="H38" s="4">
        <f>F38*E38</f>
        <v>50</v>
      </c>
      <c r="I38" s="5">
        <f t="shared" si="11"/>
        <v>477</v>
      </c>
      <c r="J38" s="5">
        <f>I38-H38</f>
        <v>427</v>
      </c>
      <c r="K38">
        <v>22</v>
      </c>
    </row>
    <row r="39" spans="1:13">
      <c r="A39" s="6">
        <v>46021</v>
      </c>
      <c r="B39" s="4">
        <v>9</v>
      </c>
      <c r="C39" s="4">
        <v>48</v>
      </c>
      <c r="D39" s="4">
        <v>45</v>
      </c>
      <c r="E39" s="4">
        <v>1</v>
      </c>
      <c r="F39" s="4">
        <v>50</v>
      </c>
      <c r="G39" s="10">
        <f t="shared" si="9"/>
        <v>9.8000000000000007</v>
      </c>
      <c r="H39" s="4">
        <v>50</v>
      </c>
      <c r="I39" s="5">
        <f t="shared" si="11"/>
        <v>441.00000000000006</v>
      </c>
      <c r="J39" s="5">
        <f>I39-H39</f>
        <v>391.00000000000006</v>
      </c>
      <c r="K39">
        <v>20</v>
      </c>
    </row>
    <row r="40" spans="1:13">
      <c r="A40" s="6" t="s">
        <v>94</v>
      </c>
      <c r="B40" s="4">
        <v>6</v>
      </c>
      <c r="C40" s="4">
        <v>7</v>
      </c>
      <c r="D40" s="4">
        <v>45</v>
      </c>
      <c r="E40" s="4">
        <v>1</v>
      </c>
      <c r="F40" s="4">
        <v>50</v>
      </c>
      <c r="G40" s="10">
        <f t="shared" si="9"/>
        <v>6.1166666666666663</v>
      </c>
      <c r="H40" s="4">
        <v>50</v>
      </c>
      <c r="I40" s="5">
        <f t="shared" si="11"/>
        <v>275.25</v>
      </c>
      <c r="J40" s="5">
        <f t="shared" ref="J40:J44" si="34">I40-H40</f>
        <v>225.25</v>
      </c>
      <c r="K40">
        <v>20</v>
      </c>
    </row>
    <row r="41" spans="1:13">
      <c r="A41" s="6">
        <v>46023</v>
      </c>
      <c r="B41" s="4">
        <v>8</v>
      </c>
      <c r="C41" s="4">
        <v>33</v>
      </c>
      <c r="D41" s="4">
        <v>45</v>
      </c>
      <c r="E41" s="4">
        <v>1</v>
      </c>
      <c r="F41" s="4">
        <v>50</v>
      </c>
      <c r="G41" s="10">
        <f t="shared" si="9"/>
        <v>8.5500000000000007</v>
      </c>
      <c r="H41" s="4">
        <v>50</v>
      </c>
      <c r="I41" s="5">
        <f t="shared" si="11"/>
        <v>384.75000000000006</v>
      </c>
      <c r="J41" s="5">
        <f t="shared" si="34"/>
        <v>334.75000000000006</v>
      </c>
      <c r="K41">
        <v>13</v>
      </c>
    </row>
    <row r="42" spans="1:13">
      <c r="A42" s="6">
        <v>46024</v>
      </c>
      <c r="B42" s="4">
        <v>10</v>
      </c>
      <c r="C42" s="4">
        <v>11</v>
      </c>
      <c r="D42" s="4">
        <v>55</v>
      </c>
      <c r="E42" s="4">
        <v>1</v>
      </c>
      <c r="F42" s="4">
        <v>50</v>
      </c>
      <c r="G42" s="10">
        <f t="shared" si="9"/>
        <v>10.183333333333334</v>
      </c>
      <c r="H42" s="4">
        <v>50</v>
      </c>
      <c r="I42" s="5">
        <f t="shared" si="11"/>
        <v>560.08333333333337</v>
      </c>
      <c r="J42" s="5">
        <f t="shared" si="34"/>
        <v>510.08333333333337</v>
      </c>
      <c r="K42">
        <v>28</v>
      </c>
    </row>
    <row r="43" spans="1:13">
      <c r="A43" s="6">
        <v>46025</v>
      </c>
      <c r="B43" s="4">
        <v>9</v>
      </c>
      <c r="C43" s="4">
        <v>44</v>
      </c>
      <c r="D43" s="4">
        <v>45</v>
      </c>
      <c r="E43" s="4">
        <v>1</v>
      </c>
      <c r="F43" s="4">
        <v>50</v>
      </c>
      <c r="G43" s="10">
        <f t="shared" si="9"/>
        <v>9.7333333333333325</v>
      </c>
      <c r="H43" s="4">
        <v>50</v>
      </c>
      <c r="I43" s="5">
        <f t="shared" si="11"/>
        <v>437.99999999999994</v>
      </c>
      <c r="J43" s="5">
        <f t="shared" si="34"/>
        <v>387.99999999999994</v>
      </c>
      <c r="K43">
        <v>16</v>
      </c>
    </row>
    <row r="44" spans="1:13">
      <c r="A44" s="6">
        <v>46026</v>
      </c>
      <c r="B44" s="4">
        <v>10</v>
      </c>
      <c r="C44" s="4">
        <v>43</v>
      </c>
      <c r="D44" s="4">
        <v>55</v>
      </c>
      <c r="E44" s="4">
        <v>1</v>
      </c>
      <c r="F44" s="4">
        <v>50</v>
      </c>
      <c r="G44" s="10">
        <f t="shared" si="9"/>
        <v>10.716666666666667</v>
      </c>
      <c r="H44" s="4">
        <v>50</v>
      </c>
      <c r="I44" s="5">
        <f t="shared" si="11"/>
        <v>589.41666666666663</v>
      </c>
      <c r="J44" s="5">
        <f t="shared" si="34"/>
        <v>539.41666666666663</v>
      </c>
      <c r="K44">
        <v>29</v>
      </c>
    </row>
    <row r="45" spans="1:13" ht="16">
      <c r="A45" s="43" t="s">
        <v>50</v>
      </c>
      <c r="B45" s="44">
        <f>SUM(B46:B51)</f>
        <v>68</v>
      </c>
      <c r="C45" s="44">
        <f>SUM(C46:C51)</f>
        <v>250</v>
      </c>
      <c r="D45" s="44">
        <f>SUM(D46)</f>
        <v>65</v>
      </c>
      <c r="E45" s="44">
        <f>SUM(E46:E51)</f>
        <v>6</v>
      </c>
      <c r="F45" s="44">
        <f>SUM(F46:F51)</f>
        <v>300</v>
      </c>
      <c r="G45" s="45">
        <f t="shared" si="9"/>
        <v>72.166666666666671</v>
      </c>
      <c r="H45" s="44">
        <f>SUM(H46:H51)</f>
        <v>300</v>
      </c>
      <c r="I45" s="46">
        <f>SUM(I46:I51)</f>
        <v>4582</v>
      </c>
      <c r="J45" s="47">
        <f>SUM(J46:J51)</f>
        <v>4282</v>
      </c>
      <c r="K45" s="44">
        <f>SUM(K46:K51)</f>
        <v>187</v>
      </c>
      <c r="L45" s="5">
        <v>300</v>
      </c>
      <c r="M45" s="48">
        <f>J45+300</f>
        <v>4582</v>
      </c>
    </row>
    <row r="46" spans="1:13">
      <c r="A46" s="6">
        <v>46020</v>
      </c>
      <c r="B46" s="7">
        <v>12</v>
      </c>
      <c r="C46" s="7">
        <v>46</v>
      </c>
      <c r="D46" s="7">
        <v>65</v>
      </c>
      <c r="E46" s="7">
        <v>1</v>
      </c>
      <c r="F46" s="7">
        <v>50</v>
      </c>
      <c r="G46" s="11">
        <f t="shared" si="9"/>
        <v>12.766666666666667</v>
      </c>
      <c r="H46" s="7">
        <f t="shared" si="10"/>
        <v>50</v>
      </c>
      <c r="I46" s="5">
        <f t="shared" si="11"/>
        <v>829.83333333333337</v>
      </c>
      <c r="J46" s="5">
        <f t="shared" si="12"/>
        <v>779.83333333333337</v>
      </c>
      <c r="K46">
        <v>35</v>
      </c>
    </row>
    <row r="47" spans="1:13">
      <c r="A47" s="6">
        <v>46021</v>
      </c>
      <c r="B47" s="4">
        <v>10</v>
      </c>
      <c r="C47" s="4">
        <v>53</v>
      </c>
      <c r="D47" s="4">
        <v>55</v>
      </c>
      <c r="E47" s="4">
        <v>1</v>
      </c>
      <c r="F47" s="4">
        <v>50</v>
      </c>
      <c r="G47" s="10">
        <f t="shared" si="9"/>
        <v>10.883333333333333</v>
      </c>
      <c r="H47" s="4">
        <f t="shared" si="10"/>
        <v>50</v>
      </c>
      <c r="I47" s="5">
        <f t="shared" si="11"/>
        <v>598.58333333333326</v>
      </c>
      <c r="J47" s="5">
        <f t="shared" si="12"/>
        <v>548.58333333333326</v>
      </c>
      <c r="K47">
        <v>27</v>
      </c>
    </row>
    <row r="48" spans="1:13">
      <c r="A48" s="6" t="s">
        <v>94</v>
      </c>
      <c r="B48" s="4">
        <v>13</v>
      </c>
      <c r="C48" s="4">
        <v>57</v>
      </c>
      <c r="D48" s="4">
        <v>65</v>
      </c>
      <c r="E48" s="4">
        <v>1</v>
      </c>
      <c r="F48" s="4">
        <v>50</v>
      </c>
      <c r="G48" s="10">
        <f t="shared" si="9"/>
        <v>13.95</v>
      </c>
      <c r="H48" s="4">
        <v>50</v>
      </c>
      <c r="I48" s="5">
        <f t="shared" si="11"/>
        <v>906.75</v>
      </c>
      <c r="J48" s="5">
        <f t="shared" si="12"/>
        <v>856.75</v>
      </c>
      <c r="K48">
        <v>33</v>
      </c>
    </row>
    <row r="49" spans="1:13">
      <c r="A49" s="6">
        <v>46024</v>
      </c>
      <c r="B49" s="4">
        <v>10</v>
      </c>
      <c r="C49" s="4">
        <v>38</v>
      </c>
      <c r="D49" s="4">
        <v>65</v>
      </c>
      <c r="E49" s="4">
        <v>1</v>
      </c>
      <c r="F49" s="4">
        <v>50</v>
      </c>
      <c r="G49" s="10">
        <f t="shared" si="9"/>
        <v>10.633333333333333</v>
      </c>
      <c r="H49" s="4">
        <v>50</v>
      </c>
      <c r="I49" s="5">
        <f t="shared" si="11"/>
        <v>691.16666666666663</v>
      </c>
      <c r="J49" s="5">
        <f t="shared" si="12"/>
        <v>641.16666666666663</v>
      </c>
      <c r="K49">
        <v>30</v>
      </c>
    </row>
    <row r="50" spans="1:13">
      <c r="A50" s="6">
        <v>46025</v>
      </c>
      <c r="B50" s="4">
        <v>11</v>
      </c>
      <c r="C50" s="4">
        <v>39</v>
      </c>
      <c r="D50" s="4">
        <v>65</v>
      </c>
      <c r="E50" s="4">
        <v>1</v>
      </c>
      <c r="F50" s="4">
        <v>50</v>
      </c>
      <c r="G50" s="10">
        <f t="shared" si="9"/>
        <v>11.65</v>
      </c>
      <c r="H50" s="4">
        <v>50</v>
      </c>
      <c r="I50" s="5">
        <f t="shared" si="11"/>
        <v>757.25</v>
      </c>
      <c r="J50" s="5">
        <f t="shared" si="12"/>
        <v>707.25</v>
      </c>
      <c r="K50">
        <v>32</v>
      </c>
    </row>
    <row r="51" spans="1:13">
      <c r="A51" s="6">
        <v>46026</v>
      </c>
      <c r="B51" s="4">
        <v>12</v>
      </c>
      <c r="C51" s="4">
        <v>17</v>
      </c>
      <c r="D51" s="4">
        <v>65</v>
      </c>
      <c r="E51" s="4">
        <v>1</v>
      </c>
      <c r="F51" s="4">
        <v>50</v>
      </c>
      <c r="G51" s="10">
        <f t="shared" si="9"/>
        <v>12.283333333333333</v>
      </c>
      <c r="H51" s="4">
        <v>50</v>
      </c>
      <c r="I51" s="5">
        <f t="shared" si="11"/>
        <v>798.41666666666663</v>
      </c>
      <c r="J51" s="5">
        <f t="shared" si="12"/>
        <v>748.41666666666663</v>
      </c>
      <c r="K51">
        <v>30</v>
      </c>
    </row>
    <row r="52" spans="1:13" ht="16" thickBot="1">
      <c r="A52" t="s">
        <v>17</v>
      </c>
      <c r="H52" s="3">
        <f>H3+H8+H15+H22+H29+H37+H45</f>
        <v>1750</v>
      </c>
      <c r="I52" s="3">
        <f>I3+I8+I15+I22+I29+I37+I45</f>
        <v>17869.833333333332</v>
      </c>
      <c r="J52" s="3">
        <f>J3+J8+J15+J22+J29+J37+J45</f>
        <v>14377.083333333332</v>
      </c>
      <c r="M52" s="50">
        <f>J52+L45</f>
        <v>14677.083333333332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A56C-C769-9648-967A-8FD6DC5AA055}">
  <dimension ref="A1:Q64"/>
  <sheetViews>
    <sheetView workbookViewId="0">
      <pane xSplit="1" ySplit="1" topLeftCell="B70" activePane="bottomRight" state="frozen"/>
      <selection pane="topRight" activeCell="B1" sqref="B1"/>
      <selection pane="bottomLeft" activeCell="A2" sqref="A2"/>
      <selection pane="bottomRight" activeCell="C21" sqref="C21"/>
    </sheetView>
  </sheetViews>
  <sheetFormatPr baseColWidth="10" defaultColWidth="8.6640625" defaultRowHeight="15"/>
  <cols>
    <col min="1" max="1" width="18.33203125" bestFit="1" customWidth="1"/>
    <col min="3" max="3" width="13.33203125" customWidth="1"/>
    <col min="4" max="4" width="17.6640625" customWidth="1"/>
    <col min="6" max="6" width="16.6640625" customWidth="1"/>
    <col min="7" max="7" width="19" customWidth="1"/>
    <col min="8" max="8" width="18" customWidth="1"/>
    <col min="9" max="9" width="20.5" customWidth="1"/>
    <col min="10" max="10" width="13.6640625" customWidth="1"/>
    <col min="11" max="11" width="6" bestFit="1" customWidth="1"/>
    <col min="12" max="12" width="10.33203125" bestFit="1" customWidth="1"/>
    <col min="13" max="13" width="29.6640625" customWidth="1"/>
    <col min="14" max="14" width="15.33203125" bestFit="1" customWidth="1"/>
    <col min="15" max="15" width="22.6640625" bestFit="1" customWidth="1"/>
    <col min="16" max="16" width="15.6640625" bestFit="1" customWidth="1"/>
  </cols>
  <sheetData>
    <row r="1" spans="1:16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49"/>
    </row>
    <row r="2" spans="1:16" ht="20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6" s="54" customFormat="1" ht="20" thickBot="1">
      <c r="A3" s="72" t="s">
        <v>101</v>
      </c>
      <c r="B3" s="44">
        <f>SUM(B4:B8)</f>
        <v>41</v>
      </c>
      <c r="C3" s="44">
        <f>SUM(C4:C8)</f>
        <v>127</v>
      </c>
      <c r="D3" s="44">
        <f>SUM(D4)</f>
        <v>45</v>
      </c>
      <c r="E3" s="44">
        <f>SUM(E4:E8)</f>
        <v>5</v>
      </c>
      <c r="F3" s="44">
        <f>SUM(F4:F8)</f>
        <v>250</v>
      </c>
      <c r="G3" s="67">
        <f t="shared" ref="G3:G7" si="0">B3+C3/60</f>
        <v>43.116666666666667</v>
      </c>
      <c r="H3" s="44">
        <f>SUM(H4:H8)</f>
        <v>250</v>
      </c>
      <c r="I3" s="46">
        <f>SUM(I4:I8)</f>
        <v>1940.25</v>
      </c>
      <c r="J3" s="47">
        <f>SUM(J4:J8)</f>
        <v>1690.25</v>
      </c>
      <c r="K3" s="44">
        <f>SUM(K4:K8)</f>
        <v>100</v>
      </c>
      <c r="L3" s="46">
        <v>0</v>
      </c>
      <c r="M3" s="69">
        <f>J3+L3</f>
        <v>1690.25</v>
      </c>
      <c r="N3" s="52">
        <f>SUM(N4:N8)</f>
        <v>2150</v>
      </c>
      <c r="O3" s="53">
        <f>2162-N3</f>
        <v>12</v>
      </c>
    </row>
    <row r="4" spans="1:16">
      <c r="A4" s="6">
        <v>46028</v>
      </c>
      <c r="B4" s="4">
        <v>8</v>
      </c>
      <c r="C4" s="4">
        <v>17</v>
      </c>
      <c r="D4" s="4">
        <v>45</v>
      </c>
      <c r="E4" s="4">
        <v>1</v>
      </c>
      <c r="F4" s="4">
        <v>50</v>
      </c>
      <c r="G4" s="10">
        <f t="shared" si="0"/>
        <v>8.2833333333333332</v>
      </c>
      <c r="H4" s="4">
        <v>50</v>
      </c>
      <c r="I4" s="5">
        <f t="shared" ref="I4:I7" si="1">G4*D4</f>
        <v>372.75</v>
      </c>
      <c r="J4" s="5">
        <f>I4-H4</f>
        <v>322.75</v>
      </c>
      <c r="K4">
        <v>13</v>
      </c>
      <c r="N4" s="51">
        <v>370</v>
      </c>
    </row>
    <row r="5" spans="1:16">
      <c r="A5" s="6">
        <v>46029</v>
      </c>
      <c r="B5" s="4">
        <v>8</v>
      </c>
      <c r="C5" s="4">
        <v>51</v>
      </c>
      <c r="D5" s="4">
        <v>45</v>
      </c>
      <c r="E5" s="4">
        <v>1</v>
      </c>
      <c r="F5" s="4">
        <v>50</v>
      </c>
      <c r="G5" s="10">
        <f t="shared" si="0"/>
        <v>8.85</v>
      </c>
      <c r="H5" s="4">
        <v>50</v>
      </c>
      <c r="I5" s="5">
        <f t="shared" si="1"/>
        <v>398.25</v>
      </c>
      <c r="J5" s="5">
        <f t="shared" ref="J5:J7" si="2">I5-H5</f>
        <v>348.25</v>
      </c>
      <c r="K5">
        <v>17</v>
      </c>
      <c r="N5" s="51">
        <v>300</v>
      </c>
    </row>
    <row r="6" spans="1:16">
      <c r="A6" s="6">
        <v>46030</v>
      </c>
      <c r="B6" s="4">
        <v>8</v>
      </c>
      <c r="C6" s="4">
        <v>9</v>
      </c>
      <c r="D6" s="4">
        <v>45</v>
      </c>
      <c r="E6" s="4">
        <v>1</v>
      </c>
      <c r="F6" s="4">
        <v>50</v>
      </c>
      <c r="G6" s="10">
        <f t="shared" si="0"/>
        <v>8.15</v>
      </c>
      <c r="H6" s="4">
        <v>50</v>
      </c>
      <c r="I6" s="5">
        <f t="shared" si="1"/>
        <v>366.75</v>
      </c>
      <c r="J6" s="5">
        <f t="shared" si="2"/>
        <v>316.75</v>
      </c>
      <c r="K6">
        <v>22</v>
      </c>
      <c r="N6" s="51">
        <f>250+160</f>
        <v>410</v>
      </c>
    </row>
    <row r="7" spans="1:16">
      <c r="A7" s="6">
        <v>46031</v>
      </c>
      <c r="B7" s="12">
        <v>8</v>
      </c>
      <c r="C7" s="12">
        <v>3</v>
      </c>
      <c r="D7" s="12">
        <v>45</v>
      </c>
      <c r="E7" s="12">
        <v>1</v>
      </c>
      <c r="F7" s="12">
        <v>50</v>
      </c>
      <c r="G7" s="10">
        <f t="shared" si="0"/>
        <v>8.0500000000000007</v>
      </c>
      <c r="H7" s="4">
        <v>50</v>
      </c>
      <c r="I7" s="5">
        <f t="shared" si="1"/>
        <v>362.25000000000006</v>
      </c>
      <c r="J7" s="5">
        <f t="shared" si="2"/>
        <v>312.25000000000006</v>
      </c>
      <c r="K7">
        <v>23</v>
      </c>
      <c r="N7" s="51">
        <v>370</v>
      </c>
    </row>
    <row r="8" spans="1:16" ht="16" thickBot="1">
      <c r="A8" s="6">
        <v>46032</v>
      </c>
      <c r="B8" s="12">
        <v>9</v>
      </c>
      <c r="C8" s="12">
        <v>47</v>
      </c>
      <c r="D8" s="12">
        <v>45</v>
      </c>
      <c r="E8" s="12">
        <v>1</v>
      </c>
      <c r="F8" s="12">
        <v>50</v>
      </c>
      <c r="G8" s="10">
        <f t="shared" ref="G8" si="3">B8+C8/60</f>
        <v>9.7833333333333332</v>
      </c>
      <c r="H8" s="4">
        <v>50</v>
      </c>
      <c r="I8" s="5">
        <f t="shared" ref="I8" si="4">G8*D8</f>
        <v>440.25</v>
      </c>
      <c r="J8" s="5">
        <f t="shared" ref="J8" si="5">I8-H8</f>
        <v>390.25</v>
      </c>
      <c r="K8">
        <v>25</v>
      </c>
      <c r="N8" s="51">
        <v>700</v>
      </c>
    </row>
    <row r="9" spans="1:16" s="59" customFormat="1" ht="20" thickBot="1">
      <c r="A9" s="71" t="s">
        <v>102</v>
      </c>
      <c r="B9" s="73">
        <f>SUM(B10:B16)</f>
        <v>55</v>
      </c>
      <c r="C9" s="73">
        <f>SUM(C10:C16)</f>
        <v>170</v>
      </c>
      <c r="D9" s="73">
        <f>SUM(D10)</f>
        <v>45</v>
      </c>
      <c r="E9" s="73">
        <f>SUM(E10:E16)</f>
        <v>6</v>
      </c>
      <c r="F9" s="73">
        <f>SUM(F10:F16)</f>
        <v>300</v>
      </c>
      <c r="G9" s="68">
        <f>B9+C9/60</f>
        <v>57.833333333333336</v>
      </c>
      <c r="H9" s="73">
        <f>SUM(H10:H16)</f>
        <v>300</v>
      </c>
      <c r="I9" s="74">
        <f>SUM(I10:I16)</f>
        <v>2602.5</v>
      </c>
      <c r="J9" s="75">
        <f>SUM(J10:J16)</f>
        <v>2302.5</v>
      </c>
      <c r="K9" s="56">
        <f>SUM(K10:K15)</f>
        <v>91</v>
      </c>
      <c r="L9" s="57">
        <v>0</v>
      </c>
      <c r="M9" s="70">
        <f>J9+L9</f>
        <v>2302.5</v>
      </c>
      <c r="N9" s="76">
        <f>SUM(N10:N16)</f>
        <v>3391</v>
      </c>
      <c r="O9" s="60">
        <f>3843-N9</f>
        <v>452</v>
      </c>
    </row>
    <row r="10" spans="1:16">
      <c r="A10" s="6">
        <v>46027</v>
      </c>
      <c r="B10" s="4">
        <v>9</v>
      </c>
      <c r="C10" s="4">
        <v>33</v>
      </c>
      <c r="D10" s="4">
        <v>45</v>
      </c>
      <c r="E10" s="4">
        <v>1</v>
      </c>
      <c r="F10" s="4">
        <v>50</v>
      </c>
      <c r="G10" s="10">
        <f>B10+C10/60</f>
        <v>9.5500000000000007</v>
      </c>
      <c r="H10" s="4">
        <v>50</v>
      </c>
      <c r="I10" s="5">
        <f>G10*D10</f>
        <v>429.75000000000006</v>
      </c>
      <c r="J10" s="5">
        <f>I10-H10</f>
        <v>379.75000000000006</v>
      </c>
      <c r="K10">
        <v>18</v>
      </c>
      <c r="N10" s="51">
        <v>806</v>
      </c>
    </row>
    <row r="11" spans="1:16">
      <c r="A11" s="6">
        <v>46028</v>
      </c>
      <c r="B11" s="4"/>
      <c r="C11" s="4"/>
      <c r="D11" s="4">
        <v>45</v>
      </c>
      <c r="E11" s="4">
        <v>0</v>
      </c>
      <c r="F11" s="4">
        <v>0</v>
      </c>
      <c r="G11" s="10">
        <f>B11+C11/60</f>
        <v>0</v>
      </c>
      <c r="H11" s="4">
        <v>0</v>
      </c>
      <c r="I11" s="5">
        <f>G11*D11</f>
        <v>0</v>
      </c>
      <c r="J11" s="5">
        <f t="shared" ref="J11:J15" si="6">I11-H11</f>
        <v>0</v>
      </c>
      <c r="N11" s="51">
        <v>0</v>
      </c>
    </row>
    <row r="12" spans="1:16">
      <c r="A12" s="6">
        <v>46029</v>
      </c>
      <c r="B12" s="4">
        <v>9</v>
      </c>
      <c r="C12" s="4">
        <v>33</v>
      </c>
      <c r="D12" s="4">
        <v>45</v>
      </c>
      <c r="E12" s="4">
        <v>1</v>
      </c>
      <c r="F12" s="4">
        <v>50</v>
      </c>
      <c r="G12" s="10">
        <f t="shared" ref="G12:G54" si="7">B12+C12/60</f>
        <v>9.5500000000000007</v>
      </c>
      <c r="H12" s="4">
        <v>50</v>
      </c>
      <c r="I12" s="5">
        <f t="shared" ref="I12:I15" si="8">G12*D12</f>
        <v>429.75000000000006</v>
      </c>
      <c r="J12" s="5">
        <f t="shared" si="6"/>
        <v>379.75000000000006</v>
      </c>
      <c r="K12">
        <v>17</v>
      </c>
      <c r="N12" s="51">
        <v>568</v>
      </c>
    </row>
    <row r="13" spans="1:16">
      <c r="A13" s="6">
        <v>46030</v>
      </c>
      <c r="B13" s="4">
        <v>9</v>
      </c>
      <c r="C13" s="4">
        <v>44</v>
      </c>
      <c r="D13" s="4">
        <v>45</v>
      </c>
      <c r="E13" s="4">
        <v>1</v>
      </c>
      <c r="F13" s="4">
        <v>50</v>
      </c>
      <c r="G13" s="10">
        <f t="shared" si="7"/>
        <v>9.7333333333333325</v>
      </c>
      <c r="H13" s="4">
        <v>50</v>
      </c>
      <c r="I13" s="5">
        <f t="shared" si="8"/>
        <v>437.99999999999994</v>
      </c>
      <c r="J13" s="5">
        <f t="shared" si="6"/>
        <v>387.99999999999994</v>
      </c>
      <c r="K13">
        <v>18</v>
      </c>
      <c r="N13" s="51">
        <f>220+150</f>
        <v>370</v>
      </c>
    </row>
    <row r="14" spans="1:16">
      <c r="A14" s="6">
        <v>46031</v>
      </c>
      <c r="B14" s="4">
        <v>9</v>
      </c>
      <c r="C14" s="4">
        <v>28</v>
      </c>
      <c r="D14" s="4">
        <v>45</v>
      </c>
      <c r="E14" s="4">
        <v>1</v>
      </c>
      <c r="F14" s="4">
        <v>50</v>
      </c>
      <c r="G14" s="10">
        <f t="shared" si="7"/>
        <v>9.4666666666666668</v>
      </c>
      <c r="H14" s="4">
        <v>50</v>
      </c>
      <c r="I14" s="5">
        <f t="shared" si="8"/>
        <v>426</v>
      </c>
      <c r="J14" s="5">
        <f t="shared" si="6"/>
        <v>376</v>
      </c>
      <c r="K14">
        <v>19</v>
      </c>
      <c r="N14" s="51">
        <v>367</v>
      </c>
    </row>
    <row r="15" spans="1:16">
      <c r="A15" s="6">
        <v>46032</v>
      </c>
      <c r="B15" s="4">
        <v>10</v>
      </c>
      <c r="C15" s="4">
        <v>2</v>
      </c>
      <c r="D15" s="4">
        <v>45</v>
      </c>
      <c r="E15" s="4">
        <v>1</v>
      </c>
      <c r="F15" s="4">
        <v>50</v>
      </c>
      <c r="G15" s="10">
        <f t="shared" si="7"/>
        <v>10.033333333333333</v>
      </c>
      <c r="H15" s="4">
        <v>50</v>
      </c>
      <c r="I15" s="5">
        <f t="shared" si="8"/>
        <v>451.5</v>
      </c>
      <c r="J15" s="5">
        <f t="shared" si="6"/>
        <v>401.5</v>
      </c>
      <c r="K15">
        <v>19</v>
      </c>
      <c r="N15" s="51">
        <v>850</v>
      </c>
    </row>
    <row r="16" spans="1:16" ht="16" thickBot="1">
      <c r="A16" s="6">
        <v>46033</v>
      </c>
      <c r="B16" s="4">
        <v>9</v>
      </c>
      <c r="C16" s="4">
        <v>30</v>
      </c>
      <c r="D16" s="4">
        <v>45</v>
      </c>
      <c r="E16" s="4">
        <v>1</v>
      </c>
      <c r="F16" s="4">
        <v>50</v>
      </c>
      <c r="G16" s="10">
        <f t="shared" ref="G16" si="9">B16+C16/60</f>
        <v>9.5</v>
      </c>
      <c r="H16" s="4">
        <v>50</v>
      </c>
      <c r="I16" s="5">
        <f t="shared" ref="I16" si="10">G16*D16</f>
        <v>427.5</v>
      </c>
      <c r="J16" s="5">
        <f t="shared" ref="J16" si="11">I16-H16</f>
        <v>377.5</v>
      </c>
      <c r="K16">
        <v>25</v>
      </c>
      <c r="N16" s="51">
        <f>280+150</f>
        <v>430</v>
      </c>
    </row>
    <row r="17" spans="1:15" s="59" customFormat="1" ht="20" thickBot="1">
      <c r="A17" s="71" t="s">
        <v>103</v>
      </c>
      <c r="B17" s="56">
        <f>SUM(B18:B23)</f>
        <v>53</v>
      </c>
      <c r="C17" s="56">
        <f>SUM(C18:C23)</f>
        <v>139</v>
      </c>
      <c r="D17" s="56">
        <f>SUM(D18)</f>
        <v>45</v>
      </c>
      <c r="E17" s="56">
        <f>SUM(E18:E23)</f>
        <v>6</v>
      </c>
      <c r="F17" s="56">
        <f>SUM(F18:F23)</f>
        <v>300</v>
      </c>
      <c r="G17" s="68">
        <f t="shared" si="7"/>
        <v>55.31666666666667</v>
      </c>
      <c r="H17" s="56">
        <f>SUM(H18:H23)</f>
        <v>300</v>
      </c>
      <c r="I17" s="57">
        <f>SUM(I18:I23)</f>
        <v>2682.583333333333</v>
      </c>
      <c r="J17" s="58">
        <f>SUM(J18:J23)</f>
        <v>2382.583333333333</v>
      </c>
      <c r="K17" s="56">
        <f>SUM(K18:K23)</f>
        <v>136</v>
      </c>
      <c r="L17" s="57">
        <v>0</v>
      </c>
      <c r="M17" s="70">
        <f>J17+L17</f>
        <v>2382.583333333333</v>
      </c>
      <c r="N17" s="64">
        <f>SUM(N18:N24)</f>
        <v>3350</v>
      </c>
      <c r="O17" s="60">
        <f>4514-N17</f>
        <v>1164</v>
      </c>
    </row>
    <row r="18" spans="1:15">
      <c r="A18" s="78" t="s">
        <v>104</v>
      </c>
      <c r="B18" s="4">
        <v>11</v>
      </c>
      <c r="C18" s="4">
        <v>5</v>
      </c>
      <c r="D18" s="4">
        <v>45</v>
      </c>
      <c r="E18" s="4">
        <v>1</v>
      </c>
      <c r="F18" s="4">
        <v>50</v>
      </c>
      <c r="G18" s="10">
        <f t="shared" si="7"/>
        <v>11.083333333333334</v>
      </c>
      <c r="H18" s="4">
        <f t="shared" ref="H18:H50" si="12">E18*F18</f>
        <v>50</v>
      </c>
      <c r="I18" s="5">
        <f t="shared" ref="I18:I54" si="13">G18*D18</f>
        <v>498.75</v>
      </c>
      <c r="J18" s="5">
        <f t="shared" ref="J18:J54" si="14">I18-H18</f>
        <v>448.75</v>
      </c>
      <c r="K18">
        <v>21</v>
      </c>
      <c r="N18" s="51">
        <v>1150</v>
      </c>
    </row>
    <row r="19" spans="1:15">
      <c r="A19" s="78" t="s">
        <v>105</v>
      </c>
      <c r="B19" s="4">
        <v>6</v>
      </c>
      <c r="C19" s="4">
        <v>8</v>
      </c>
      <c r="D19" s="4">
        <v>45</v>
      </c>
      <c r="E19" s="4">
        <v>1</v>
      </c>
      <c r="F19" s="4">
        <v>50</v>
      </c>
      <c r="G19" s="10">
        <f t="shared" si="7"/>
        <v>6.1333333333333337</v>
      </c>
      <c r="H19" s="4">
        <f t="shared" si="12"/>
        <v>50</v>
      </c>
      <c r="I19" s="5">
        <f t="shared" si="13"/>
        <v>276</v>
      </c>
      <c r="J19" s="5">
        <f t="shared" si="14"/>
        <v>226</v>
      </c>
      <c r="K19">
        <v>16</v>
      </c>
      <c r="N19" s="51">
        <v>150</v>
      </c>
    </row>
    <row r="20" spans="1:15">
      <c r="A20" s="78" t="s">
        <v>106</v>
      </c>
      <c r="B20" s="4">
        <v>8</v>
      </c>
      <c r="C20" s="4">
        <v>33</v>
      </c>
      <c r="D20" s="4">
        <v>45</v>
      </c>
      <c r="E20" s="4">
        <v>1</v>
      </c>
      <c r="F20" s="4">
        <v>50</v>
      </c>
      <c r="G20" s="10">
        <f t="shared" si="7"/>
        <v>8.5500000000000007</v>
      </c>
      <c r="H20" s="4">
        <f t="shared" si="12"/>
        <v>50</v>
      </c>
      <c r="I20" s="5">
        <f t="shared" si="13"/>
        <v>384.75000000000006</v>
      </c>
      <c r="J20" s="5">
        <f t="shared" si="14"/>
        <v>334.75000000000006</v>
      </c>
      <c r="K20">
        <v>14</v>
      </c>
      <c r="N20" s="51">
        <v>1300</v>
      </c>
    </row>
    <row r="21" spans="1:15">
      <c r="A21" s="78" t="s">
        <v>107</v>
      </c>
      <c r="B21" s="4">
        <v>9</v>
      </c>
      <c r="C21" s="4">
        <v>3</v>
      </c>
      <c r="D21" s="4">
        <v>45</v>
      </c>
      <c r="E21" s="4">
        <v>1</v>
      </c>
      <c r="F21" s="4">
        <v>50</v>
      </c>
      <c r="G21" s="10">
        <f t="shared" si="7"/>
        <v>9.0500000000000007</v>
      </c>
      <c r="H21" s="4">
        <f t="shared" si="12"/>
        <v>50</v>
      </c>
      <c r="I21" s="5">
        <f t="shared" si="13"/>
        <v>407.25000000000006</v>
      </c>
      <c r="J21" s="5">
        <f t="shared" si="14"/>
        <v>357.25000000000006</v>
      </c>
      <c r="K21">
        <v>25</v>
      </c>
      <c r="N21" s="51">
        <v>150</v>
      </c>
    </row>
    <row r="22" spans="1:15">
      <c r="A22" s="78" t="s">
        <v>108</v>
      </c>
      <c r="B22" s="4">
        <v>10</v>
      </c>
      <c r="C22" s="4">
        <v>50</v>
      </c>
      <c r="D22" s="4">
        <v>45</v>
      </c>
      <c r="E22" s="4">
        <v>1</v>
      </c>
      <c r="F22" s="4">
        <v>50</v>
      </c>
      <c r="G22" s="10">
        <f t="shared" si="7"/>
        <v>10.833333333333334</v>
      </c>
      <c r="H22" s="4">
        <f t="shared" si="12"/>
        <v>50</v>
      </c>
      <c r="I22" s="5">
        <f t="shared" si="13"/>
        <v>487.5</v>
      </c>
      <c r="J22" s="5">
        <f t="shared" si="14"/>
        <v>437.5</v>
      </c>
      <c r="K22">
        <v>26</v>
      </c>
      <c r="N22" s="51">
        <v>150</v>
      </c>
    </row>
    <row r="23" spans="1:15">
      <c r="A23" s="78" t="s">
        <v>109</v>
      </c>
      <c r="B23" s="4">
        <v>9</v>
      </c>
      <c r="C23" s="4">
        <v>40</v>
      </c>
      <c r="D23" s="4">
        <v>65</v>
      </c>
      <c r="E23" s="4">
        <v>1</v>
      </c>
      <c r="F23" s="4">
        <v>50</v>
      </c>
      <c r="G23" s="10">
        <f t="shared" si="7"/>
        <v>9.6666666666666661</v>
      </c>
      <c r="H23" s="4">
        <f t="shared" si="12"/>
        <v>50</v>
      </c>
      <c r="I23" s="5">
        <f t="shared" si="13"/>
        <v>628.33333333333326</v>
      </c>
      <c r="J23" s="5">
        <f t="shared" si="14"/>
        <v>578.33333333333326</v>
      </c>
      <c r="K23">
        <v>34</v>
      </c>
      <c r="N23" s="77"/>
    </row>
    <row r="24" spans="1:15" ht="16" thickBot="1">
      <c r="A24" s="78" t="s">
        <v>110</v>
      </c>
      <c r="B24" s="4"/>
      <c r="C24" s="4"/>
      <c r="D24" s="4"/>
      <c r="E24" s="4"/>
      <c r="F24" s="4"/>
      <c r="G24" s="10"/>
      <c r="H24" s="4"/>
      <c r="I24" s="5"/>
      <c r="J24" s="5"/>
      <c r="N24" s="51">
        <f>100+200+150</f>
        <v>450</v>
      </c>
    </row>
    <row r="25" spans="1:15" s="59" customFormat="1" ht="20" thickBot="1">
      <c r="A25" s="71" t="s">
        <v>111</v>
      </c>
      <c r="B25" s="56">
        <f>SUM(B26:B31)</f>
        <v>12</v>
      </c>
      <c r="C25" s="56">
        <f>SUM(C26:C31)</f>
        <v>38</v>
      </c>
      <c r="D25" s="56">
        <f>SUM(D26)</f>
        <v>65</v>
      </c>
      <c r="E25" s="56">
        <f>SUM(E26:E31)</f>
        <v>1</v>
      </c>
      <c r="F25" s="56">
        <f>SUM(F26:F31)</f>
        <v>50</v>
      </c>
      <c r="G25" s="68">
        <f>B25+C25/60</f>
        <v>12.633333333333333</v>
      </c>
      <c r="H25" s="56">
        <f>SUM(H26:H31)</f>
        <v>50</v>
      </c>
      <c r="I25" s="57">
        <f>SUM(I26:I30)</f>
        <v>821.16666666666663</v>
      </c>
      <c r="J25" s="58">
        <f>SUM(J26:J30)</f>
        <v>771.16666666666663</v>
      </c>
      <c r="K25" s="56">
        <f>SUM(K26:K31)</f>
        <v>31</v>
      </c>
      <c r="L25" s="57">
        <v>0</v>
      </c>
      <c r="M25" s="70">
        <f>J25+L25</f>
        <v>771.16666666666663</v>
      </c>
      <c r="N25" s="64">
        <f>SUM(N26)</f>
        <v>0</v>
      </c>
      <c r="O25" s="60">
        <f>990-N25</f>
        <v>990</v>
      </c>
    </row>
    <row r="26" spans="1:15" ht="16" thickBot="1">
      <c r="A26" t="s">
        <v>109</v>
      </c>
      <c r="B26" s="4">
        <v>12</v>
      </c>
      <c r="C26" s="4">
        <v>38</v>
      </c>
      <c r="D26" s="4">
        <v>65</v>
      </c>
      <c r="E26" s="4">
        <v>1</v>
      </c>
      <c r="F26" s="4">
        <v>50</v>
      </c>
      <c r="G26" s="10">
        <f>B26+C26/60</f>
        <v>12.633333333333333</v>
      </c>
      <c r="H26" s="4">
        <f>E26*F26</f>
        <v>50</v>
      </c>
      <c r="I26" s="5">
        <f>G26*D26</f>
        <v>821.16666666666663</v>
      </c>
      <c r="J26" s="5">
        <f>I26-H26</f>
        <v>771.16666666666663</v>
      </c>
      <c r="K26">
        <v>31</v>
      </c>
    </row>
    <row r="27" spans="1:15" hidden="1">
      <c r="B27" s="4"/>
      <c r="C27" s="4"/>
      <c r="D27" s="4">
        <v>45</v>
      </c>
      <c r="E27" s="4">
        <v>0</v>
      </c>
      <c r="F27" s="4">
        <v>0</v>
      </c>
      <c r="G27" s="10">
        <f>B27+C27/60</f>
        <v>0</v>
      </c>
      <c r="H27" s="4">
        <f>E27*F27</f>
        <v>0</v>
      </c>
      <c r="I27" s="5">
        <f>G27*D27</f>
        <v>0</v>
      </c>
      <c r="J27" s="5">
        <f>I27-H27</f>
        <v>0</v>
      </c>
    </row>
    <row r="28" spans="1:15" hidden="1">
      <c r="B28" s="4"/>
      <c r="C28" s="4"/>
      <c r="D28" s="4">
        <v>45</v>
      </c>
      <c r="E28" s="4">
        <v>0</v>
      </c>
      <c r="F28" s="4">
        <v>0</v>
      </c>
      <c r="G28" s="10">
        <f t="shared" ref="G28:G31" si="15">B28+C28/60</f>
        <v>0</v>
      </c>
      <c r="H28" s="4">
        <f t="shared" ref="H28:H31" si="16">E28*F28</f>
        <v>0</v>
      </c>
      <c r="I28" s="5">
        <f t="shared" ref="I28:I31" si="17">G28*D28</f>
        <v>0</v>
      </c>
      <c r="J28" s="5">
        <f t="shared" ref="J28:J31" si="18">I28-H28</f>
        <v>0</v>
      </c>
    </row>
    <row r="29" spans="1:15" hidden="1">
      <c r="B29" s="4"/>
      <c r="C29" s="4"/>
      <c r="D29" s="4">
        <v>45</v>
      </c>
      <c r="E29" s="4">
        <v>0</v>
      </c>
      <c r="F29" s="4">
        <v>0</v>
      </c>
      <c r="G29" s="10">
        <f t="shared" si="15"/>
        <v>0</v>
      </c>
      <c r="H29" s="4">
        <f t="shared" si="16"/>
        <v>0</v>
      </c>
      <c r="I29" s="5">
        <f t="shared" si="17"/>
        <v>0</v>
      </c>
      <c r="J29" s="5">
        <f t="shared" si="18"/>
        <v>0</v>
      </c>
    </row>
    <row r="30" spans="1:15" hidden="1">
      <c r="B30" s="4"/>
      <c r="C30" s="4"/>
      <c r="D30" s="4">
        <v>45</v>
      </c>
      <c r="E30" s="4">
        <v>0</v>
      </c>
      <c r="F30" s="4">
        <v>0</v>
      </c>
      <c r="G30" s="10">
        <f t="shared" si="15"/>
        <v>0</v>
      </c>
      <c r="H30" s="4">
        <f t="shared" si="16"/>
        <v>0</v>
      </c>
      <c r="I30" s="5">
        <f t="shared" si="17"/>
        <v>0</v>
      </c>
      <c r="J30" s="5">
        <f t="shared" si="18"/>
        <v>0</v>
      </c>
    </row>
    <row r="31" spans="1:15" hidden="1">
      <c r="B31" s="4"/>
      <c r="C31" s="4"/>
      <c r="D31" s="4">
        <v>45</v>
      </c>
      <c r="E31" s="4">
        <v>0</v>
      </c>
      <c r="F31" s="4">
        <v>0</v>
      </c>
      <c r="G31" s="10">
        <f t="shared" si="15"/>
        <v>0</v>
      </c>
      <c r="H31" s="4">
        <f t="shared" si="16"/>
        <v>0</v>
      </c>
      <c r="I31" s="5">
        <f t="shared" si="17"/>
        <v>0</v>
      </c>
      <c r="J31" s="5">
        <f t="shared" si="18"/>
        <v>0</v>
      </c>
    </row>
    <row r="32" spans="1:15" s="54" customFormat="1" ht="20" thickBot="1">
      <c r="A32" s="72" t="s">
        <v>112</v>
      </c>
      <c r="B32" s="44">
        <f>SUM(B33:B39)</f>
        <v>26</v>
      </c>
      <c r="C32" s="44">
        <f>SUM(C33:C39)</f>
        <v>60</v>
      </c>
      <c r="D32" s="44">
        <f>SUM(D33)</f>
        <v>55</v>
      </c>
      <c r="E32" s="44">
        <f>SUM(E33:E39)</f>
        <v>4</v>
      </c>
      <c r="F32" s="44">
        <f>SUM(F33:F38)</f>
        <v>150</v>
      </c>
      <c r="G32" s="67">
        <f t="shared" si="7"/>
        <v>27</v>
      </c>
      <c r="H32" s="44">
        <f>SUM(H33:H38)</f>
        <v>150</v>
      </c>
      <c r="I32" s="46">
        <f>SUM(I33:I39)</f>
        <v>1315.6666666666665</v>
      </c>
      <c r="J32" s="47">
        <f>SUM(J33:J39)</f>
        <v>1165.6666666666665</v>
      </c>
      <c r="K32" s="44">
        <f>SUM(K33:K39)</f>
        <v>77</v>
      </c>
      <c r="L32" s="46">
        <v>0</v>
      </c>
      <c r="M32" s="69">
        <f>J32+L32</f>
        <v>1165.6666666666665</v>
      </c>
      <c r="N32" s="55">
        <f>SUM(N33:N39)</f>
        <v>2110</v>
      </c>
      <c r="O32" s="53">
        <f>2109-N32</f>
        <v>-1</v>
      </c>
    </row>
    <row r="33" spans="1:15">
      <c r="A33" s="6">
        <v>46027</v>
      </c>
      <c r="B33" s="4">
        <v>10</v>
      </c>
      <c r="C33" s="4">
        <v>4</v>
      </c>
      <c r="D33" s="4">
        <v>55</v>
      </c>
      <c r="E33" s="4">
        <v>1</v>
      </c>
      <c r="F33" s="4">
        <v>50</v>
      </c>
      <c r="G33" s="10">
        <f t="shared" si="7"/>
        <v>10.066666666666666</v>
      </c>
      <c r="H33" s="4">
        <f t="shared" si="12"/>
        <v>50</v>
      </c>
      <c r="I33" s="5">
        <f t="shared" si="13"/>
        <v>553.66666666666663</v>
      </c>
      <c r="J33" s="5">
        <f t="shared" si="14"/>
        <v>503.66666666666663</v>
      </c>
      <c r="K33">
        <v>29</v>
      </c>
      <c r="N33" s="51">
        <v>150</v>
      </c>
    </row>
    <row r="34" spans="1:15">
      <c r="A34" s="6">
        <v>46028</v>
      </c>
      <c r="B34" s="4"/>
      <c r="C34" s="4"/>
      <c r="D34" s="4">
        <v>45</v>
      </c>
      <c r="E34" s="4">
        <v>0</v>
      </c>
      <c r="F34" s="4">
        <v>0</v>
      </c>
      <c r="G34" s="10">
        <f t="shared" si="7"/>
        <v>0</v>
      </c>
      <c r="H34" s="4">
        <f t="shared" si="12"/>
        <v>0</v>
      </c>
      <c r="I34" s="5">
        <f t="shared" si="13"/>
        <v>0</v>
      </c>
      <c r="J34" s="5">
        <f t="shared" si="14"/>
        <v>0</v>
      </c>
      <c r="N34" s="51">
        <v>800</v>
      </c>
    </row>
    <row r="35" spans="1:15">
      <c r="A35" s="6">
        <v>46029</v>
      </c>
      <c r="B35" s="4"/>
      <c r="C35" s="4"/>
      <c r="D35" s="4">
        <v>45</v>
      </c>
      <c r="E35" s="4">
        <v>0</v>
      </c>
      <c r="F35" s="4">
        <v>0</v>
      </c>
      <c r="G35" s="10">
        <f t="shared" si="7"/>
        <v>0</v>
      </c>
      <c r="H35" s="4">
        <f t="shared" si="12"/>
        <v>0</v>
      </c>
      <c r="I35" s="5">
        <f t="shared" si="13"/>
        <v>0</v>
      </c>
      <c r="J35" s="5">
        <f t="shared" si="14"/>
        <v>0</v>
      </c>
      <c r="N35" s="51">
        <v>0</v>
      </c>
    </row>
    <row r="36" spans="1:15">
      <c r="A36" s="6">
        <v>46030</v>
      </c>
      <c r="B36" s="4">
        <v>8</v>
      </c>
      <c r="C36" s="4">
        <v>7</v>
      </c>
      <c r="D36" s="4">
        <v>45</v>
      </c>
      <c r="E36" s="4">
        <v>1</v>
      </c>
      <c r="F36" s="4">
        <v>50</v>
      </c>
      <c r="G36" s="10">
        <f t="shared" si="7"/>
        <v>8.1166666666666671</v>
      </c>
      <c r="H36" s="4">
        <f t="shared" si="12"/>
        <v>50</v>
      </c>
      <c r="I36" s="5">
        <f t="shared" si="13"/>
        <v>365.25</v>
      </c>
      <c r="J36" s="5">
        <f t="shared" si="14"/>
        <v>315.25</v>
      </c>
      <c r="K36">
        <v>24</v>
      </c>
      <c r="N36" s="51">
        <v>400</v>
      </c>
    </row>
    <row r="37" spans="1:15">
      <c r="A37" s="6">
        <v>46031</v>
      </c>
      <c r="B37" s="4"/>
      <c r="C37" s="4"/>
      <c r="D37" s="4">
        <v>45</v>
      </c>
      <c r="E37" s="4">
        <v>1</v>
      </c>
      <c r="F37" s="4">
        <v>0</v>
      </c>
      <c r="G37" s="10">
        <f t="shared" si="7"/>
        <v>0</v>
      </c>
      <c r="H37" s="4">
        <f t="shared" si="12"/>
        <v>0</v>
      </c>
      <c r="I37" s="5">
        <f t="shared" si="13"/>
        <v>0</v>
      </c>
      <c r="J37" s="5">
        <f t="shared" si="14"/>
        <v>0</v>
      </c>
      <c r="N37" s="51">
        <v>0</v>
      </c>
    </row>
    <row r="38" spans="1:15">
      <c r="A38" s="6">
        <v>46032</v>
      </c>
      <c r="B38" s="4">
        <v>8</v>
      </c>
      <c r="C38" s="4">
        <v>49</v>
      </c>
      <c r="D38" s="4">
        <v>45</v>
      </c>
      <c r="E38" s="4">
        <v>1</v>
      </c>
      <c r="F38" s="4">
        <v>50</v>
      </c>
      <c r="G38" s="10">
        <f t="shared" si="7"/>
        <v>8.8166666666666664</v>
      </c>
      <c r="H38" s="4">
        <v>50</v>
      </c>
      <c r="I38" s="5">
        <f t="shared" si="13"/>
        <v>396.75</v>
      </c>
      <c r="J38" s="5">
        <f t="shared" si="14"/>
        <v>346.75</v>
      </c>
      <c r="K38">
        <v>24</v>
      </c>
      <c r="N38" s="51">
        <v>650</v>
      </c>
    </row>
    <row r="39" spans="1:15" ht="16" thickBot="1">
      <c r="A39" s="6">
        <v>46033</v>
      </c>
      <c r="B39" s="4"/>
      <c r="C39" s="4"/>
      <c r="D39" s="4"/>
      <c r="E39" s="4">
        <v>0</v>
      </c>
      <c r="F39" s="4">
        <v>0</v>
      </c>
      <c r="G39" s="10">
        <f t="shared" si="7"/>
        <v>0</v>
      </c>
      <c r="H39" s="4"/>
      <c r="I39" s="5">
        <f t="shared" si="13"/>
        <v>0</v>
      </c>
      <c r="J39" s="5">
        <f t="shared" si="14"/>
        <v>0</v>
      </c>
      <c r="N39" s="51">
        <v>110</v>
      </c>
    </row>
    <row r="40" spans="1:15" s="59" customFormat="1" ht="20" thickBot="1">
      <c r="A40" s="71" t="s">
        <v>113</v>
      </c>
      <c r="B40" s="56">
        <f>SUM(B41:B47)</f>
        <v>61</v>
      </c>
      <c r="C40" s="56">
        <f>SUM(C41:C47)</f>
        <v>195</v>
      </c>
      <c r="D40" s="56">
        <f>SUM(D41)</f>
        <v>45</v>
      </c>
      <c r="E40" s="56">
        <f>SUM(E41:E47)</f>
        <v>7</v>
      </c>
      <c r="F40" s="56">
        <f>SUM(F41:F47)</f>
        <v>350</v>
      </c>
      <c r="G40" s="68">
        <f t="shared" si="7"/>
        <v>64.25</v>
      </c>
      <c r="H40" s="56">
        <f>SUM(H41:H47)</f>
        <v>350</v>
      </c>
      <c r="I40" s="61">
        <f>SUM(I41:I47)</f>
        <v>3102.916666666667</v>
      </c>
      <c r="J40" s="62">
        <f>SUM(J41:J47)</f>
        <v>2752.916666666667</v>
      </c>
      <c r="K40" s="56">
        <f>SUM(K41:K47)</f>
        <v>143</v>
      </c>
      <c r="L40" s="57">
        <v>0</v>
      </c>
      <c r="M40" s="70">
        <f>J40+L40</f>
        <v>2752.916666666667</v>
      </c>
      <c r="N40" s="64">
        <f>SUM(N41:N47)</f>
        <v>4390</v>
      </c>
      <c r="O40" s="60">
        <f>4348-N40</f>
        <v>-42</v>
      </c>
    </row>
    <row r="41" spans="1:15">
      <c r="A41" s="6">
        <v>46027</v>
      </c>
      <c r="B41" s="4">
        <v>10</v>
      </c>
      <c r="C41" s="4">
        <v>44</v>
      </c>
      <c r="D41" s="4">
        <v>45</v>
      </c>
      <c r="E41" s="4">
        <v>1</v>
      </c>
      <c r="F41" s="4">
        <v>50</v>
      </c>
      <c r="G41" s="10">
        <f t="shared" si="7"/>
        <v>10.733333333333333</v>
      </c>
      <c r="H41" s="4">
        <f>F41*E41</f>
        <v>50</v>
      </c>
      <c r="I41" s="5">
        <f t="shared" si="13"/>
        <v>482.99999999999994</v>
      </c>
      <c r="J41" s="5">
        <f>I41-H41</f>
        <v>432.99999999999994</v>
      </c>
      <c r="K41">
        <v>23</v>
      </c>
      <c r="N41" s="51">
        <v>450</v>
      </c>
    </row>
    <row r="42" spans="1:15">
      <c r="A42" s="6">
        <v>46028</v>
      </c>
      <c r="B42" s="4">
        <v>10</v>
      </c>
      <c r="C42" s="4">
        <v>0</v>
      </c>
      <c r="D42" s="4">
        <v>45</v>
      </c>
      <c r="E42" s="4">
        <v>1</v>
      </c>
      <c r="F42" s="4">
        <v>50</v>
      </c>
      <c r="G42" s="10">
        <f t="shared" si="7"/>
        <v>10</v>
      </c>
      <c r="H42" s="4">
        <v>50</v>
      </c>
      <c r="I42" s="5">
        <f t="shared" si="13"/>
        <v>450</v>
      </c>
      <c r="J42" s="5">
        <f>I42-H42</f>
        <v>400</v>
      </c>
      <c r="K42">
        <v>15</v>
      </c>
      <c r="N42" s="51">
        <v>870</v>
      </c>
    </row>
    <row r="43" spans="1:15">
      <c r="A43" s="6">
        <v>46029</v>
      </c>
      <c r="B43" s="4">
        <v>8</v>
      </c>
      <c r="C43" s="4">
        <v>31</v>
      </c>
      <c r="D43" s="4">
        <v>45</v>
      </c>
      <c r="E43" s="4">
        <v>1</v>
      </c>
      <c r="F43" s="4">
        <v>50</v>
      </c>
      <c r="G43" s="10">
        <f t="shared" si="7"/>
        <v>8.5166666666666675</v>
      </c>
      <c r="H43" s="4">
        <v>50</v>
      </c>
      <c r="I43" s="5">
        <f t="shared" si="13"/>
        <v>383.25000000000006</v>
      </c>
      <c r="J43" s="5">
        <f t="shared" ref="J43:J47" si="19">I43-H43</f>
        <v>333.25000000000006</v>
      </c>
      <c r="K43">
        <v>17</v>
      </c>
      <c r="N43" s="51">
        <v>550</v>
      </c>
    </row>
    <row r="44" spans="1:15">
      <c r="A44" s="6">
        <v>46030</v>
      </c>
      <c r="B44" s="4">
        <v>15</v>
      </c>
      <c r="C44" s="4">
        <v>30</v>
      </c>
      <c r="D44" s="4">
        <v>45</v>
      </c>
      <c r="E44" s="4">
        <v>1</v>
      </c>
      <c r="F44" s="4">
        <v>50</v>
      </c>
      <c r="G44" s="10">
        <f t="shared" si="7"/>
        <v>15.5</v>
      </c>
      <c r="H44" s="4">
        <v>50</v>
      </c>
      <c r="I44" s="5">
        <f t="shared" si="13"/>
        <v>697.5</v>
      </c>
      <c r="J44" s="5">
        <f t="shared" si="19"/>
        <v>647.5</v>
      </c>
      <c r="K44">
        <v>20</v>
      </c>
      <c r="N44" s="51">
        <v>1000</v>
      </c>
    </row>
    <row r="45" spans="1:15">
      <c r="A45" s="6">
        <v>46031</v>
      </c>
      <c r="B45" s="4">
        <v>0</v>
      </c>
      <c r="C45" s="4">
        <v>0</v>
      </c>
      <c r="D45" s="4">
        <v>45</v>
      </c>
      <c r="E45" s="4">
        <v>1</v>
      </c>
      <c r="F45" s="4">
        <v>50</v>
      </c>
      <c r="G45" s="10">
        <f t="shared" si="7"/>
        <v>0</v>
      </c>
      <c r="H45" s="4">
        <v>50</v>
      </c>
      <c r="I45" s="5">
        <f t="shared" si="13"/>
        <v>0</v>
      </c>
      <c r="J45" s="5">
        <f t="shared" si="19"/>
        <v>-50</v>
      </c>
      <c r="K45">
        <v>11</v>
      </c>
      <c r="N45" s="51"/>
    </row>
    <row r="46" spans="1:15">
      <c r="A46" s="6">
        <v>46032</v>
      </c>
      <c r="B46" s="4">
        <v>10</v>
      </c>
      <c r="C46" s="4">
        <v>35</v>
      </c>
      <c r="D46" s="4">
        <v>65</v>
      </c>
      <c r="E46" s="4">
        <v>1</v>
      </c>
      <c r="F46" s="4">
        <v>50</v>
      </c>
      <c r="G46" s="10">
        <f t="shared" si="7"/>
        <v>10.583333333333334</v>
      </c>
      <c r="H46" s="4">
        <v>50</v>
      </c>
      <c r="I46" s="5">
        <f t="shared" si="13"/>
        <v>687.91666666666674</v>
      </c>
      <c r="J46" s="5">
        <f t="shared" si="19"/>
        <v>637.91666666666674</v>
      </c>
      <c r="K46">
        <v>32</v>
      </c>
      <c r="N46" s="51">
        <v>850</v>
      </c>
    </row>
    <row r="47" spans="1:15" ht="16" thickBot="1">
      <c r="A47" s="6">
        <v>46033</v>
      </c>
      <c r="B47" s="4">
        <v>8</v>
      </c>
      <c r="C47" s="4">
        <v>55</v>
      </c>
      <c r="D47" s="4">
        <v>45</v>
      </c>
      <c r="E47" s="4">
        <v>1</v>
      </c>
      <c r="F47" s="4">
        <v>50</v>
      </c>
      <c r="G47" s="10">
        <f t="shared" si="7"/>
        <v>8.9166666666666661</v>
      </c>
      <c r="H47" s="4">
        <v>50</v>
      </c>
      <c r="I47" s="5">
        <f t="shared" si="13"/>
        <v>401.25</v>
      </c>
      <c r="J47" s="5">
        <f t="shared" si="19"/>
        <v>351.25</v>
      </c>
      <c r="K47">
        <v>25</v>
      </c>
      <c r="N47" s="51">
        <v>670</v>
      </c>
    </row>
    <row r="48" spans="1:15" s="54" customFormat="1" ht="20" thickBot="1">
      <c r="A48" s="72" t="s">
        <v>114</v>
      </c>
      <c r="B48" s="44">
        <f>SUM(B49:B55)</f>
        <v>59</v>
      </c>
      <c r="C48" s="44">
        <f>SUM(C49:C55)</f>
        <v>150</v>
      </c>
      <c r="D48" s="44">
        <f>SUM(D49)</f>
        <v>65</v>
      </c>
      <c r="E48" s="44">
        <f>SUM(E49:E55)</f>
        <v>7</v>
      </c>
      <c r="F48" s="44">
        <f>SUM(F49:F55)</f>
        <v>350</v>
      </c>
      <c r="G48" s="67">
        <f t="shared" si="7"/>
        <v>61.5</v>
      </c>
      <c r="H48" s="44">
        <f>SUM(H49:H55)</f>
        <v>350</v>
      </c>
      <c r="I48" s="46">
        <f>SUM(I49:I55)</f>
        <v>3359.1666666666665</v>
      </c>
      <c r="J48" s="47">
        <f>SUM(J49:J55)</f>
        <v>3009.1666666666665</v>
      </c>
      <c r="K48" s="44">
        <f>SUM(K49:K55)</f>
        <v>174</v>
      </c>
      <c r="L48" s="46">
        <v>0</v>
      </c>
      <c r="M48" s="69">
        <f>J48</f>
        <v>3009.1666666666665</v>
      </c>
      <c r="N48" s="63">
        <f>SUM(N49:N55)</f>
        <v>5050</v>
      </c>
      <c r="O48" s="53">
        <f>5034-N48</f>
        <v>-16</v>
      </c>
    </row>
    <row r="49" spans="1:17">
      <c r="A49" s="6">
        <v>46027</v>
      </c>
      <c r="B49" s="7">
        <v>10</v>
      </c>
      <c r="C49" s="7">
        <v>55</v>
      </c>
      <c r="D49" s="7">
        <v>65</v>
      </c>
      <c r="E49" s="7">
        <v>1</v>
      </c>
      <c r="F49" s="7">
        <v>50</v>
      </c>
      <c r="G49" s="11">
        <f t="shared" si="7"/>
        <v>10.916666666666666</v>
      </c>
      <c r="H49" s="7">
        <f t="shared" si="12"/>
        <v>50</v>
      </c>
      <c r="I49" s="5">
        <f t="shared" si="13"/>
        <v>709.58333333333326</v>
      </c>
      <c r="J49" s="5">
        <f t="shared" si="14"/>
        <v>659.58333333333326</v>
      </c>
      <c r="K49">
        <v>30</v>
      </c>
      <c r="N49" s="51">
        <v>1100</v>
      </c>
    </row>
    <row r="50" spans="1:17">
      <c r="A50" s="6">
        <v>46028</v>
      </c>
      <c r="B50" s="4">
        <v>8</v>
      </c>
      <c r="C50" s="4">
        <v>12</v>
      </c>
      <c r="D50" s="4">
        <v>45</v>
      </c>
      <c r="E50" s="4">
        <v>1</v>
      </c>
      <c r="F50" s="4">
        <v>50</v>
      </c>
      <c r="G50" s="10">
        <f t="shared" si="7"/>
        <v>8.1999999999999993</v>
      </c>
      <c r="H50" s="4">
        <f t="shared" si="12"/>
        <v>50</v>
      </c>
      <c r="I50" s="5">
        <f t="shared" si="13"/>
        <v>368.99999999999994</v>
      </c>
      <c r="J50" s="5">
        <f t="shared" si="14"/>
        <v>318.99999999999994</v>
      </c>
      <c r="K50">
        <v>19</v>
      </c>
      <c r="N50" s="51">
        <v>390</v>
      </c>
    </row>
    <row r="51" spans="1:17">
      <c r="A51" s="6">
        <v>46029</v>
      </c>
      <c r="B51" s="4">
        <v>8</v>
      </c>
      <c r="C51" s="4">
        <v>23</v>
      </c>
      <c r="D51" s="4">
        <v>45</v>
      </c>
      <c r="E51" s="4">
        <v>1</v>
      </c>
      <c r="F51" s="4">
        <v>50</v>
      </c>
      <c r="G51" s="10">
        <f t="shared" si="7"/>
        <v>8.3833333333333329</v>
      </c>
      <c r="H51" s="4">
        <v>50</v>
      </c>
      <c r="I51" s="5">
        <f t="shared" si="13"/>
        <v>377.25</v>
      </c>
      <c r="J51" s="5">
        <f t="shared" si="14"/>
        <v>327.25</v>
      </c>
      <c r="K51">
        <v>22</v>
      </c>
      <c r="N51" s="51">
        <v>420</v>
      </c>
    </row>
    <row r="52" spans="1:17">
      <c r="A52" s="6">
        <v>46030</v>
      </c>
      <c r="B52" s="4">
        <v>15</v>
      </c>
      <c r="C52" s="4">
        <v>20</v>
      </c>
      <c r="D52" s="4">
        <v>45</v>
      </c>
      <c r="E52" s="4">
        <v>1</v>
      </c>
      <c r="F52" s="4">
        <v>50</v>
      </c>
      <c r="G52" s="10">
        <f t="shared" si="7"/>
        <v>15.333333333333334</v>
      </c>
      <c r="H52" s="4">
        <v>50</v>
      </c>
      <c r="I52" s="5">
        <f t="shared" si="13"/>
        <v>690</v>
      </c>
      <c r="J52" s="5">
        <f t="shared" si="14"/>
        <v>640</v>
      </c>
      <c r="K52">
        <v>18</v>
      </c>
      <c r="N52" s="51">
        <v>380</v>
      </c>
    </row>
    <row r="53" spans="1:17">
      <c r="A53" s="6">
        <v>46031</v>
      </c>
      <c r="B53" s="4"/>
      <c r="C53" s="4"/>
      <c r="D53" s="4">
        <v>45</v>
      </c>
      <c r="E53" s="4">
        <v>1</v>
      </c>
      <c r="F53" s="4">
        <v>50</v>
      </c>
      <c r="G53" s="10">
        <f t="shared" si="7"/>
        <v>0</v>
      </c>
      <c r="H53" s="4">
        <v>50</v>
      </c>
      <c r="I53" s="5">
        <f t="shared" si="13"/>
        <v>0</v>
      </c>
      <c r="J53" s="5">
        <f t="shared" si="14"/>
        <v>-50</v>
      </c>
      <c r="K53">
        <v>23</v>
      </c>
      <c r="N53" s="51">
        <v>1130</v>
      </c>
    </row>
    <row r="54" spans="1:17">
      <c r="A54" s="6">
        <v>46032</v>
      </c>
      <c r="B54" s="4">
        <v>9</v>
      </c>
      <c r="C54" s="4">
        <v>31</v>
      </c>
      <c r="D54" s="4">
        <v>65</v>
      </c>
      <c r="E54" s="4">
        <v>1</v>
      </c>
      <c r="F54" s="4">
        <v>50</v>
      </c>
      <c r="G54" s="10">
        <f t="shared" si="7"/>
        <v>9.5166666666666675</v>
      </c>
      <c r="H54" s="4">
        <v>50</v>
      </c>
      <c r="I54" s="5">
        <f t="shared" si="13"/>
        <v>618.58333333333337</v>
      </c>
      <c r="J54" s="5">
        <f t="shared" si="14"/>
        <v>568.58333333333337</v>
      </c>
      <c r="K54">
        <v>31</v>
      </c>
      <c r="N54" s="51">
        <v>830</v>
      </c>
    </row>
    <row r="55" spans="1:17" ht="16" thickBot="1">
      <c r="A55" s="6">
        <v>46033</v>
      </c>
      <c r="B55" s="4">
        <v>9</v>
      </c>
      <c r="C55" s="4">
        <v>9</v>
      </c>
      <c r="D55" s="4">
        <v>65</v>
      </c>
      <c r="E55" s="4">
        <v>1</v>
      </c>
      <c r="F55" s="4">
        <v>50</v>
      </c>
      <c r="G55" s="10">
        <f t="shared" ref="G55:G62" si="20">B55+C55/60</f>
        <v>9.15</v>
      </c>
      <c r="H55" s="4">
        <v>50</v>
      </c>
      <c r="I55" s="5">
        <f t="shared" ref="I55" si="21">G55*D55</f>
        <v>594.75</v>
      </c>
      <c r="J55" s="5">
        <f t="shared" ref="J55" si="22">I55-H55</f>
        <v>544.75</v>
      </c>
      <c r="K55">
        <v>31</v>
      </c>
      <c r="N55" s="51">
        <v>800</v>
      </c>
    </row>
    <row r="56" spans="1:17" s="54" customFormat="1" ht="20" thickBot="1">
      <c r="A56" s="72" t="s">
        <v>115</v>
      </c>
      <c r="B56" s="44">
        <f>SUM(B57:B63)</f>
        <v>54</v>
      </c>
      <c r="C56" s="44">
        <f>SUM(C57:C63)</f>
        <v>147</v>
      </c>
      <c r="D56" s="44">
        <f>SUM(D57)</f>
        <v>65</v>
      </c>
      <c r="E56" s="44">
        <f>SUM(E57:E63)</f>
        <v>5</v>
      </c>
      <c r="F56" s="44">
        <f>SUM(F57:F63)</f>
        <v>250</v>
      </c>
      <c r="G56" s="67">
        <f t="shared" si="20"/>
        <v>56.45</v>
      </c>
      <c r="H56" s="44">
        <f>SUM(H57:H62)</f>
        <v>200</v>
      </c>
      <c r="I56" s="46">
        <f>SUM(I57:I63)</f>
        <v>3137.583333333333</v>
      </c>
      <c r="J56" s="47">
        <f>SUM(J57:J63)</f>
        <v>2887.583333333333</v>
      </c>
      <c r="K56" s="44">
        <f>SUM(K57:K63)</f>
        <v>136</v>
      </c>
      <c r="L56" s="46">
        <v>0</v>
      </c>
      <c r="M56" s="69">
        <f>J56</f>
        <v>2887.583333333333</v>
      </c>
      <c r="N56" s="63">
        <f>SUM(N57:N63)</f>
        <v>3610</v>
      </c>
      <c r="O56" s="53">
        <f>3580-N56</f>
        <v>-30</v>
      </c>
    </row>
    <row r="57" spans="1:17">
      <c r="A57" s="6">
        <v>46027</v>
      </c>
      <c r="B57" s="7"/>
      <c r="C57" s="7"/>
      <c r="D57" s="7">
        <v>65</v>
      </c>
      <c r="E57" s="7">
        <v>0</v>
      </c>
      <c r="F57" s="7">
        <v>0</v>
      </c>
      <c r="G57" s="11">
        <f t="shared" si="20"/>
        <v>0</v>
      </c>
      <c r="H57" s="7">
        <f t="shared" ref="H57:H58" si="23">E57*F57</f>
        <v>0</v>
      </c>
      <c r="I57" s="5">
        <f t="shared" ref="I57:I63" si="24">G57*D57</f>
        <v>0</v>
      </c>
      <c r="J57" s="5">
        <f t="shared" ref="J57:J63" si="25">I57-H57</f>
        <v>0</v>
      </c>
      <c r="N57" s="51">
        <v>0</v>
      </c>
      <c r="O57" s="51"/>
    </row>
    <row r="58" spans="1:17">
      <c r="A58" s="6">
        <v>46028</v>
      </c>
      <c r="B58" s="4"/>
      <c r="C58" s="4"/>
      <c r="D58" s="4">
        <v>45</v>
      </c>
      <c r="E58" s="4">
        <v>0</v>
      </c>
      <c r="F58" s="4">
        <v>0</v>
      </c>
      <c r="G58" s="10">
        <f t="shared" si="20"/>
        <v>0</v>
      </c>
      <c r="H58" s="4">
        <f t="shared" si="23"/>
        <v>0</v>
      </c>
      <c r="I58" s="5">
        <f t="shared" si="24"/>
        <v>0</v>
      </c>
      <c r="J58" s="5">
        <f t="shared" si="25"/>
        <v>0</v>
      </c>
      <c r="N58" s="51">
        <v>0</v>
      </c>
    </row>
    <row r="59" spans="1:17">
      <c r="A59" s="6">
        <v>46029</v>
      </c>
      <c r="B59" s="4">
        <v>12</v>
      </c>
      <c r="C59" s="4">
        <v>55</v>
      </c>
      <c r="D59" s="4">
        <v>45</v>
      </c>
      <c r="E59" s="4">
        <v>1</v>
      </c>
      <c r="F59" s="4">
        <v>50</v>
      </c>
      <c r="G59" s="10">
        <f t="shared" si="20"/>
        <v>12.916666666666666</v>
      </c>
      <c r="H59" s="4">
        <v>50</v>
      </c>
      <c r="I59" s="5">
        <f t="shared" si="24"/>
        <v>581.25</v>
      </c>
      <c r="J59" s="5">
        <f t="shared" si="25"/>
        <v>531.25</v>
      </c>
      <c r="K59">
        <v>22</v>
      </c>
      <c r="N59" s="51">
        <v>480</v>
      </c>
      <c r="Q59" t="s">
        <v>64</v>
      </c>
    </row>
    <row r="60" spans="1:17">
      <c r="A60" s="6">
        <v>46030</v>
      </c>
      <c r="B60" s="4">
        <v>12</v>
      </c>
      <c r="C60" s="4">
        <v>9</v>
      </c>
      <c r="D60" s="4">
        <v>65</v>
      </c>
      <c r="E60" s="4">
        <v>1</v>
      </c>
      <c r="F60" s="4">
        <v>50</v>
      </c>
      <c r="G60" s="10">
        <f t="shared" si="20"/>
        <v>12.15</v>
      </c>
      <c r="H60" s="4">
        <v>50</v>
      </c>
      <c r="I60" s="5">
        <f t="shared" si="24"/>
        <v>789.75</v>
      </c>
      <c r="J60" s="5">
        <f t="shared" si="25"/>
        <v>739.75</v>
      </c>
      <c r="K60">
        <v>32</v>
      </c>
      <c r="N60" s="51">
        <v>820</v>
      </c>
    </row>
    <row r="61" spans="1:17">
      <c r="A61" s="6">
        <v>46031</v>
      </c>
      <c r="B61" s="4">
        <v>12</v>
      </c>
      <c r="C61" s="4">
        <v>36</v>
      </c>
      <c r="D61" s="4">
        <v>65</v>
      </c>
      <c r="E61" s="4">
        <v>1</v>
      </c>
      <c r="F61" s="4">
        <v>50</v>
      </c>
      <c r="G61" s="10">
        <f t="shared" si="20"/>
        <v>12.6</v>
      </c>
      <c r="H61" s="4">
        <v>50</v>
      </c>
      <c r="I61" s="5">
        <f t="shared" si="24"/>
        <v>819</v>
      </c>
      <c r="J61" s="5">
        <f t="shared" si="25"/>
        <v>769</v>
      </c>
      <c r="K61">
        <v>30</v>
      </c>
      <c r="N61" s="51">
        <v>862</v>
      </c>
    </row>
    <row r="62" spans="1:17">
      <c r="A62" s="6">
        <v>46032</v>
      </c>
      <c r="B62" s="4">
        <v>8</v>
      </c>
      <c r="C62" s="4">
        <v>33</v>
      </c>
      <c r="D62" s="4">
        <v>45</v>
      </c>
      <c r="E62" s="4">
        <v>1</v>
      </c>
      <c r="F62" s="4">
        <v>50</v>
      </c>
      <c r="G62" s="10">
        <f t="shared" si="20"/>
        <v>8.5500000000000007</v>
      </c>
      <c r="H62" s="4">
        <v>50</v>
      </c>
      <c r="I62" s="5">
        <f t="shared" si="24"/>
        <v>384.75000000000006</v>
      </c>
      <c r="J62" s="5">
        <f t="shared" si="25"/>
        <v>334.75000000000006</v>
      </c>
      <c r="K62">
        <v>23</v>
      </c>
      <c r="N62" s="51">
        <v>289</v>
      </c>
    </row>
    <row r="63" spans="1:17" ht="16" thickBot="1">
      <c r="A63" s="6">
        <v>46033</v>
      </c>
      <c r="B63" s="4">
        <v>10</v>
      </c>
      <c r="C63" s="4">
        <v>14</v>
      </c>
      <c r="D63" s="4">
        <v>55</v>
      </c>
      <c r="E63" s="4">
        <v>1</v>
      </c>
      <c r="F63" s="4">
        <v>50</v>
      </c>
      <c r="G63" s="10">
        <f t="shared" ref="G63" si="26">B63+C63/60</f>
        <v>10.233333333333333</v>
      </c>
      <c r="H63" s="4">
        <v>50</v>
      </c>
      <c r="I63" s="5">
        <f t="shared" si="24"/>
        <v>562.83333333333326</v>
      </c>
      <c r="J63" s="5">
        <f t="shared" si="25"/>
        <v>512.83333333333326</v>
      </c>
      <c r="K63">
        <v>29</v>
      </c>
      <c r="N63" s="51">
        <v>1159</v>
      </c>
    </row>
    <row r="64" spans="1:17" ht="16" thickBot="1">
      <c r="A64" t="s">
        <v>17</v>
      </c>
      <c r="H64" s="3">
        <f>H3+H9+H17+H25+H32+H40+H48</f>
        <v>1750</v>
      </c>
      <c r="I64" s="3">
        <f>I3+I9+I17+I25+I32+I40+I48</f>
        <v>15824.249999999998</v>
      </c>
      <c r="J64" s="3">
        <f>J3+J9+J17+J25+J32+J40+J48+J56</f>
        <v>16961.833333333332</v>
      </c>
      <c r="M64" s="50">
        <f>M56+M48+M40+M32+M25+M17+M9+M3</f>
        <v>16961.833333333332</v>
      </c>
      <c r="N64" s="65">
        <f>N56+N48+N40+N32+N25+N17+N9+N3</f>
        <v>24051</v>
      </c>
      <c r="O64" s="66">
        <f>O56+O48+O40+O32+O25+O17+O3+O9</f>
        <v>2529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60E4-CEB6-4E41-81EE-585134A9DC43}">
  <dimension ref="A1:Q91"/>
  <sheetViews>
    <sheetView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A90" sqref="A90"/>
    </sheetView>
  </sheetViews>
  <sheetFormatPr baseColWidth="10" defaultColWidth="8.6640625" defaultRowHeight="15"/>
  <cols>
    <col min="1" max="1" width="21" customWidth="1"/>
    <col min="3" max="3" width="13.33203125" customWidth="1"/>
    <col min="4" max="4" width="17.6640625" customWidth="1"/>
    <col min="6" max="6" width="16.6640625" customWidth="1"/>
    <col min="7" max="7" width="19" customWidth="1"/>
    <col min="8" max="8" width="18" customWidth="1"/>
    <col min="9" max="9" width="20.5" customWidth="1"/>
    <col min="10" max="10" width="13.6640625" customWidth="1"/>
    <col min="11" max="11" width="7.6640625" bestFit="1" customWidth="1"/>
    <col min="12" max="12" width="10.33203125" bestFit="1" customWidth="1"/>
    <col min="13" max="13" width="17" bestFit="1" customWidth="1"/>
    <col min="14" max="14" width="15.33203125" bestFit="1" customWidth="1"/>
    <col min="15" max="15" width="22.6640625" bestFit="1" customWidth="1"/>
    <col min="16" max="16" width="175.5" customWidth="1"/>
  </cols>
  <sheetData>
    <row r="1" spans="1:16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6" ht="20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6" s="54" customFormat="1" ht="20" thickBot="1">
      <c r="A3" s="72" t="s">
        <v>10</v>
      </c>
      <c r="B3" s="44">
        <f>SUM(B4:B8)</f>
        <v>48</v>
      </c>
      <c r="C3" s="44">
        <f>SUM(C4:C8)</f>
        <v>204</v>
      </c>
      <c r="D3" s="44">
        <f>SUM(D4)</f>
        <v>45</v>
      </c>
      <c r="E3" s="44">
        <f>SUM(E4:E10)</f>
        <v>5</v>
      </c>
      <c r="F3" s="44">
        <f>SUM(F4:F9)</f>
        <v>250</v>
      </c>
      <c r="G3" s="67">
        <f t="shared" ref="G3" si="0">B3+C3/60</f>
        <v>51.4</v>
      </c>
      <c r="H3" s="44">
        <f>SUM(H4:H10)</f>
        <v>250</v>
      </c>
      <c r="I3" s="46">
        <f>SUM(I4:I10)</f>
        <v>2626.833333333333</v>
      </c>
      <c r="J3" s="47">
        <f>SUM(J4:J10)</f>
        <v>2376.833333333333</v>
      </c>
      <c r="K3" s="44">
        <f>SUM(K4:K10)</f>
        <v>128</v>
      </c>
      <c r="L3" s="46">
        <v>0</v>
      </c>
      <c r="M3" s="69">
        <f>J3+L3</f>
        <v>2376.833333333333</v>
      </c>
      <c r="N3" s="52">
        <f>SUM(N4:N10)</f>
        <v>3700</v>
      </c>
      <c r="O3" s="107">
        <f>3244-N3</f>
        <v>-456</v>
      </c>
    </row>
    <row r="4" spans="1:16">
      <c r="A4" s="6" t="s">
        <v>116</v>
      </c>
      <c r="B4">
        <v>10</v>
      </c>
      <c r="C4" s="4">
        <v>49</v>
      </c>
      <c r="D4" s="4">
        <v>45</v>
      </c>
      <c r="E4" s="4">
        <v>1</v>
      </c>
      <c r="F4" s="4">
        <v>50</v>
      </c>
      <c r="G4" s="10">
        <f>B4+C4/60</f>
        <v>10.816666666666666</v>
      </c>
      <c r="H4" s="4">
        <v>50</v>
      </c>
      <c r="I4" s="5">
        <f>G4*D4</f>
        <v>486.75</v>
      </c>
      <c r="J4" s="5">
        <f>I4-H4</f>
        <v>436.75</v>
      </c>
      <c r="K4">
        <v>22</v>
      </c>
      <c r="M4" t="s">
        <v>26</v>
      </c>
      <c r="N4" s="83">
        <v>0</v>
      </c>
    </row>
    <row r="5" spans="1:16">
      <c r="A5" s="6" t="s">
        <v>117</v>
      </c>
      <c r="B5">
        <v>11</v>
      </c>
      <c r="C5" s="4">
        <v>40</v>
      </c>
      <c r="D5" s="4">
        <v>55</v>
      </c>
      <c r="E5" s="4">
        <v>1</v>
      </c>
      <c r="F5" s="4">
        <v>50</v>
      </c>
      <c r="G5" s="10">
        <f t="shared" ref="G5:G10" si="1">B5+C5/60</f>
        <v>11.666666666666666</v>
      </c>
      <c r="H5" s="4">
        <v>50</v>
      </c>
      <c r="I5" s="5">
        <f t="shared" ref="I5:I10" si="2">G5*D5</f>
        <v>641.66666666666663</v>
      </c>
      <c r="J5" s="5">
        <f>I5-H5</f>
        <v>591.66666666666663</v>
      </c>
      <c r="K5">
        <v>28</v>
      </c>
      <c r="M5" t="s">
        <v>26</v>
      </c>
      <c r="N5" s="83">
        <v>0</v>
      </c>
    </row>
    <row r="6" spans="1:16">
      <c r="A6" s="6" t="s">
        <v>118</v>
      </c>
      <c r="B6">
        <v>9</v>
      </c>
      <c r="C6" s="4">
        <v>12</v>
      </c>
      <c r="D6" s="4">
        <v>45</v>
      </c>
      <c r="E6" s="4">
        <v>1</v>
      </c>
      <c r="F6" s="4">
        <v>50</v>
      </c>
      <c r="G6" s="10">
        <f t="shared" si="1"/>
        <v>9.1999999999999993</v>
      </c>
      <c r="H6" s="4">
        <v>50</v>
      </c>
      <c r="I6" s="5">
        <f t="shared" si="2"/>
        <v>413.99999999999994</v>
      </c>
      <c r="J6" s="5">
        <f>I6-H6</f>
        <v>363.99999999999994</v>
      </c>
      <c r="K6">
        <v>23</v>
      </c>
      <c r="M6" t="s">
        <v>26</v>
      </c>
      <c r="N6" s="83">
        <v>0</v>
      </c>
    </row>
    <row r="7" spans="1:16">
      <c r="A7" s="6" t="s">
        <v>119</v>
      </c>
      <c r="B7">
        <v>10</v>
      </c>
      <c r="C7" s="4">
        <v>45</v>
      </c>
      <c r="D7" s="4">
        <v>55</v>
      </c>
      <c r="E7" s="4">
        <v>1</v>
      </c>
      <c r="F7" s="4">
        <v>50</v>
      </c>
      <c r="G7" s="10">
        <f t="shared" si="1"/>
        <v>10.75</v>
      </c>
      <c r="H7" s="4">
        <v>50</v>
      </c>
      <c r="I7" s="5">
        <f t="shared" si="2"/>
        <v>591.25</v>
      </c>
      <c r="J7" s="5">
        <f>I7-H7</f>
        <v>541.25</v>
      </c>
      <c r="K7">
        <v>28</v>
      </c>
      <c r="M7" t="s">
        <v>26</v>
      </c>
      <c r="N7" s="83">
        <v>0</v>
      </c>
    </row>
    <row r="8" spans="1:16">
      <c r="A8" s="6" t="s">
        <v>120</v>
      </c>
      <c r="B8">
        <v>8</v>
      </c>
      <c r="C8" s="4">
        <v>58</v>
      </c>
      <c r="D8" s="4">
        <v>55</v>
      </c>
      <c r="E8" s="4">
        <v>1</v>
      </c>
      <c r="F8" s="4">
        <v>50</v>
      </c>
      <c r="G8" s="10">
        <f t="shared" si="1"/>
        <v>8.9666666666666668</v>
      </c>
      <c r="H8" s="4">
        <v>50</v>
      </c>
      <c r="I8" s="5">
        <f t="shared" si="2"/>
        <v>493.16666666666669</v>
      </c>
      <c r="J8" s="5">
        <f>I8-H8</f>
        <v>443.16666666666669</v>
      </c>
      <c r="K8">
        <v>27</v>
      </c>
      <c r="M8" t="s">
        <v>26</v>
      </c>
      <c r="N8" s="83">
        <f>150+150</f>
        <v>300</v>
      </c>
      <c r="P8" t="s">
        <v>121</v>
      </c>
    </row>
    <row r="9" spans="1:16">
      <c r="A9" s="6" t="s">
        <v>122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>
        <f t="shared" si="1"/>
        <v>0</v>
      </c>
      <c r="H9" s="4">
        <v>0</v>
      </c>
      <c r="I9" s="5">
        <f t="shared" si="2"/>
        <v>0</v>
      </c>
      <c r="J9" s="5">
        <v>0</v>
      </c>
      <c r="K9">
        <v>0</v>
      </c>
      <c r="N9" s="81">
        <v>3250</v>
      </c>
    </row>
    <row r="10" spans="1:16" ht="16" thickBot="1">
      <c r="A10" s="6" t="s">
        <v>123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f t="shared" si="1"/>
        <v>0</v>
      </c>
      <c r="H10" s="12">
        <v>0</v>
      </c>
      <c r="I10" s="5">
        <f t="shared" si="2"/>
        <v>0</v>
      </c>
      <c r="J10" s="88">
        <v>0</v>
      </c>
      <c r="K10">
        <v>0</v>
      </c>
      <c r="N10" s="81">
        <v>150</v>
      </c>
      <c r="P10" t="s">
        <v>89</v>
      </c>
    </row>
    <row r="11" spans="1:16" s="86" customFormat="1" ht="20" thickBot="1">
      <c r="A11" s="91" t="s">
        <v>11</v>
      </c>
      <c r="B11" s="92">
        <f>SUM(B12:B18)</f>
        <v>62</v>
      </c>
      <c r="C11" s="92">
        <f>SUM(C12:C18)</f>
        <v>111</v>
      </c>
      <c r="D11" s="92">
        <f>SUM(D12)</f>
        <v>45</v>
      </c>
      <c r="E11" s="92">
        <f>SUM(E12:E18)</f>
        <v>6</v>
      </c>
      <c r="F11" s="92">
        <f>SUM(F12:F18)</f>
        <v>350</v>
      </c>
      <c r="G11" s="93">
        <f>B11+C11/60</f>
        <v>63.85</v>
      </c>
      <c r="H11" s="92">
        <f>SUM(H12:H18)</f>
        <v>300</v>
      </c>
      <c r="I11" s="94">
        <f>SUM(I12:I18)</f>
        <v>3297.083333333333</v>
      </c>
      <c r="J11" s="95">
        <f>SUM(J12:J18)</f>
        <v>2997.083333333333</v>
      </c>
      <c r="K11" s="8">
        <f>SUM(K12:K17)</f>
        <v>101</v>
      </c>
      <c r="L11" s="9">
        <v>0</v>
      </c>
      <c r="M11" s="96">
        <f>J11+L11</f>
        <v>2997.083333333333</v>
      </c>
      <c r="N11" s="97">
        <f>SUM(N12:N18)</f>
        <v>3080</v>
      </c>
      <c r="O11" s="98">
        <f>2916-N11</f>
        <v>-164</v>
      </c>
    </row>
    <row r="12" spans="1:16">
      <c r="A12" s="6" t="s">
        <v>124</v>
      </c>
      <c r="B12" s="4">
        <v>10</v>
      </c>
      <c r="C12" s="4">
        <v>28</v>
      </c>
      <c r="D12" s="4">
        <v>45</v>
      </c>
      <c r="E12" s="4">
        <v>1</v>
      </c>
      <c r="F12" s="4">
        <v>50</v>
      </c>
      <c r="G12" s="10">
        <f>B12+C12/60</f>
        <v>10.466666666666667</v>
      </c>
      <c r="H12" s="4">
        <v>50</v>
      </c>
      <c r="I12" s="5">
        <f>G12*D12</f>
        <v>471</v>
      </c>
      <c r="J12" s="5">
        <f>I12-H12</f>
        <v>421</v>
      </c>
      <c r="K12">
        <v>22</v>
      </c>
      <c r="M12" t="s">
        <v>26</v>
      </c>
      <c r="N12" s="83">
        <f>150+190</f>
        <v>340</v>
      </c>
      <c r="P12" t="s">
        <v>46</v>
      </c>
    </row>
    <row r="13" spans="1:16">
      <c r="A13" s="6" t="s">
        <v>125</v>
      </c>
      <c r="B13" s="4">
        <v>11</v>
      </c>
      <c r="C13" s="4">
        <v>0</v>
      </c>
      <c r="D13" s="4">
        <v>45</v>
      </c>
      <c r="E13" s="4">
        <v>1</v>
      </c>
      <c r="F13" s="4">
        <v>50</v>
      </c>
      <c r="G13" s="10">
        <f t="shared" ref="G13:G18" si="3">B13+C13/60</f>
        <v>11</v>
      </c>
      <c r="H13" s="4">
        <v>50</v>
      </c>
      <c r="I13" s="5">
        <f>G13*D13</f>
        <v>495</v>
      </c>
      <c r="J13" s="5">
        <f t="shared" ref="J13:J18" si="4">I13-H13</f>
        <v>445</v>
      </c>
      <c r="K13">
        <v>22</v>
      </c>
      <c r="N13" s="83">
        <v>440</v>
      </c>
    </row>
    <row r="14" spans="1:16">
      <c r="A14" s="6"/>
      <c r="B14" s="4"/>
      <c r="C14" s="4"/>
      <c r="D14" s="4">
        <v>45</v>
      </c>
      <c r="E14" s="4">
        <v>0</v>
      </c>
      <c r="F14" s="4">
        <v>50</v>
      </c>
      <c r="G14" s="10">
        <f t="shared" si="3"/>
        <v>0</v>
      </c>
      <c r="H14" s="4">
        <v>0</v>
      </c>
      <c r="I14" s="5">
        <f t="shared" ref="I14:I18" si="5">G14*D14</f>
        <v>0</v>
      </c>
      <c r="J14" s="5">
        <f t="shared" si="4"/>
        <v>0</v>
      </c>
      <c r="N14" s="51">
        <v>0</v>
      </c>
    </row>
    <row r="15" spans="1:16">
      <c r="A15" s="6" t="s">
        <v>126</v>
      </c>
      <c r="B15" s="4">
        <v>10</v>
      </c>
      <c r="C15" s="4">
        <v>4</v>
      </c>
      <c r="D15" s="4">
        <v>55</v>
      </c>
      <c r="E15" s="4">
        <v>1</v>
      </c>
      <c r="F15" s="4">
        <v>50</v>
      </c>
      <c r="G15" s="10">
        <f t="shared" si="3"/>
        <v>10.066666666666666</v>
      </c>
      <c r="H15" s="4">
        <v>50</v>
      </c>
      <c r="I15" s="5">
        <f t="shared" si="5"/>
        <v>553.66666666666663</v>
      </c>
      <c r="J15" s="5">
        <f t="shared" si="4"/>
        <v>503.66666666666663</v>
      </c>
      <c r="N15" s="83">
        <v>570</v>
      </c>
    </row>
    <row r="16" spans="1:16">
      <c r="A16" s="6" t="s">
        <v>127</v>
      </c>
      <c r="B16" s="4">
        <v>11</v>
      </c>
      <c r="C16" s="4">
        <v>0</v>
      </c>
      <c r="D16" s="4">
        <v>55</v>
      </c>
      <c r="E16" s="4">
        <v>1</v>
      </c>
      <c r="F16" s="4">
        <v>50</v>
      </c>
      <c r="G16" s="10">
        <f t="shared" si="3"/>
        <v>11</v>
      </c>
      <c r="H16" s="4">
        <v>50</v>
      </c>
      <c r="I16" s="5">
        <f t="shared" si="5"/>
        <v>605</v>
      </c>
      <c r="J16" s="5">
        <f t="shared" si="4"/>
        <v>555</v>
      </c>
      <c r="K16">
        <v>29</v>
      </c>
      <c r="N16" s="83">
        <v>550</v>
      </c>
      <c r="P16" t="s">
        <v>128</v>
      </c>
    </row>
    <row r="17" spans="1:16">
      <c r="A17" s="6" t="s">
        <v>129</v>
      </c>
      <c r="B17" s="4">
        <v>10</v>
      </c>
      <c r="C17" s="4">
        <v>25</v>
      </c>
      <c r="D17" s="4">
        <v>55</v>
      </c>
      <c r="E17" s="4">
        <v>1</v>
      </c>
      <c r="F17" s="4">
        <v>50</v>
      </c>
      <c r="G17" s="10">
        <f t="shared" si="3"/>
        <v>10.416666666666666</v>
      </c>
      <c r="H17" s="4">
        <v>50</v>
      </c>
      <c r="I17" s="5">
        <f t="shared" si="5"/>
        <v>572.91666666666663</v>
      </c>
      <c r="J17" s="5">
        <f t="shared" si="4"/>
        <v>522.91666666666663</v>
      </c>
      <c r="K17">
        <v>28</v>
      </c>
      <c r="N17" s="83"/>
    </row>
    <row r="18" spans="1:16" ht="16" thickBot="1">
      <c r="A18" s="6" t="s">
        <v>130</v>
      </c>
      <c r="B18" s="4">
        <v>10</v>
      </c>
      <c r="C18" s="4">
        <v>54</v>
      </c>
      <c r="D18" s="4">
        <v>55</v>
      </c>
      <c r="E18" s="4">
        <v>1</v>
      </c>
      <c r="F18" s="4">
        <v>50</v>
      </c>
      <c r="G18" s="10">
        <f t="shared" si="3"/>
        <v>10.9</v>
      </c>
      <c r="H18" s="4">
        <v>50</v>
      </c>
      <c r="I18" s="5">
        <f t="shared" si="5"/>
        <v>599.5</v>
      </c>
      <c r="J18" s="5">
        <f t="shared" si="4"/>
        <v>549.5</v>
      </c>
      <c r="K18">
        <v>29</v>
      </c>
      <c r="N18" s="83">
        <f>1160+20</f>
        <v>1180</v>
      </c>
    </row>
    <row r="19" spans="1:16" s="86" customFormat="1" ht="20" thickBot="1">
      <c r="A19" s="91" t="s">
        <v>14</v>
      </c>
      <c r="B19" s="8">
        <f>SUM(B20:B25)</f>
        <v>44</v>
      </c>
      <c r="C19" s="8">
        <f>SUM(C20:C25)</f>
        <v>133</v>
      </c>
      <c r="D19" s="8">
        <f>SUM(D20)</f>
        <v>45</v>
      </c>
      <c r="E19" s="8">
        <f>SUM(E20:E26)</f>
        <v>4</v>
      </c>
      <c r="F19" s="8">
        <f>SUM(F20:F25)</f>
        <v>300</v>
      </c>
      <c r="G19" s="93">
        <f t="shared" ref="G19:G66" si="6">B19+C19/60</f>
        <v>46.216666666666669</v>
      </c>
      <c r="H19" s="8">
        <f>SUM(H20:H25)</f>
        <v>200</v>
      </c>
      <c r="I19" s="9">
        <f>SUM(I20:I26)</f>
        <v>3004.083333333333</v>
      </c>
      <c r="J19" s="14">
        <f>SUM(J20:J26)</f>
        <v>2804.083333333333</v>
      </c>
      <c r="K19" s="8">
        <f>SUM(K20:K25)</f>
        <v>139</v>
      </c>
      <c r="L19" s="9">
        <v>200</v>
      </c>
      <c r="M19" s="96">
        <f>J19+L19</f>
        <v>3004.083333333333</v>
      </c>
      <c r="N19" s="99">
        <f>SUM(N20:N26)</f>
        <v>3430</v>
      </c>
      <c r="O19" s="98">
        <f>3557-N19</f>
        <v>127</v>
      </c>
    </row>
    <row r="20" spans="1:16">
      <c r="A20" s="78" t="s">
        <v>131</v>
      </c>
      <c r="B20" s="4"/>
      <c r="C20" s="4"/>
      <c r="D20" s="4">
        <v>45</v>
      </c>
      <c r="E20" s="4">
        <v>0</v>
      </c>
      <c r="F20" s="4">
        <v>50</v>
      </c>
      <c r="G20" s="10">
        <f>B20+C20/60</f>
        <v>0</v>
      </c>
      <c r="H20" s="4"/>
      <c r="I20" s="5">
        <f t="shared" ref="I20:I49" si="7">G20*D20</f>
        <v>0</v>
      </c>
      <c r="J20" s="5">
        <f t="shared" ref="J20:J57" si="8">I20-H20</f>
        <v>0</v>
      </c>
      <c r="N20" s="51">
        <v>0</v>
      </c>
    </row>
    <row r="21" spans="1:16">
      <c r="A21" s="78" t="s">
        <v>132</v>
      </c>
      <c r="B21" s="4">
        <v>9</v>
      </c>
      <c r="C21" s="4">
        <v>39</v>
      </c>
      <c r="D21" s="4">
        <v>65</v>
      </c>
      <c r="E21" s="4">
        <v>1</v>
      </c>
      <c r="F21" s="4">
        <v>50</v>
      </c>
      <c r="G21" s="10">
        <f t="shared" ref="G21:G26" si="9">B21+C21/60</f>
        <v>9.65</v>
      </c>
      <c r="H21" s="4">
        <v>50</v>
      </c>
      <c r="I21" s="5">
        <f t="shared" si="7"/>
        <v>627.25</v>
      </c>
      <c r="J21" s="5">
        <f t="shared" si="8"/>
        <v>577.25</v>
      </c>
      <c r="K21">
        <v>34</v>
      </c>
      <c r="N21" s="51">
        <v>0</v>
      </c>
    </row>
    <row r="22" spans="1:16">
      <c r="A22" s="78" t="s">
        <v>126</v>
      </c>
      <c r="B22" s="4"/>
      <c r="C22" s="4"/>
      <c r="D22" s="4">
        <v>45</v>
      </c>
      <c r="E22" s="4">
        <v>0</v>
      </c>
      <c r="F22" s="4">
        <v>50</v>
      </c>
      <c r="G22" s="10">
        <f t="shared" si="9"/>
        <v>0</v>
      </c>
      <c r="H22" s="4"/>
      <c r="I22" s="5">
        <f t="shared" si="7"/>
        <v>0</v>
      </c>
      <c r="J22" s="5">
        <f t="shared" si="8"/>
        <v>0</v>
      </c>
      <c r="N22" s="51">
        <v>0</v>
      </c>
    </row>
    <row r="23" spans="1:16">
      <c r="A23" s="78" t="s">
        <v>133</v>
      </c>
      <c r="B23" s="4">
        <v>12</v>
      </c>
      <c r="C23" s="4">
        <v>47</v>
      </c>
      <c r="D23" s="4">
        <v>65</v>
      </c>
      <c r="E23" s="4">
        <v>1</v>
      </c>
      <c r="F23" s="4">
        <v>50</v>
      </c>
      <c r="G23" s="10">
        <f t="shared" si="9"/>
        <v>12.783333333333333</v>
      </c>
      <c r="H23" s="4">
        <v>50</v>
      </c>
      <c r="I23" s="5">
        <f t="shared" si="7"/>
        <v>830.91666666666663</v>
      </c>
      <c r="J23" s="5">
        <f t="shared" si="8"/>
        <v>780.91666666666663</v>
      </c>
      <c r="K23">
        <v>32</v>
      </c>
      <c r="N23" s="83">
        <f>200+800</f>
        <v>1000</v>
      </c>
      <c r="P23" t="s">
        <v>134</v>
      </c>
    </row>
    <row r="24" spans="1:16">
      <c r="A24" s="78" t="s">
        <v>129</v>
      </c>
      <c r="B24" s="4">
        <v>12</v>
      </c>
      <c r="C24" s="4">
        <v>0</v>
      </c>
      <c r="D24" s="4">
        <v>65</v>
      </c>
      <c r="E24" s="4">
        <v>1</v>
      </c>
      <c r="F24" s="4">
        <v>50</v>
      </c>
      <c r="G24" s="10">
        <f t="shared" si="9"/>
        <v>12</v>
      </c>
      <c r="H24" s="4">
        <v>50</v>
      </c>
      <c r="I24" s="5">
        <f t="shared" si="7"/>
        <v>780</v>
      </c>
      <c r="J24" s="5">
        <f t="shared" si="8"/>
        <v>730</v>
      </c>
      <c r="K24">
        <v>37</v>
      </c>
      <c r="N24" s="83"/>
      <c r="P24" t="s">
        <v>135</v>
      </c>
    </row>
    <row r="25" spans="1:16">
      <c r="A25" s="78" t="s">
        <v>130</v>
      </c>
      <c r="B25" s="4">
        <v>11</v>
      </c>
      <c r="C25" s="4">
        <v>47</v>
      </c>
      <c r="D25" s="4">
        <v>65</v>
      </c>
      <c r="E25" s="4">
        <v>1</v>
      </c>
      <c r="F25" s="4">
        <v>50</v>
      </c>
      <c r="G25" s="10">
        <f t="shared" si="9"/>
        <v>11.783333333333333</v>
      </c>
      <c r="H25" s="4">
        <v>50</v>
      </c>
      <c r="I25" s="5">
        <f t="shared" si="7"/>
        <v>765.91666666666663</v>
      </c>
      <c r="J25" s="5">
        <f t="shared" si="8"/>
        <v>715.91666666666663</v>
      </c>
      <c r="K25">
        <v>36</v>
      </c>
      <c r="N25" s="83">
        <f>2430</f>
        <v>2430</v>
      </c>
    </row>
    <row r="26" spans="1:16" ht="16" thickBot="1">
      <c r="A26" s="78"/>
      <c r="B26" s="4"/>
      <c r="C26" s="4"/>
      <c r="D26" s="4">
        <v>65</v>
      </c>
      <c r="E26" s="4">
        <v>0</v>
      </c>
      <c r="F26" s="4">
        <v>50</v>
      </c>
      <c r="G26" s="10">
        <f t="shared" si="9"/>
        <v>0</v>
      </c>
      <c r="H26" s="4"/>
      <c r="I26" s="5">
        <f t="shared" si="7"/>
        <v>0</v>
      </c>
      <c r="J26" s="5">
        <f t="shared" si="8"/>
        <v>0</v>
      </c>
      <c r="N26" s="51">
        <v>0</v>
      </c>
    </row>
    <row r="27" spans="1:16" s="86" customFormat="1" ht="20" thickBot="1">
      <c r="A27" s="91" t="s">
        <v>15</v>
      </c>
      <c r="B27" s="8">
        <f>SUM(B28:B33)</f>
        <v>50</v>
      </c>
      <c r="C27" s="8">
        <f>SUM(C28:C33)</f>
        <v>179</v>
      </c>
      <c r="D27" s="8">
        <f>SUM(D28)</f>
        <v>0</v>
      </c>
      <c r="E27" s="8">
        <f>SUM(E28:E33)</f>
        <v>5</v>
      </c>
      <c r="F27" s="8">
        <f>SUM(F28:F33)</f>
        <v>250</v>
      </c>
      <c r="G27" s="93">
        <f>B27+C27/60</f>
        <v>52.983333333333334</v>
      </c>
      <c r="H27" s="8">
        <f>SUM(H28:H33)</f>
        <v>250</v>
      </c>
      <c r="I27" s="9">
        <f>SUM(I28:I33)</f>
        <v>2617.25</v>
      </c>
      <c r="J27" s="14">
        <f>SUM(J28:J33)</f>
        <v>2367.25</v>
      </c>
      <c r="K27" s="8">
        <f>SUM(K28:K33)</f>
        <v>127</v>
      </c>
      <c r="L27" s="9">
        <v>0</v>
      </c>
      <c r="M27" s="96">
        <f>J27+L27</f>
        <v>2367.25</v>
      </c>
      <c r="N27" s="99">
        <f>SUM(N28:N33)</f>
        <v>2530</v>
      </c>
      <c r="O27" s="98">
        <f>2630-N27</f>
        <v>100</v>
      </c>
    </row>
    <row r="28" spans="1:16">
      <c r="A28" s="78"/>
      <c r="B28" s="4"/>
      <c r="C28" s="4"/>
      <c r="D28" s="4">
        <v>0</v>
      </c>
      <c r="E28" s="4">
        <v>0</v>
      </c>
      <c r="F28" s="4">
        <v>0</v>
      </c>
      <c r="G28" s="10">
        <f>B28+C28/60</f>
        <v>0</v>
      </c>
      <c r="H28" s="4"/>
      <c r="I28" s="5">
        <f>G28*D28</f>
        <v>0</v>
      </c>
      <c r="J28" s="5">
        <f>I28-H28</f>
        <v>0</v>
      </c>
      <c r="N28" s="51">
        <v>0</v>
      </c>
    </row>
    <row r="29" spans="1:16">
      <c r="A29" s="78" t="s">
        <v>132</v>
      </c>
      <c r="B29" s="4">
        <v>10</v>
      </c>
      <c r="C29" s="4">
        <v>41</v>
      </c>
      <c r="D29" s="4">
        <v>45</v>
      </c>
      <c r="E29" s="4">
        <v>1</v>
      </c>
      <c r="F29" s="4">
        <v>50</v>
      </c>
      <c r="G29" s="10">
        <f t="shared" ref="G29:G33" si="10">B29+C29/60</f>
        <v>10.683333333333334</v>
      </c>
      <c r="H29" s="4">
        <v>50</v>
      </c>
      <c r="I29" s="5">
        <f>G29*D29</f>
        <v>480.75</v>
      </c>
      <c r="J29" s="5">
        <f>I29-H29</f>
        <v>430.75</v>
      </c>
      <c r="K29">
        <v>24</v>
      </c>
      <c r="N29" s="83">
        <f>150</f>
        <v>150</v>
      </c>
      <c r="P29" t="s">
        <v>46</v>
      </c>
    </row>
    <row r="30" spans="1:16">
      <c r="A30" s="78" t="s">
        <v>126</v>
      </c>
      <c r="B30" s="4">
        <v>10</v>
      </c>
      <c r="C30" s="4">
        <v>6</v>
      </c>
      <c r="D30" s="4">
        <v>45</v>
      </c>
      <c r="E30" s="4">
        <v>1</v>
      </c>
      <c r="F30" s="4">
        <v>50</v>
      </c>
      <c r="G30" s="10">
        <f t="shared" si="10"/>
        <v>10.1</v>
      </c>
      <c r="H30" s="4">
        <v>50</v>
      </c>
      <c r="I30" s="5">
        <f t="shared" ref="I30:I33" si="11">G30*D30</f>
        <v>454.5</v>
      </c>
      <c r="J30" s="5">
        <f t="shared" ref="J30:J33" si="12">I30-H30</f>
        <v>404.5</v>
      </c>
      <c r="K30">
        <v>26</v>
      </c>
      <c r="N30" s="51">
        <v>0</v>
      </c>
      <c r="P30" s="108"/>
    </row>
    <row r="31" spans="1:16">
      <c r="A31" s="78" t="s">
        <v>133</v>
      </c>
      <c r="B31" s="4">
        <v>11</v>
      </c>
      <c r="C31" s="4">
        <v>39</v>
      </c>
      <c r="D31" s="4">
        <v>65</v>
      </c>
      <c r="E31" s="4">
        <v>1</v>
      </c>
      <c r="F31" s="4">
        <v>50</v>
      </c>
      <c r="G31" s="10">
        <f t="shared" si="10"/>
        <v>11.65</v>
      </c>
      <c r="H31" s="4">
        <v>50</v>
      </c>
      <c r="I31" s="5">
        <f t="shared" si="11"/>
        <v>757.25</v>
      </c>
      <c r="J31" s="5">
        <f t="shared" si="12"/>
        <v>707.25</v>
      </c>
      <c r="K31">
        <v>33</v>
      </c>
      <c r="N31" s="51">
        <v>0</v>
      </c>
    </row>
    <row r="32" spans="1:16">
      <c r="A32" s="78" t="s">
        <v>129</v>
      </c>
      <c r="B32" s="4">
        <v>9</v>
      </c>
      <c r="C32" s="4">
        <v>44</v>
      </c>
      <c r="D32" s="4">
        <v>45</v>
      </c>
      <c r="E32" s="4">
        <v>1</v>
      </c>
      <c r="F32" s="4">
        <v>50</v>
      </c>
      <c r="G32" s="10">
        <f t="shared" si="10"/>
        <v>9.7333333333333325</v>
      </c>
      <c r="H32" s="4">
        <v>50</v>
      </c>
      <c r="I32" s="5">
        <f t="shared" si="11"/>
        <v>437.99999999999994</v>
      </c>
      <c r="J32" s="5">
        <f t="shared" si="12"/>
        <v>387.99999999999994</v>
      </c>
      <c r="K32">
        <v>20</v>
      </c>
      <c r="N32" s="51">
        <v>100</v>
      </c>
    </row>
    <row r="33" spans="1:16" ht="16" thickBot="1">
      <c r="A33" s="78" t="s">
        <v>130</v>
      </c>
      <c r="B33" s="4">
        <v>10</v>
      </c>
      <c r="C33" s="4">
        <v>49</v>
      </c>
      <c r="D33" s="4">
        <v>45</v>
      </c>
      <c r="E33" s="4">
        <v>1</v>
      </c>
      <c r="F33" s="4">
        <v>50</v>
      </c>
      <c r="G33" s="10">
        <f t="shared" si="10"/>
        <v>10.816666666666666</v>
      </c>
      <c r="H33" s="4">
        <v>50</v>
      </c>
      <c r="I33" s="5">
        <f t="shared" si="11"/>
        <v>486.75</v>
      </c>
      <c r="J33" s="5">
        <f t="shared" si="12"/>
        <v>436.75</v>
      </c>
      <c r="K33">
        <v>24</v>
      </c>
      <c r="N33" s="83">
        <v>2280</v>
      </c>
      <c r="P33" t="s">
        <v>136</v>
      </c>
    </row>
    <row r="34" spans="1:16" s="54" customFormat="1" ht="20" thickBot="1">
      <c r="A34" s="72" t="s">
        <v>18</v>
      </c>
      <c r="B34" s="44">
        <f>SUM(B35:B41)</f>
        <v>49</v>
      </c>
      <c r="C34" s="44">
        <f>SUM(C35:C41)</f>
        <v>199</v>
      </c>
      <c r="D34" s="44">
        <f>SUM(D35)</f>
        <v>55</v>
      </c>
      <c r="E34" s="44">
        <f>SUM(E35:E41)</f>
        <v>6</v>
      </c>
      <c r="F34" s="44">
        <f>SUM(F35:F40)</f>
        <v>300</v>
      </c>
      <c r="G34" s="67">
        <f t="shared" si="6"/>
        <v>52.31666666666667</v>
      </c>
      <c r="H34" s="44">
        <f>SUM(H35:H41)</f>
        <v>300</v>
      </c>
      <c r="I34" s="46">
        <f>SUM(I35:I41)</f>
        <v>2625.416666666667</v>
      </c>
      <c r="J34" s="47">
        <f>SUM(J35:J41)</f>
        <v>2325.416666666667</v>
      </c>
      <c r="K34" s="44">
        <f>SUM(K35:K41)</f>
        <v>149</v>
      </c>
      <c r="L34" s="46">
        <v>0</v>
      </c>
      <c r="M34" s="69">
        <f>J34+L34</f>
        <v>2325.416666666667</v>
      </c>
      <c r="N34" s="55">
        <f>SUM(N35:N41)</f>
        <v>3220</v>
      </c>
      <c r="O34" s="107">
        <f>3210-N34</f>
        <v>-10</v>
      </c>
    </row>
    <row r="35" spans="1:16" ht="19">
      <c r="A35" s="6">
        <v>46041</v>
      </c>
      <c r="B35" s="4">
        <v>9</v>
      </c>
      <c r="C35" s="4">
        <v>20</v>
      </c>
      <c r="D35" s="4">
        <v>55</v>
      </c>
      <c r="E35" s="4">
        <v>1</v>
      </c>
      <c r="F35" s="4">
        <v>50</v>
      </c>
      <c r="G35" s="10">
        <f>B35+C35/60</f>
        <v>9.3333333333333339</v>
      </c>
      <c r="H35" s="4">
        <v>50</v>
      </c>
      <c r="I35" s="5">
        <f t="shared" ref="I35:I40" si="13">G35*D35</f>
        <v>513.33333333333337</v>
      </c>
      <c r="J35" s="5">
        <f t="shared" ref="J35:J40" si="14">I35-H35</f>
        <v>463.33333333333337</v>
      </c>
      <c r="K35">
        <v>27</v>
      </c>
      <c r="N35" s="83">
        <v>150</v>
      </c>
      <c r="O35" s="49"/>
      <c r="P35" t="s">
        <v>137</v>
      </c>
    </row>
    <row r="36" spans="1:16" ht="19">
      <c r="A36" s="6">
        <v>46042</v>
      </c>
      <c r="B36" s="4">
        <v>8</v>
      </c>
      <c r="C36" s="4">
        <v>26</v>
      </c>
      <c r="D36" s="4">
        <v>55</v>
      </c>
      <c r="E36" s="4">
        <v>1</v>
      </c>
      <c r="F36" s="4">
        <v>50</v>
      </c>
      <c r="G36" s="10">
        <f t="shared" ref="G36:G40" si="15">B36+C36/60</f>
        <v>8.4333333333333336</v>
      </c>
      <c r="H36" s="4">
        <v>50</v>
      </c>
      <c r="I36" s="5">
        <f t="shared" si="13"/>
        <v>463.83333333333337</v>
      </c>
      <c r="J36" s="5">
        <f t="shared" si="14"/>
        <v>413.83333333333337</v>
      </c>
      <c r="K36">
        <v>28</v>
      </c>
      <c r="N36" s="83">
        <f>750+410</f>
        <v>1160</v>
      </c>
      <c r="O36" s="49"/>
    </row>
    <row r="37" spans="1:16">
      <c r="A37" s="6">
        <v>46043</v>
      </c>
      <c r="B37" s="4">
        <v>8</v>
      </c>
      <c r="C37" s="4">
        <v>37</v>
      </c>
      <c r="D37" s="4">
        <v>45</v>
      </c>
      <c r="E37" s="4">
        <v>1</v>
      </c>
      <c r="F37" s="4">
        <v>50</v>
      </c>
      <c r="G37" s="10">
        <f t="shared" si="15"/>
        <v>8.6166666666666671</v>
      </c>
      <c r="H37" s="4">
        <v>50</v>
      </c>
      <c r="I37" s="5">
        <f t="shared" si="13"/>
        <v>387.75</v>
      </c>
      <c r="J37" s="5">
        <f t="shared" si="14"/>
        <v>337.75</v>
      </c>
      <c r="K37">
        <v>24</v>
      </c>
      <c r="N37" s="83">
        <v>150</v>
      </c>
      <c r="P37" t="s">
        <v>89</v>
      </c>
    </row>
    <row r="38" spans="1:16">
      <c r="A38" s="6">
        <v>46044</v>
      </c>
      <c r="B38" s="4">
        <f>7+1</f>
        <v>8</v>
      </c>
      <c r="C38" s="4">
        <f>16+31</f>
        <v>47</v>
      </c>
      <c r="D38" s="4">
        <v>45</v>
      </c>
      <c r="E38" s="4">
        <v>1</v>
      </c>
      <c r="F38" s="4">
        <v>50</v>
      </c>
      <c r="G38" s="10">
        <f t="shared" si="15"/>
        <v>8.7833333333333332</v>
      </c>
      <c r="H38" s="4">
        <v>50</v>
      </c>
      <c r="I38" s="5">
        <f t="shared" si="13"/>
        <v>395.25</v>
      </c>
      <c r="J38" s="5">
        <f t="shared" si="14"/>
        <v>345.25</v>
      </c>
      <c r="K38">
        <v>19</v>
      </c>
      <c r="N38" s="83">
        <f>150+190</f>
        <v>340</v>
      </c>
      <c r="P38" t="s">
        <v>138</v>
      </c>
    </row>
    <row r="39" spans="1:16">
      <c r="A39" s="6">
        <v>46045</v>
      </c>
      <c r="B39" s="4">
        <v>9</v>
      </c>
      <c r="C39" s="4">
        <v>21</v>
      </c>
      <c r="D39" s="4">
        <v>55</v>
      </c>
      <c r="E39" s="4">
        <v>1</v>
      </c>
      <c r="F39" s="4">
        <v>50</v>
      </c>
      <c r="G39" s="10">
        <f t="shared" si="15"/>
        <v>9.35</v>
      </c>
      <c r="H39" s="4">
        <v>50</v>
      </c>
      <c r="I39" s="5">
        <f t="shared" si="13"/>
        <v>514.25</v>
      </c>
      <c r="J39" s="5">
        <f t="shared" si="14"/>
        <v>464.25</v>
      </c>
      <c r="K39">
        <v>28</v>
      </c>
      <c r="N39" s="83">
        <f>150+590</f>
        <v>740</v>
      </c>
      <c r="P39" t="s">
        <v>53</v>
      </c>
    </row>
    <row r="40" spans="1:16">
      <c r="A40" s="6">
        <v>46046</v>
      </c>
      <c r="B40" s="4">
        <v>7</v>
      </c>
      <c r="C40" s="4">
        <v>48</v>
      </c>
      <c r="D40" s="4">
        <v>45</v>
      </c>
      <c r="E40" s="4">
        <v>1</v>
      </c>
      <c r="F40" s="4">
        <v>50</v>
      </c>
      <c r="G40" s="10">
        <f t="shared" si="15"/>
        <v>7.8</v>
      </c>
      <c r="H40" s="4">
        <v>50</v>
      </c>
      <c r="I40" s="5">
        <f t="shared" si="13"/>
        <v>351</v>
      </c>
      <c r="J40" s="5">
        <f t="shared" si="14"/>
        <v>301</v>
      </c>
      <c r="K40">
        <v>23</v>
      </c>
      <c r="N40" s="83">
        <f>330+150</f>
        <v>480</v>
      </c>
      <c r="P40" s="51" t="s">
        <v>137</v>
      </c>
    </row>
    <row r="41" spans="1:16" ht="16" thickBot="1">
      <c r="A41" s="6">
        <v>46047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10">
        <v>0</v>
      </c>
      <c r="H41" s="4">
        <v>0</v>
      </c>
      <c r="I41" s="10">
        <v>0</v>
      </c>
      <c r="J41" s="4">
        <v>0</v>
      </c>
      <c r="K41" s="105">
        <v>0</v>
      </c>
      <c r="L41" s="106"/>
      <c r="N41" s="83">
        <v>200</v>
      </c>
    </row>
    <row r="42" spans="1:16" s="86" customFormat="1" ht="20" thickBot="1">
      <c r="A42" s="91" t="s">
        <v>48</v>
      </c>
      <c r="B42" s="8">
        <f>SUM(B43:B49)</f>
        <v>55</v>
      </c>
      <c r="C42" s="8">
        <f>SUM(C43:C49)</f>
        <v>152</v>
      </c>
      <c r="D42" s="8">
        <f>SUM(D43)</f>
        <v>45</v>
      </c>
      <c r="E42" s="8">
        <f>SUM(E43:E49)</f>
        <v>6</v>
      </c>
      <c r="F42" s="8">
        <f>SUM(F43:F49)</f>
        <v>350</v>
      </c>
      <c r="G42" s="93">
        <f t="shared" si="6"/>
        <v>57.533333333333331</v>
      </c>
      <c r="H42" s="8">
        <f>SUM(H43:H49)</f>
        <v>300</v>
      </c>
      <c r="I42" s="100">
        <f>SUM(I43:I49)</f>
        <v>3212.5</v>
      </c>
      <c r="J42" s="101">
        <f>SUM(J43:J49)</f>
        <v>2912.5</v>
      </c>
      <c r="K42" s="103">
        <f>SUM(K43:K49)</f>
        <v>153</v>
      </c>
      <c r="L42" s="104">
        <v>0</v>
      </c>
      <c r="M42" s="96">
        <f>J42+L42</f>
        <v>2912.5</v>
      </c>
      <c r="N42" s="99">
        <f>SUM(N43:N49)</f>
        <v>3661</v>
      </c>
      <c r="O42" s="98">
        <f>3997-N42</f>
        <v>336</v>
      </c>
    </row>
    <row r="43" spans="1:16">
      <c r="A43" s="80" t="s">
        <v>124</v>
      </c>
      <c r="B43" s="4">
        <v>8</v>
      </c>
      <c r="C43" s="4">
        <v>52</v>
      </c>
      <c r="D43" s="4">
        <v>45</v>
      </c>
      <c r="E43" s="4">
        <v>1</v>
      </c>
      <c r="F43" s="4">
        <v>50</v>
      </c>
      <c r="G43" s="10">
        <f t="shared" si="6"/>
        <v>8.8666666666666671</v>
      </c>
      <c r="H43" s="4">
        <v>50</v>
      </c>
      <c r="I43" s="5">
        <f t="shared" si="7"/>
        <v>399</v>
      </c>
      <c r="J43" s="5">
        <f>I43-H43</f>
        <v>349</v>
      </c>
      <c r="K43">
        <v>16</v>
      </c>
      <c r="N43" s="81">
        <v>971</v>
      </c>
      <c r="P43" s="109"/>
    </row>
    <row r="44" spans="1:16">
      <c r="A44" s="6">
        <v>46042</v>
      </c>
      <c r="B44" s="4">
        <v>7</v>
      </c>
      <c r="C44" s="4">
        <v>9</v>
      </c>
      <c r="D44" s="4">
        <v>45</v>
      </c>
      <c r="E44" s="4">
        <v>1</v>
      </c>
      <c r="F44" s="4">
        <v>50</v>
      </c>
      <c r="G44" s="10">
        <f t="shared" si="6"/>
        <v>7.15</v>
      </c>
      <c r="H44" s="4">
        <v>50</v>
      </c>
      <c r="I44" s="5">
        <f t="shared" si="7"/>
        <v>321.75</v>
      </c>
      <c r="J44" s="5">
        <f t="shared" ref="J44:J49" si="16">I44-H44</f>
        <v>271.75</v>
      </c>
      <c r="K44">
        <v>18</v>
      </c>
      <c r="N44" s="81"/>
    </row>
    <row r="45" spans="1:16">
      <c r="A45" s="6">
        <v>46043</v>
      </c>
      <c r="B45" s="4">
        <v>11</v>
      </c>
      <c r="C45" s="4">
        <v>8</v>
      </c>
      <c r="D45" s="4">
        <v>65</v>
      </c>
      <c r="E45" s="4">
        <v>1</v>
      </c>
      <c r="F45" s="4">
        <v>50</v>
      </c>
      <c r="G45" s="10">
        <f t="shared" si="6"/>
        <v>11.133333333333333</v>
      </c>
      <c r="H45" s="4">
        <v>50</v>
      </c>
      <c r="I45" s="5">
        <f t="shared" si="7"/>
        <v>723.66666666666663</v>
      </c>
      <c r="J45" s="5">
        <f t="shared" si="16"/>
        <v>673.66666666666663</v>
      </c>
      <c r="K45">
        <v>33</v>
      </c>
      <c r="N45" s="81">
        <v>610</v>
      </c>
    </row>
    <row r="46" spans="1:16">
      <c r="A46" s="6">
        <v>46044</v>
      </c>
      <c r="B46" s="4">
        <v>10</v>
      </c>
      <c r="C46" s="4">
        <v>21</v>
      </c>
      <c r="D46" s="4">
        <v>55</v>
      </c>
      <c r="E46" s="4">
        <v>1</v>
      </c>
      <c r="F46" s="4">
        <v>50</v>
      </c>
      <c r="G46" s="10">
        <f t="shared" si="6"/>
        <v>10.35</v>
      </c>
      <c r="H46" s="4">
        <v>50</v>
      </c>
      <c r="I46" s="5">
        <f t="shared" si="7"/>
        <v>569.25</v>
      </c>
      <c r="J46" s="5">
        <f t="shared" si="16"/>
        <v>519.25</v>
      </c>
      <c r="K46">
        <v>27</v>
      </c>
      <c r="N46" s="81">
        <v>640</v>
      </c>
    </row>
    <row r="47" spans="1:16">
      <c r="A47" s="6">
        <v>46045</v>
      </c>
      <c r="B47" s="4">
        <v>10</v>
      </c>
      <c r="C47" s="4">
        <v>20</v>
      </c>
      <c r="D47" s="4">
        <v>55</v>
      </c>
      <c r="E47" s="4">
        <v>1</v>
      </c>
      <c r="F47" s="4">
        <v>50</v>
      </c>
      <c r="G47" s="10">
        <f t="shared" si="6"/>
        <v>10.333333333333334</v>
      </c>
      <c r="H47" s="4">
        <v>50</v>
      </c>
      <c r="I47" s="5">
        <f t="shared" si="7"/>
        <v>568.33333333333337</v>
      </c>
      <c r="J47" s="5">
        <f t="shared" si="16"/>
        <v>518.33333333333337</v>
      </c>
      <c r="K47">
        <v>27</v>
      </c>
      <c r="N47" s="81">
        <f>50+340+150</f>
        <v>540</v>
      </c>
      <c r="P47" t="s">
        <v>46</v>
      </c>
    </row>
    <row r="48" spans="1:16">
      <c r="A48" s="6">
        <v>46046</v>
      </c>
      <c r="B48" s="4"/>
      <c r="C48" s="4"/>
      <c r="D48" s="4">
        <v>0</v>
      </c>
      <c r="E48" s="4">
        <v>0</v>
      </c>
      <c r="F48" s="4">
        <v>50</v>
      </c>
      <c r="G48" s="10">
        <f t="shared" si="6"/>
        <v>0</v>
      </c>
      <c r="H48" s="4"/>
      <c r="I48" s="5">
        <f t="shared" si="7"/>
        <v>0</v>
      </c>
      <c r="J48" s="5">
        <f t="shared" si="16"/>
        <v>0</v>
      </c>
      <c r="N48" s="83"/>
    </row>
    <row r="49" spans="1:17" ht="16" thickBot="1">
      <c r="A49" s="6">
        <v>46047</v>
      </c>
      <c r="B49" s="4">
        <v>9</v>
      </c>
      <c r="C49" s="4">
        <v>42</v>
      </c>
      <c r="D49" s="4">
        <v>65</v>
      </c>
      <c r="E49" s="4">
        <v>1</v>
      </c>
      <c r="F49" s="4">
        <v>50</v>
      </c>
      <c r="G49" s="10">
        <f t="shared" si="6"/>
        <v>9.6999999999999993</v>
      </c>
      <c r="H49" s="4">
        <v>50</v>
      </c>
      <c r="I49" s="5">
        <f t="shared" si="7"/>
        <v>630.5</v>
      </c>
      <c r="J49" s="5">
        <f t="shared" si="16"/>
        <v>580.5</v>
      </c>
      <c r="K49">
        <v>32</v>
      </c>
      <c r="N49" s="83">
        <f>150+750</f>
        <v>900</v>
      </c>
      <c r="P49" t="s">
        <v>46</v>
      </c>
    </row>
    <row r="50" spans="1:17" s="54" customFormat="1" ht="20" thickBot="1">
      <c r="A50" s="72" t="s">
        <v>50</v>
      </c>
      <c r="B50" s="44">
        <f>SUM(B51:B57)</f>
        <v>48</v>
      </c>
      <c r="C50" s="44">
        <f>SUM(C51:C57)</f>
        <v>147</v>
      </c>
      <c r="D50" s="44">
        <f>SUM(D51)</f>
        <v>0</v>
      </c>
      <c r="E50" s="44">
        <f>SUM(E51:E57)</f>
        <v>5</v>
      </c>
      <c r="F50" s="44">
        <f>SUM(F51:F57)</f>
        <v>250</v>
      </c>
      <c r="G50" s="67">
        <f t="shared" si="6"/>
        <v>50.45</v>
      </c>
      <c r="H50" s="44">
        <f>SUM(H51:H57)</f>
        <v>250</v>
      </c>
      <c r="I50" s="46">
        <f>SUM(I51:I57)</f>
        <v>3175.083333333333</v>
      </c>
      <c r="J50" s="47">
        <f>SUM(J51:J57)</f>
        <v>2925.083333333333</v>
      </c>
      <c r="K50" s="44">
        <f>SUM(K51:K57)</f>
        <v>173</v>
      </c>
      <c r="L50" s="46">
        <v>0</v>
      </c>
      <c r="M50" s="69">
        <f>J50+L50</f>
        <v>2925.083333333333</v>
      </c>
      <c r="N50" s="63">
        <f>SUM(N51:N57)</f>
        <v>4020</v>
      </c>
      <c r="O50" s="90">
        <f>4023-N50</f>
        <v>3</v>
      </c>
    </row>
    <row r="51" spans="1:17" ht="19">
      <c r="A51" s="6">
        <v>46041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10">
        <f>B51+C51/60</f>
        <v>0</v>
      </c>
      <c r="H51" s="4">
        <v>0</v>
      </c>
      <c r="I51" s="5">
        <f>G51*D51</f>
        <v>0</v>
      </c>
      <c r="J51" s="5">
        <f>I51-H51</f>
        <v>0</v>
      </c>
      <c r="K51">
        <v>0</v>
      </c>
      <c r="N51" s="51">
        <v>80</v>
      </c>
      <c r="O51" s="49"/>
      <c r="P51" t="s">
        <v>139</v>
      </c>
    </row>
    <row r="52" spans="1:17">
      <c r="A52" s="6">
        <v>46042</v>
      </c>
      <c r="B52" s="4">
        <v>10</v>
      </c>
      <c r="C52" s="4">
        <v>25</v>
      </c>
      <c r="D52" s="4">
        <v>55</v>
      </c>
      <c r="E52" s="4">
        <v>1</v>
      </c>
      <c r="F52" s="4">
        <v>50</v>
      </c>
      <c r="G52" s="10">
        <f t="shared" ref="G52:G57" si="17">B52+C52/60</f>
        <v>10.416666666666666</v>
      </c>
      <c r="H52" s="4">
        <v>50</v>
      </c>
      <c r="I52" s="5">
        <f t="shared" ref="I52:I57" si="18">G52*D52</f>
        <v>572.91666666666663</v>
      </c>
      <c r="J52" s="5">
        <f t="shared" si="8"/>
        <v>522.91666666666663</v>
      </c>
      <c r="K52">
        <v>30</v>
      </c>
      <c r="N52" s="81">
        <v>550</v>
      </c>
    </row>
    <row r="53" spans="1:17">
      <c r="A53" s="6">
        <v>46043</v>
      </c>
      <c r="B53" s="4">
        <v>10</v>
      </c>
      <c r="C53" s="4">
        <v>37</v>
      </c>
      <c r="D53" s="4">
        <v>65</v>
      </c>
      <c r="E53" s="4">
        <v>1</v>
      </c>
      <c r="F53" s="4">
        <v>50</v>
      </c>
      <c r="G53" s="10">
        <f t="shared" si="17"/>
        <v>10.616666666666667</v>
      </c>
      <c r="H53" s="4">
        <v>50</v>
      </c>
      <c r="I53" s="5">
        <f t="shared" si="18"/>
        <v>690.08333333333337</v>
      </c>
      <c r="J53" s="5">
        <f t="shared" si="8"/>
        <v>640.08333333333337</v>
      </c>
      <c r="K53">
        <v>36</v>
      </c>
      <c r="N53" s="81">
        <v>730</v>
      </c>
    </row>
    <row r="54" spans="1:17">
      <c r="A54" s="6">
        <v>46044</v>
      </c>
      <c r="B54" s="4">
        <v>10</v>
      </c>
      <c r="C54" s="4">
        <v>41</v>
      </c>
      <c r="D54" s="4">
        <v>65</v>
      </c>
      <c r="E54" s="4">
        <v>1</v>
      </c>
      <c r="F54" s="4">
        <v>50</v>
      </c>
      <c r="G54" s="10">
        <f t="shared" si="17"/>
        <v>10.683333333333334</v>
      </c>
      <c r="H54" s="4">
        <v>50</v>
      </c>
      <c r="I54" s="5">
        <f t="shared" si="18"/>
        <v>694.41666666666663</v>
      </c>
      <c r="J54" s="5">
        <f>I54-H54</f>
        <v>644.41666666666663</v>
      </c>
      <c r="K54">
        <v>36</v>
      </c>
      <c r="N54" s="83">
        <v>770</v>
      </c>
    </row>
    <row r="55" spans="1:17">
      <c r="A55" s="6">
        <v>46045</v>
      </c>
      <c r="B55" s="4">
        <v>9</v>
      </c>
      <c r="C55" s="4">
        <v>27</v>
      </c>
      <c r="D55" s="4">
        <v>65</v>
      </c>
      <c r="E55" s="4">
        <v>1</v>
      </c>
      <c r="F55" s="4">
        <v>50</v>
      </c>
      <c r="G55" s="10">
        <f t="shared" si="17"/>
        <v>9.4499999999999993</v>
      </c>
      <c r="H55" s="4">
        <v>50</v>
      </c>
      <c r="I55" s="5">
        <f t="shared" si="18"/>
        <v>614.25</v>
      </c>
      <c r="J55" s="5">
        <f t="shared" si="8"/>
        <v>564.25</v>
      </c>
      <c r="K55">
        <v>33</v>
      </c>
      <c r="N55" s="81">
        <v>850</v>
      </c>
    </row>
    <row r="56" spans="1:17">
      <c r="A56" s="6">
        <v>46046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10">
        <v>0</v>
      </c>
      <c r="H56" s="4">
        <v>0</v>
      </c>
      <c r="I56" s="5">
        <v>0</v>
      </c>
      <c r="J56" s="5">
        <v>0</v>
      </c>
      <c r="K56">
        <v>0</v>
      </c>
    </row>
    <row r="57" spans="1:17" ht="16" thickBot="1">
      <c r="A57" s="6">
        <v>46047</v>
      </c>
      <c r="B57" s="4">
        <v>9</v>
      </c>
      <c r="C57" s="4">
        <v>17</v>
      </c>
      <c r="D57" s="4">
        <v>65</v>
      </c>
      <c r="E57" s="4">
        <v>1</v>
      </c>
      <c r="F57" s="4">
        <v>50</v>
      </c>
      <c r="G57" s="10">
        <f t="shared" si="17"/>
        <v>9.2833333333333332</v>
      </c>
      <c r="H57" s="4">
        <v>50</v>
      </c>
      <c r="I57" s="5">
        <f t="shared" si="18"/>
        <v>603.41666666666663</v>
      </c>
      <c r="J57" s="5">
        <f t="shared" si="8"/>
        <v>553.41666666666663</v>
      </c>
      <c r="K57">
        <v>38</v>
      </c>
      <c r="N57" s="81">
        <f>790+250</f>
        <v>1040</v>
      </c>
    </row>
    <row r="58" spans="1:17" s="54" customFormat="1" ht="20" thickBot="1">
      <c r="A58" s="72" t="s">
        <v>140</v>
      </c>
      <c r="B58" s="44">
        <f>SUM(B59:B65)</f>
        <v>53</v>
      </c>
      <c r="C58" s="44">
        <f>SUM(C59:C65)</f>
        <v>87</v>
      </c>
      <c r="D58" s="44">
        <f>SUM(D59)</f>
        <v>65</v>
      </c>
      <c r="E58" s="44">
        <f>SUM(E59:E65)</f>
        <v>5</v>
      </c>
      <c r="F58" s="44">
        <f>SUM(F59:F65)</f>
        <v>300</v>
      </c>
      <c r="G58" s="67">
        <f t="shared" si="6"/>
        <v>54.45</v>
      </c>
      <c r="H58" s="44">
        <f>SUM(H59:H65)</f>
        <v>250</v>
      </c>
      <c r="I58" s="46">
        <f>SUM(I59:I65)</f>
        <v>3539.2500000000009</v>
      </c>
      <c r="J58" s="47">
        <f>SUM(J59:J65)</f>
        <v>3289.2500000000009</v>
      </c>
      <c r="K58" s="44">
        <f>SUM(K59:K65)</f>
        <v>179</v>
      </c>
      <c r="L58" s="46">
        <v>200</v>
      </c>
      <c r="M58" s="69">
        <f>J58+L58</f>
        <v>3489.2500000000009</v>
      </c>
      <c r="N58" s="63">
        <f>SUM(N59:N65)</f>
        <v>3504</v>
      </c>
      <c r="O58" s="90">
        <f>3504-N58</f>
        <v>0</v>
      </c>
    </row>
    <row r="59" spans="1:17">
      <c r="A59" s="80" t="s">
        <v>141</v>
      </c>
      <c r="B59" s="7">
        <v>12</v>
      </c>
      <c r="C59" s="7">
        <v>3</v>
      </c>
      <c r="D59" s="7">
        <v>65</v>
      </c>
      <c r="E59" s="7">
        <v>1</v>
      </c>
      <c r="F59" s="7">
        <v>50</v>
      </c>
      <c r="G59" s="11">
        <f t="shared" si="6"/>
        <v>12.05</v>
      </c>
      <c r="H59" s="7">
        <v>50</v>
      </c>
      <c r="I59" s="5">
        <f t="shared" ref="I59:I65" si="19">G59*D59</f>
        <v>783.25</v>
      </c>
      <c r="J59" s="5">
        <f t="shared" ref="J59:J61" si="20">I59-H59</f>
        <v>733.25</v>
      </c>
      <c r="K59">
        <v>39</v>
      </c>
      <c r="N59" s="51"/>
      <c r="O59" s="51"/>
      <c r="P59" t="s">
        <v>142</v>
      </c>
    </row>
    <row r="60" spans="1:17">
      <c r="A60" s="80" t="s">
        <v>143</v>
      </c>
      <c r="B60" s="4">
        <v>11</v>
      </c>
      <c r="C60" s="4">
        <v>1</v>
      </c>
      <c r="D60" s="4">
        <v>65</v>
      </c>
      <c r="E60" s="4">
        <v>1</v>
      </c>
      <c r="F60" s="4">
        <v>50</v>
      </c>
      <c r="G60" s="11">
        <f t="shared" si="6"/>
        <v>11.016666666666667</v>
      </c>
      <c r="H60" s="4">
        <v>50</v>
      </c>
      <c r="I60" s="5">
        <f t="shared" si="19"/>
        <v>716.08333333333337</v>
      </c>
      <c r="J60" s="5">
        <f t="shared" si="20"/>
        <v>666.08333333333337</v>
      </c>
      <c r="K60">
        <v>38</v>
      </c>
      <c r="N60" s="51">
        <v>150</v>
      </c>
      <c r="O60" t="s">
        <v>53</v>
      </c>
    </row>
    <row r="61" spans="1:17">
      <c r="A61" s="80" t="s">
        <v>144</v>
      </c>
      <c r="B61" s="4">
        <v>10</v>
      </c>
      <c r="C61" s="4">
        <v>58</v>
      </c>
      <c r="D61" s="4">
        <v>65</v>
      </c>
      <c r="E61" s="4">
        <v>1</v>
      </c>
      <c r="F61" s="4">
        <v>50</v>
      </c>
      <c r="G61" s="11">
        <f t="shared" si="6"/>
        <v>10.966666666666667</v>
      </c>
      <c r="H61" s="4">
        <v>50</v>
      </c>
      <c r="I61" s="5">
        <f t="shared" si="19"/>
        <v>712.83333333333337</v>
      </c>
      <c r="J61" s="5">
        <f t="shared" si="20"/>
        <v>662.83333333333337</v>
      </c>
      <c r="K61">
        <v>33</v>
      </c>
      <c r="N61" s="51">
        <v>150</v>
      </c>
      <c r="O61" t="s">
        <v>89</v>
      </c>
      <c r="Q61" t="s">
        <v>64</v>
      </c>
    </row>
    <row r="62" spans="1:17">
      <c r="A62" s="80" t="s">
        <v>119</v>
      </c>
      <c r="B62" s="4">
        <v>0</v>
      </c>
      <c r="C62" s="4">
        <v>0</v>
      </c>
      <c r="D62" s="4">
        <v>0</v>
      </c>
      <c r="E62" s="4">
        <v>0</v>
      </c>
      <c r="F62" s="4">
        <v>50</v>
      </c>
      <c r="G62" s="11">
        <f t="shared" si="6"/>
        <v>0</v>
      </c>
      <c r="H62" s="4">
        <v>0</v>
      </c>
      <c r="I62" s="5">
        <f t="shared" si="19"/>
        <v>0</v>
      </c>
      <c r="J62" s="5">
        <f>I62-H62</f>
        <v>0</v>
      </c>
      <c r="K62">
        <v>0</v>
      </c>
      <c r="N62" s="51"/>
    </row>
    <row r="63" spans="1:17">
      <c r="A63" s="80">
        <v>46046</v>
      </c>
      <c r="B63" s="4">
        <v>10</v>
      </c>
      <c r="C63" s="4">
        <v>20</v>
      </c>
      <c r="D63" s="4">
        <v>65</v>
      </c>
      <c r="E63" s="4">
        <v>1</v>
      </c>
      <c r="F63" s="4">
        <v>50</v>
      </c>
      <c r="G63" s="11">
        <f t="shared" si="6"/>
        <v>10.333333333333334</v>
      </c>
      <c r="H63" s="4">
        <v>50</v>
      </c>
      <c r="I63" s="5">
        <f t="shared" si="19"/>
        <v>671.66666666666674</v>
      </c>
      <c r="J63" s="5">
        <f>I63-H63</f>
        <v>621.66666666666674</v>
      </c>
      <c r="K63">
        <v>35</v>
      </c>
      <c r="N63" s="51"/>
      <c r="Q63" t="s">
        <v>64</v>
      </c>
    </row>
    <row r="64" spans="1:17">
      <c r="A64" s="80">
        <v>46047</v>
      </c>
      <c r="B64" s="4">
        <v>10</v>
      </c>
      <c r="C64" s="4">
        <v>5</v>
      </c>
      <c r="D64" s="4">
        <v>65</v>
      </c>
      <c r="E64" s="4">
        <v>1</v>
      </c>
      <c r="F64" s="4">
        <v>50</v>
      </c>
      <c r="G64" s="11">
        <f t="shared" si="6"/>
        <v>10.083333333333334</v>
      </c>
      <c r="H64" s="4">
        <v>50</v>
      </c>
      <c r="I64" s="5">
        <f t="shared" si="19"/>
        <v>655.41666666666674</v>
      </c>
      <c r="J64" s="5">
        <f>I64-H64</f>
        <v>605.41666666666674</v>
      </c>
      <c r="K64">
        <v>34</v>
      </c>
      <c r="N64" s="51"/>
    </row>
    <row r="65" spans="1:17" ht="16" thickBot="1">
      <c r="A65" s="80"/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11">
        <f t="shared" si="6"/>
        <v>0</v>
      </c>
      <c r="H65" s="4">
        <v>0</v>
      </c>
      <c r="I65" s="5">
        <f t="shared" si="19"/>
        <v>0</v>
      </c>
      <c r="J65" s="5">
        <v>0</v>
      </c>
      <c r="K65">
        <v>0</v>
      </c>
      <c r="N65" s="51">
        <v>3204</v>
      </c>
    </row>
    <row r="66" spans="1:17" s="54" customFormat="1" ht="20" thickBot="1">
      <c r="A66" s="72" t="s">
        <v>70</v>
      </c>
      <c r="B66" s="44">
        <f>SUM(B67:B73)</f>
        <v>27</v>
      </c>
      <c r="C66" s="44">
        <f>SUM(C67:C73)</f>
        <v>151</v>
      </c>
      <c r="D66" s="44">
        <f>SUM(D67)</f>
        <v>0</v>
      </c>
      <c r="E66" s="44">
        <f>SUM(E67:E73)</f>
        <v>4</v>
      </c>
      <c r="F66" s="44">
        <f>SUM(F67:F73)</f>
        <v>200</v>
      </c>
      <c r="G66" s="67">
        <f t="shared" si="6"/>
        <v>29.516666666666666</v>
      </c>
      <c r="H66" s="44">
        <f>SUM(H67:H73)</f>
        <v>200</v>
      </c>
      <c r="I66" s="46">
        <f>SUM(I67:I72)</f>
        <v>1328.25</v>
      </c>
      <c r="J66" s="47">
        <f>SUM(J67:J73)</f>
        <v>1128.25</v>
      </c>
      <c r="K66" s="44">
        <f>SUM(K67:K73)</f>
        <v>48</v>
      </c>
      <c r="L66" s="46">
        <v>0</v>
      </c>
      <c r="M66" s="69">
        <f>J66+L66</f>
        <v>1128.25</v>
      </c>
      <c r="N66" s="63">
        <f>SUM(N67:N73)</f>
        <v>0</v>
      </c>
      <c r="O66" s="90">
        <f>1478-N66</f>
        <v>1478</v>
      </c>
    </row>
    <row r="67" spans="1:17">
      <c r="A67" s="6">
        <v>46041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11">
        <f>B67+C67/60</f>
        <v>0</v>
      </c>
      <c r="H67" s="7">
        <v>0</v>
      </c>
      <c r="I67" s="5">
        <f t="shared" ref="I67:I72" si="21">G67*D67</f>
        <v>0</v>
      </c>
      <c r="J67" s="5">
        <f>I67-H67</f>
        <v>0</v>
      </c>
      <c r="K67">
        <v>0</v>
      </c>
      <c r="N67" s="82"/>
      <c r="O67" s="51"/>
    </row>
    <row r="68" spans="1:17">
      <c r="A68" s="6">
        <v>46042</v>
      </c>
      <c r="B68" s="4">
        <v>3</v>
      </c>
      <c r="C68" s="4">
        <v>41</v>
      </c>
      <c r="D68" s="4">
        <v>45</v>
      </c>
      <c r="E68" s="4">
        <v>1</v>
      </c>
      <c r="F68" s="4">
        <v>50</v>
      </c>
      <c r="G68" s="11">
        <f t="shared" ref="G68:G70" si="22">B68+C68/60</f>
        <v>3.6833333333333336</v>
      </c>
      <c r="H68" s="4">
        <v>50</v>
      </c>
      <c r="I68" s="5">
        <f t="shared" si="21"/>
        <v>165.75</v>
      </c>
      <c r="J68" s="5">
        <f>I68-H68</f>
        <v>115.75</v>
      </c>
      <c r="K68">
        <v>5</v>
      </c>
      <c r="N68" s="51"/>
      <c r="P68" t="s">
        <v>145</v>
      </c>
    </row>
    <row r="69" spans="1:17">
      <c r="A69" s="6">
        <v>46043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11">
        <f t="shared" si="22"/>
        <v>0</v>
      </c>
      <c r="H69" s="4">
        <v>0</v>
      </c>
      <c r="I69" s="5">
        <f t="shared" si="21"/>
        <v>0</v>
      </c>
      <c r="J69" s="5">
        <f t="shared" ref="J69:J73" si="23">I69-H69</f>
        <v>0</v>
      </c>
      <c r="K69">
        <v>0</v>
      </c>
      <c r="N69" s="51"/>
      <c r="Q69" t="s">
        <v>64</v>
      </c>
    </row>
    <row r="70" spans="1:17">
      <c r="A70" s="6">
        <v>46044</v>
      </c>
      <c r="B70" s="4">
        <v>9</v>
      </c>
      <c r="C70" s="4">
        <v>8</v>
      </c>
      <c r="D70" s="4">
        <v>45</v>
      </c>
      <c r="E70" s="4">
        <v>1</v>
      </c>
      <c r="F70" s="4">
        <v>50</v>
      </c>
      <c r="G70" s="11">
        <f t="shared" si="22"/>
        <v>9.1333333333333329</v>
      </c>
      <c r="H70" s="4">
        <v>50</v>
      </c>
      <c r="I70" s="5">
        <f t="shared" si="21"/>
        <v>411</v>
      </c>
      <c r="J70" s="5">
        <f t="shared" si="23"/>
        <v>361</v>
      </c>
      <c r="K70">
        <v>12</v>
      </c>
      <c r="N70" s="51"/>
    </row>
    <row r="71" spans="1:17">
      <c r="A71" s="6">
        <v>46045</v>
      </c>
      <c r="B71" s="4">
        <v>8</v>
      </c>
      <c r="C71" s="4">
        <v>48</v>
      </c>
      <c r="D71" s="4">
        <v>45</v>
      </c>
      <c r="E71" s="4">
        <v>1</v>
      </c>
      <c r="F71" s="4">
        <v>50</v>
      </c>
      <c r="G71" s="11">
        <f>B71+C71/60</f>
        <v>8.8000000000000007</v>
      </c>
      <c r="H71" s="4">
        <v>50</v>
      </c>
      <c r="I71" s="5">
        <f t="shared" si="21"/>
        <v>396.00000000000006</v>
      </c>
      <c r="J71" s="5">
        <f t="shared" si="23"/>
        <v>346.00000000000006</v>
      </c>
      <c r="K71">
        <v>19</v>
      </c>
      <c r="N71" s="51"/>
    </row>
    <row r="72" spans="1:17">
      <c r="A72" s="6">
        <v>46046</v>
      </c>
      <c r="B72" s="4">
        <v>7</v>
      </c>
      <c r="C72" s="4">
        <v>54</v>
      </c>
      <c r="D72" s="4">
        <v>45</v>
      </c>
      <c r="E72" s="4">
        <v>1</v>
      </c>
      <c r="F72" s="4">
        <v>50</v>
      </c>
      <c r="G72" s="11">
        <f>B72+C72/60</f>
        <v>7.9</v>
      </c>
      <c r="H72" s="4">
        <v>50</v>
      </c>
      <c r="I72" s="5">
        <f t="shared" si="21"/>
        <v>355.5</v>
      </c>
      <c r="J72" s="5">
        <f t="shared" si="23"/>
        <v>305.5</v>
      </c>
      <c r="K72">
        <v>12</v>
      </c>
      <c r="N72" s="83"/>
    </row>
    <row r="73" spans="1:17" ht="16" thickBot="1">
      <c r="A73" s="6">
        <v>46047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11">
        <v>0</v>
      </c>
      <c r="H73" s="4">
        <v>0</v>
      </c>
      <c r="I73" s="5">
        <v>0</v>
      </c>
      <c r="J73" s="5">
        <f t="shared" si="23"/>
        <v>0</v>
      </c>
      <c r="K73">
        <v>0</v>
      </c>
      <c r="N73" s="51"/>
    </row>
    <row r="74" spans="1:17" s="86" customFormat="1" ht="20" thickBot="1">
      <c r="A74" s="91" t="s">
        <v>74</v>
      </c>
      <c r="B74" s="8">
        <f>SUM(B75:B81)</f>
        <v>5</v>
      </c>
      <c r="C74" s="8">
        <f>SUM(C75:C81)</f>
        <v>57</v>
      </c>
      <c r="D74" s="8">
        <f>SUM(D75)</f>
        <v>0</v>
      </c>
      <c r="E74" s="8">
        <f>SUM(E75:E81)</f>
        <v>1</v>
      </c>
      <c r="F74" s="8">
        <f>SUM(F75:F81)</f>
        <v>50</v>
      </c>
      <c r="G74" s="93">
        <f t="shared" ref="G74" si="24">B74+C74/60</f>
        <v>5.95</v>
      </c>
      <c r="H74" s="8">
        <f>SUM(H75:H81)</f>
        <v>50</v>
      </c>
      <c r="I74" s="9">
        <f>SUM(I75:I81)</f>
        <v>267.75</v>
      </c>
      <c r="J74" s="14">
        <f>SUM(J75:J81)</f>
        <v>217.75</v>
      </c>
      <c r="K74" s="8">
        <f>SUM(K75:K81)</f>
        <v>14</v>
      </c>
      <c r="L74" s="9">
        <v>0</v>
      </c>
      <c r="M74" s="96">
        <f>J74+L74</f>
        <v>217.75</v>
      </c>
      <c r="N74" s="102">
        <f>SUM(N75:N78)</f>
        <v>0</v>
      </c>
      <c r="O74" s="98">
        <f>45-N74</f>
        <v>45</v>
      </c>
    </row>
    <row r="75" spans="1:17">
      <c r="A75" s="6">
        <v>46041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11">
        <f>B75+C75/60</f>
        <v>0</v>
      </c>
      <c r="H75" s="7">
        <v>0</v>
      </c>
      <c r="I75" s="5">
        <f t="shared" ref="I75:I80" si="25">G75*D75</f>
        <v>0</v>
      </c>
      <c r="J75" s="5">
        <f>I75-H75</f>
        <v>0</v>
      </c>
      <c r="K75">
        <v>0</v>
      </c>
      <c r="N75" s="82">
        <v>0</v>
      </c>
      <c r="O75" s="51"/>
    </row>
    <row r="76" spans="1:17">
      <c r="A76" s="6">
        <v>46042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11">
        <f t="shared" ref="G76:G78" si="26">B76+C76/60</f>
        <v>0</v>
      </c>
      <c r="H76" s="4">
        <v>0</v>
      </c>
      <c r="I76" s="5">
        <f t="shared" si="25"/>
        <v>0</v>
      </c>
      <c r="J76" s="5">
        <f>I76-H76</f>
        <v>0</v>
      </c>
      <c r="N76" s="51"/>
    </row>
    <row r="77" spans="1:17">
      <c r="A77" s="6">
        <v>46043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11">
        <f t="shared" si="26"/>
        <v>0</v>
      </c>
      <c r="H77" s="4">
        <v>0</v>
      </c>
      <c r="I77" s="5">
        <f t="shared" si="25"/>
        <v>0</v>
      </c>
      <c r="J77" s="5">
        <v>0</v>
      </c>
      <c r="K77">
        <v>0</v>
      </c>
      <c r="N77" s="51"/>
      <c r="Q77" t="s">
        <v>64</v>
      </c>
    </row>
    <row r="78" spans="1:17">
      <c r="A78" s="6">
        <v>46044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11">
        <f t="shared" si="26"/>
        <v>0</v>
      </c>
      <c r="H78" s="4">
        <v>0</v>
      </c>
      <c r="I78" s="5">
        <f t="shared" si="25"/>
        <v>0</v>
      </c>
      <c r="J78" s="5">
        <v>0</v>
      </c>
      <c r="K78">
        <v>0</v>
      </c>
      <c r="N78" s="51"/>
    </row>
    <row r="79" spans="1:17">
      <c r="A79" s="6">
        <v>46045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11">
        <f>B79+C79/60</f>
        <v>0</v>
      </c>
      <c r="H79" s="4">
        <v>0</v>
      </c>
      <c r="I79" s="5">
        <f t="shared" si="25"/>
        <v>0</v>
      </c>
      <c r="J79" s="5">
        <f>I79-H79</f>
        <v>0</v>
      </c>
      <c r="K79">
        <v>0</v>
      </c>
      <c r="N79" s="51"/>
    </row>
    <row r="80" spans="1:17">
      <c r="A80" s="6">
        <v>46046</v>
      </c>
      <c r="B80" s="4">
        <v>5</v>
      </c>
      <c r="C80" s="4">
        <v>57</v>
      </c>
      <c r="D80" s="4">
        <v>45</v>
      </c>
      <c r="E80" s="4">
        <v>1</v>
      </c>
      <c r="F80" s="4">
        <v>50</v>
      </c>
      <c r="G80" s="11">
        <f>B80+C80/60</f>
        <v>5.95</v>
      </c>
      <c r="H80" s="4">
        <v>50</v>
      </c>
      <c r="I80" s="5">
        <f t="shared" si="25"/>
        <v>267.75</v>
      </c>
      <c r="J80" s="5">
        <f>I80-H80</f>
        <v>217.75</v>
      </c>
      <c r="K80">
        <v>14</v>
      </c>
      <c r="N80" s="51"/>
    </row>
    <row r="81" spans="1:17" ht="16" thickBot="1">
      <c r="A81" s="6">
        <v>46047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11">
        <v>0</v>
      </c>
      <c r="H81" s="4">
        <v>0</v>
      </c>
      <c r="I81" s="5">
        <v>0</v>
      </c>
      <c r="J81" s="5">
        <v>0</v>
      </c>
      <c r="K81">
        <v>0</v>
      </c>
      <c r="N81" s="51"/>
    </row>
    <row r="82" spans="1:17" s="86" customFormat="1" ht="20" thickBot="1">
      <c r="A82" s="91" t="s">
        <v>86</v>
      </c>
      <c r="B82" s="8">
        <f>SUM(B83:B89)</f>
        <v>3</v>
      </c>
      <c r="C82" s="8">
        <f>SUM(C83:C89)</f>
        <v>18</v>
      </c>
      <c r="D82" s="8">
        <f>SUM(D83)</f>
        <v>0</v>
      </c>
      <c r="E82" s="8">
        <f>SUM(E83:E89)</f>
        <v>1</v>
      </c>
      <c r="F82" s="8">
        <f>SUM(F83:F89)</f>
        <v>50</v>
      </c>
      <c r="G82" s="93">
        <f t="shared" ref="G82" si="27">B82+C82/60</f>
        <v>3.3</v>
      </c>
      <c r="H82" s="8">
        <f>SUM(H83:H89)</f>
        <v>50</v>
      </c>
      <c r="I82" s="9">
        <f>SUM(I83:I89)</f>
        <v>148.5</v>
      </c>
      <c r="J82" s="14">
        <f>SUM(J83:J89)</f>
        <v>98.5</v>
      </c>
      <c r="K82" s="8">
        <f>SUM(K83:K89)</f>
        <v>48</v>
      </c>
      <c r="L82" s="9">
        <v>0</v>
      </c>
      <c r="M82" s="96">
        <f>J82+L82</f>
        <v>98.5</v>
      </c>
      <c r="N82" s="102">
        <f>SUM(N83:N86)</f>
        <v>0</v>
      </c>
      <c r="O82" s="98">
        <f>52-N82</f>
        <v>52</v>
      </c>
    </row>
    <row r="83" spans="1:17">
      <c r="A83" s="6">
        <v>46041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11">
        <f>B83+C83/60</f>
        <v>0</v>
      </c>
      <c r="H83" s="7">
        <v>0</v>
      </c>
      <c r="I83" s="5">
        <f t="shared" ref="I83:I88" si="28">G83*D83</f>
        <v>0</v>
      </c>
      <c r="J83" s="5">
        <f>I83-H83</f>
        <v>0</v>
      </c>
      <c r="K83">
        <v>0</v>
      </c>
      <c r="N83" s="82">
        <v>0</v>
      </c>
      <c r="O83" s="51"/>
    </row>
    <row r="84" spans="1:17">
      <c r="A84" s="6">
        <v>46042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11">
        <f t="shared" ref="G84:G86" si="29">B84+C84/60</f>
        <v>0</v>
      </c>
      <c r="H84" s="4">
        <v>0</v>
      </c>
      <c r="I84" s="5">
        <f t="shared" si="28"/>
        <v>0</v>
      </c>
      <c r="J84" s="5">
        <f>I84-H84</f>
        <v>0</v>
      </c>
      <c r="K84">
        <v>5</v>
      </c>
      <c r="N84" s="51"/>
    </row>
    <row r="85" spans="1:17">
      <c r="A85" s="6">
        <v>46043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11">
        <f t="shared" si="29"/>
        <v>0</v>
      </c>
      <c r="H85" s="4">
        <v>0</v>
      </c>
      <c r="I85" s="5">
        <f t="shared" si="28"/>
        <v>0</v>
      </c>
      <c r="J85" s="5">
        <f t="shared" ref="J85:J89" si="30">I85-H85</f>
        <v>0</v>
      </c>
      <c r="K85">
        <v>0</v>
      </c>
      <c r="N85" s="51"/>
      <c r="Q85" t="s">
        <v>64</v>
      </c>
    </row>
    <row r="86" spans="1:17">
      <c r="A86" s="6">
        <v>46044</v>
      </c>
      <c r="B86" s="4">
        <v>3</v>
      </c>
      <c r="C86" s="4">
        <v>18</v>
      </c>
      <c r="D86" s="4">
        <v>45</v>
      </c>
      <c r="E86" s="4">
        <v>1</v>
      </c>
      <c r="F86" s="4">
        <v>0</v>
      </c>
      <c r="G86" s="11">
        <f t="shared" si="29"/>
        <v>3.3</v>
      </c>
      <c r="H86" s="4">
        <v>50</v>
      </c>
      <c r="I86" s="5">
        <f t="shared" si="28"/>
        <v>148.5</v>
      </c>
      <c r="J86" s="5">
        <f t="shared" si="30"/>
        <v>98.5</v>
      </c>
      <c r="K86">
        <v>12</v>
      </c>
      <c r="N86" s="51"/>
    </row>
    <row r="87" spans="1:17">
      <c r="A87" s="6">
        <v>46045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11">
        <f>B87+C87/60</f>
        <v>0</v>
      </c>
      <c r="H87" s="4">
        <v>0</v>
      </c>
      <c r="I87" s="5">
        <f t="shared" si="28"/>
        <v>0</v>
      </c>
      <c r="J87" s="5">
        <f t="shared" si="30"/>
        <v>0</v>
      </c>
      <c r="K87">
        <v>19</v>
      </c>
      <c r="N87" s="51"/>
    </row>
    <row r="88" spans="1:17">
      <c r="A88" s="6">
        <v>46046</v>
      </c>
      <c r="B88" s="4">
        <v>0</v>
      </c>
      <c r="C88" s="4">
        <v>0</v>
      </c>
      <c r="D88" s="4">
        <v>45</v>
      </c>
      <c r="E88" s="4">
        <v>0</v>
      </c>
      <c r="F88" s="4">
        <v>50</v>
      </c>
      <c r="G88" s="11">
        <f>B88+C88/60</f>
        <v>0</v>
      </c>
      <c r="H88" s="4">
        <v>0</v>
      </c>
      <c r="I88" s="5">
        <f t="shared" si="28"/>
        <v>0</v>
      </c>
      <c r="J88" s="5">
        <f t="shared" si="30"/>
        <v>0</v>
      </c>
      <c r="K88">
        <v>12</v>
      </c>
      <c r="N88" s="51"/>
    </row>
    <row r="89" spans="1:17">
      <c r="A89" s="6">
        <v>46047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11">
        <v>0</v>
      </c>
      <c r="H89" s="4">
        <v>0</v>
      </c>
      <c r="I89" s="5">
        <v>0</v>
      </c>
      <c r="J89" s="5">
        <f t="shared" si="30"/>
        <v>0</v>
      </c>
      <c r="K89">
        <v>0</v>
      </c>
      <c r="N89" s="51"/>
    </row>
    <row r="90" spans="1:17" ht="16" thickBot="1">
      <c r="A90" t="s">
        <v>17</v>
      </c>
      <c r="H90" s="50">
        <f t="shared" ref="H90:I90" si="31">H66+H58+H50+H42+H34+H27+H19+H11+H3+H74+H82</f>
        <v>2400</v>
      </c>
      <c r="I90" s="50">
        <f t="shared" si="31"/>
        <v>25841.999999999996</v>
      </c>
      <c r="J90" s="50">
        <f>J66+J58+J50+J42+J34+J27+J19+J11+J3+J74+J82</f>
        <v>23441.999999999996</v>
      </c>
      <c r="K90" s="50"/>
      <c r="L90" s="50">
        <f>L66+L58+L50+L42+L34+L27+L19+L11+L3+L74+L82</f>
        <v>400</v>
      </c>
      <c r="M90" s="50">
        <f>M66+M58+M50+M42+M34+M27+M19+M11+M3+M74+M82</f>
        <v>23841.999999999996</v>
      </c>
      <c r="N90" s="50">
        <f t="shared" ref="N90:O90" si="32">N66+N58+N50+N42+N34+N27+N19+N11+N3+N74+N82</f>
        <v>27145</v>
      </c>
      <c r="O90" s="89">
        <f t="shared" si="32"/>
        <v>1511</v>
      </c>
    </row>
    <row r="91" spans="1:17" ht="16" thickTop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2E4F-7D0E-8546-B919-944551A86363}">
  <dimension ref="A1:Q70"/>
  <sheetViews>
    <sheetView zoomScale="115" zoomScaleNormal="125" workbookViewId="0">
      <pane xSplit="1" ySplit="1" topLeftCell="O8" activePane="bottomRight" state="frozen"/>
      <selection pane="topRight" activeCell="B1" sqref="B1"/>
      <selection pane="bottomLeft" activeCell="A2" sqref="A2"/>
      <selection pane="bottomRight" activeCell="Q27" sqref="Q27"/>
    </sheetView>
  </sheetViews>
  <sheetFormatPr baseColWidth="10" defaultColWidth="8.6640625" defaultRowHeight="15"/>
  <cols>
    <col min="1" max="1" width="21" customWidth="1"/>
    <col min="3" max="3" width="13.33203125" customWidth="1"/>
    <col min="4" max="4" width="17.6640625" customWidth="1"/>
    <col min="6" max="6" width="16.6640625" customWidth="1"/>
    <col min="7" max="7" width="19" customWidth="1"/>
    <col min="8" max="8" width="18" customWidth="1"/>
    <col min="9" max="9" width="20.5" customWidth="1"/>
    <col min="10" max="10" width="13.6640625" customWidth="1"/>
    <col min="11" max="11" width="6" bestFit="1" customWidth="1"/>
    <col min="12" max="12" width="10.33203125" bestFit="1" customWidth="1"/>
    <col min="13" max="13" width="17" bestFit="1" customWidth="1"/>
    <col min="14" max="14" width="15.33203125" bestFit="1" customWidth="1"/>
    <col min="15" max="15" width="22.6640625" bestFit="1" customWidth="1"/>
    <col min="16" max="16" width="175.5" customWidth="1"/>
  </cols>
  <sheetData>
    <row r="1" spans="1:16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6" ht="20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6" s="54" customFormat="1" ht="20" thickBot="1">
      <c r="A3" s="72" t="s">
        <v>10</v>
      </c>
      <c r="B3" s="44">
        <f>SUM(B4:B8)</f>
        <v>36</v>
      </c>
      <c r="C3" s="44">
        <f>SUM(C4:C8)</f>
        <v>120</v>
      </c>
      <c r="D3" s="44">
        <f>SUM(D4)</f>
        <v>0</v>
      </c>
      <c r="E3" s="44">
        <f>SUM(E4:E8)</f>
        <v>4</v>
      </c>
      <c r="F3" s="44">
        <f>SUM(F4:F9)</f>
        <v>250</v>
      </c>
      <c r="G3" s="67">
        <f t="shared" ref="G3:G8" si="0">B3+C3/60</f>
        <v>38</v>
      </c>
      <c r="H3" s="44">
        <f>SUM(H4:H8)</f>
        <v>200</v>
      </c>
      <c r="I3" s="46">
        <f>SUM(I4:I8)</f>
        <v>1806.8333333333335</v>
      </c>
      <c r="J3" s="47">
        <f>SUM(J4:J9)</f>
        <v>2009.0833333333335</v>
      </c>
      <c r="K3" s="44">
        <f>SUM(K4:K8)</f>
        <v>96</v>
      </c>
      <c r="L3" s="46">
        <v>0</v>
      </c>
      <c r="M3" s="69">
        <f>J3+L3</f>
        <v>2009.0833333333335</v>
      </c>
      <c r="N3" s="52">
        <f>SUM(N4:N9)</f>
        <v>2080</v>
      </c>
      <c r="O3" s="53">
        <f>2074-N3</f>
        <v>-6</v>
      </c>
    </row>
    <row r="4" spans="1:16">
      <c r="A4" s="6">
        <v>46034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10">
        <f t="shared" si="0"/>
        <v>0</v>
      </c>
      <c r="H4" s="4">
        <v>0</v>
      </c>
      <c r="I4" s="5">
        <v>0</v>
      </c>
      <c r="J4" s="5">
        <v>0</v>
      </c>
      <c r="N4" s="51">
        <v>0</v>
      </c>
    </row>
    <row r="5" spans="1:16">
      <c r="A5" s="6">
        <v>46035</v>
      </c>
      <c r="B5" s="4">
        <v>9</v>
      </c>
      <c r="C5" s="4">
        <v>24</v>
      </c>
      <c r="D5" s="4">
        <v>45</v>
      </c>
      <c r="E5" s="4">
        <v>1</v>
      </c>
      <c r="F5" s="4">
        <v>50</v>
      </c>
      <c r="G5" s="10">
        <f>B5+C5/60</f>
        <v>9.4</v>
      </c>
      <c r="H5" s="4">
        <v>50</v>
      </c>
      <c r="I5" s="5">
        <f t="shared" ref="I5:I8" si="1">G5*D5</f>
        <v>423</v>
      </c>
      <c r="J5" s="5">
        <f t="shared" ref="J5:J8" si="2">I5-H5</f>
        <v>373</v>
      </c>
      <c r="K5">
        <v>26</v>
      </c>
      <c r="N5" s="81"/>
    </row>
    <row r="6" spans="1:16">
      <c r="A6" s="6">
        <v>46036</v>
      </c>
      <c r="B6" s="4">
        <v>9</v>
      </c>
      <c r="C6" s="4">
        <v>41</v>
      </c>
      <c r="D6" s="4">
        <v>55</v>
      </c>
      <c r="E6" s="4">
        <v>1</v>
      </c>
      <c r="F6" s="4">
        <v>50</v>
      </c>
      <c r="G6" s="10">
        <f t="shared" si="0"/>
        <v>9.6833333333333336</v>
      </c>
      <c r="H6" s="4">
        <v>50</v>
      </c>
      <c r="I6" s="5">
        <f t="shared" si="1"/>
        <v>532.58333333333337</v>
      </c>
      <c r="J6" s="5">
        <f t="shared" si="2"/>
        <v>482.58333333333337</v>
      </c>
      <c r="K6">
        <v>30</v>
      </c>
      <c r="N6" s="51">
        <v>770</v>
      </c>
    </row>
    <row r="7" spans="1:16">
      <c r="A7" s="6">
        <v>46037</v>
      </c>
      <c r="B7" s="12">
        <v>9</v>
      </c>
      <c r="C7" s="12">
        <v>24</v>
      </c>
      <c r="D7" s="12">
        <v>45</v>
      </c>
      <c r="E7" s="12">
        <v>1</v>
      </c>
      <c r="F7" s="12">
        <v>50</v>
      </c>
      <c r="G7" s="10">
        <f t="shared" si="0"/>
        <v>9.4</v>
      </c>
      <c r="H7" s="4">
        <v>50</v>
      </c>
      <c r="I7" s="5">
        <f t="shared" si="1"/>
        <v>423</v>
      </c>
      <c r="J7" s="5">
        <f t="shared" si="2"/>
        <v>373</v>
      </c>
      <c r="K7">
        <v>24</v>
      </c>
      <c r="N7" s="51"/>
      <c r="P7" t="s">
        <v>146</v>
      </c>
    </row>
    <row r="8" spans="1:16">
      <c r="A8" s="6">
        <v>16</v>
      </c>
      <c r="B8" s="12">
        <v>9</v>
      </c>
      <c r="C8" s="12">
        <v>31</v>
      </c>
      <c r="D8" s="12">
        <v>45</v>
      </c>
      <c r="E8" s="12">
        <v>1</v>
      </c>
      <c r="F8" s="12">
        <v>50</v>
      </c>
      <c r="G8" s="10">
        <f t="shared" si="0"/>
        <v>9.5166666666666675</v>
      </c>
      <c r="H8" s="4">
        <v>50</v>
      </c>
      <c r="I8" s="5">
        <f t="shared" si="1"/>
        <v>428.25000000000006</v>
      </c>
      <c r="J8" s="5">
        <f t="shared" si="2"/>
        <v>378.25000000000006</v>
      </c>
      <c r="K8">
        <v>16</v>
      </c>
      <c r="N8" s="81">
        <v>640</v>
      </c>
      <c r="O8" s="85"/>
    </row>
    <row r="9" spans="1:16" ht="16" thickBot="1">
      <c r="A9" s="6" t="s">
        <v>147</v>
      </c>
      <c r="B9" s="12">
        <v>10</v>
      </c>
      <c r="C9" s="12">
        <v>3</v>
      </c>
      <c r="D9" s="12">
        <v>45</v>
      </c>
      <c r="E9" s="12">
        <v>1</v>
      </c>
      <c r="F9" s="12">
        <v>50</v>
      </c>
      <c r="G9" s="10">
        <f t="shared" ref="G9" si="3">B9+C9/60</f>
        <v>10.050000000000001</v>
      </c>
      <c r="H9" s="4">
        <v>50</v>
      </c>
      <c r="I9" s="5">
        <f t="shared" ref="I9" si="4">G9*D9</f>
        <v>452.25000000000006</v>
      </c>
      <c r="J9" s="5">
        <f t="shared" ref="J9" si="5">I9-H9</f>
        <v>402.25000000000006</v>
      </c>
      <c r="K9">
        <v>23</v>
      </c>
      <c r="N9" s="81">
        <f>470+200</f>
        <v>670</v>
      </c>
      <c r="P9" t="s">
        <v>134</v>
      </c>
    </row>
    <row r="10" spans="1:16" s="59" customFormat="1" ht="20" thickBot="1">
      <c r="A10" s="71" t="s">
        <v>11</v>
      </c>
      <c r="B10" s="73">
        <f>SUM(B11:B17)</f>
        <v>47</v>
      </c>
      <c r="C10" s="73">
        <f>SUM(C11:C17)</f>
        <v>146</v>
      </c>
      <c r="D10" s="73">
        <f>SUM(D11)</f>
        <v>55</v>
      </c>
      <c r="E10" s="73">
        <f>SUM(E11:E17)</f>
        <v>7</v>
      </c>
      <c r="F10" s="73">
        <f>SUM(F11:F17)</f>
        <v>350</v>
      </c>
      <c r="G10" s="68">
        <f>B10+C10/60</f>
        <v>49.43333333333333</v>
      </c>
      <c r="H10" s="73">
        <f>250</f>
        <v>250</v>
      </c>
      <c r="I10" s="74">
        <f>SUM(I11:I17)</f>
        <v>2415</v>
      </c>
      <c r="J10" s="75">
        <f>SUM(J11:J17)</f>
        <v>2365</v>
      </c>
      <c r="K10" s="56">
        <f>SUM(K11:K16)</f>
        <v>133</v>
      </c>
      <c r="L10" s="57">
        <v>0</v>
      </c>
      <c r="M10" s="70">
        <f>J10+L10</f>
        <v>2365</v>
      </c>
      <c r="N10" s="76">
        <f>SUM(N11:N17)</f>
        <v>2263</v>
      </c>
      <c r="O10" s="60">
        <f>2218-N10</f>
        <v>-45</v>
      </c>
    </row>
    <row r="11" spans="1:16">
      <c r="A11" s="6">
        <v>46034</v>
      </c>
      <c r="B11" s="4">
        <v>9</v>
      </c>
      <c r="C11" s="4">
        <v>44</v>
      </c>
      <c r="D11" s="4">
        <v>55</v>
      </c>
      <c r="E11" s="4">
        <v>1</v>
      </c>
      <c r="F11" s="4">
        <v>50</v>
      </c>
      <c r="G11" s="10">
        <f>B11+C11/60</f>
        <v>9.7333333333333325</v>
      </c>
      <c r="H11" s="4">
        <v>50</v>
      </c>
      <c r="I11" s="5">
        <f>G11*D11</f>
        <v>535.33333333333326</v>
      </c>
      <c r="J11" s="5">
        <f>I11-H11</f>
        <v>485.33333333333326</v>
      </c>
      <c r="K11">
        <v>27</v>
      </c>
      <c r="N11" s="83">
        <f>373+150</f>
        <v>523</v>
      </c>
      <c r="P11" t="s">
        <v>27</v>
      </c>
    </row>
    <row r="12" spans="1:16">
      <c r="A12" s="6">
        <v>46035</v>
      </c>
      <c r="B12" s="4">
        <v>9</v>
      </c>
      <c r="C12" s="4">
        <v>57</v>
      </c>
      <c r="D12" s="4">
        <v>45</v>
      </c>
      <c r="E12" s="4">
        <v>1</v>
      </c>
      <c r="F12" s="4">
        <v>50</v>
      </c>
      <c r="G12" s="10">
        <f>B12+C12/60</f>
        <v>9.9499999999999993</v>
      </c>
      <c r="H12" s="4"/>
      <c r="I12" s="5">
        <f>G12*D12</f>
        <v>447.74999999999994</v>
      </c>
      <c r="J12" s="5">
        <f t="shared" ref="J12:J17" si="6">I12-H12</f>
        <v>447.74999999999994</v>
      </c>
      <c r="K12">
        <v>30</v>
      </c>
      <c r="N12" s="83">
        <v>370</v>
      </c>
    </row>
    <row r="13" spans="1:16">
      <c r="A13" s="6">
        <v>46036</v>
      </c>
      <c r="B13" s="4"/>
      <c r="C13" s="4"/>
      <c r="D13" s="4">
        <v>45</v>
      </c>
      <c r="E13" s="4">
        <v>1</v>
      </c>
      <c r="F13" s="4">
        <v>50</v>
      </c>
      <c r="G13" s="10">
        <f t="shared" ref="G13:G64" si="7">B13+C13/60</f>
        <v>0</v>
      </c>
      <c r="H13" s="4"/>
      <c r="I13" s="5">
        <f t="shared" ref="I13:I17" si="8">G13*D13</f>
        <v>0</v>
      </c>
      <c r="J13" s="5">
        <f t="shared" si="6"/>
        <v>0</v>
      </c>
      <c r="N13" s="51">
        <v>0</v>
      </c>
    </row>
    <row r="14" spans="1:16">
      <c r="A14" s="6">
        <v>46037</v>
      </c>
      <c r="B14" s="4">
        <v>10</v>
      </c>
      <c r="C14" s="4">
        <v>25</v>
      </c>
      <c r="D14" s="4">
        <v>45</v>
      </c>
      <c r="E14" s="4">
        <v>1</v>
      </c>
      <c r="F14" s="4">
        <v>50</v>
      </c>
      <c r="G14" s="10">
        <f t="shared" si="7"/>
        <v>10.416666666666666</v>
      </c>
      <c r="H14" s="4"/>
      <c r="I14" s="5">
        <f t="shared" si="8"/>
        <v>468.75</v>
      </c>
      <c r="J14" s="5">
        <f t="shared" si="6"/>
        <v>468.75</v>
      </c>
      <c r="K14">
        <v>24</v>
      </c>
      <c r="N14" s="83">
        <v>350</v>
      </c>
    </row>
    <row r="15" spans="1:16">
      <c r="A15" s="6">
        <v>46038</v>
      </c>
      <c r="B15" s="4">
        <v>10</v>
      </c>
      <c r="C15" s="4">
        <v>1</v>
      </c>
      <c r="D15" s="4">
        <v>45</v>
      </c>
      <c r="E15" s="4">
        <v>1</v>
      </c>
      <c r="F15" s="4">
        <v>50</v>
      </c>
      <c r="G15" s="10">
        <f t="shared" si="7"/>
        <v>10.016666666666667</v>
      </c>
      <c r="H15" s="4"/>
      <c r="I15" s="5">
        <f t="shared" si="8"/>
        <v>450.75000000000006</v>
      </c>
      <c r="J15" s="5">
        <f t="shared" si="6"/>
        <v>450.75000000000006</v>
      </c>
      <c r="K15">
        <v>25</v>
      </c>
      <c r="N15" s="84">
        <v>460</v>
      </c>
    </row>
    <row r="16" spans="1:16">
      <c r="A16" s="6">
        <v>46039</v>
      </c>
      <c r="B16" s="4">
        <v>9</v>
      </c>
      <c r="C16" s="4">
        <v>19</v>
      </c>
      <c r="D16" s="4">
        <v>55</v>
      </c>
      <c r="E16" s="4">
        <v>1</v>
      </c>
      <c r="F16" s="4">
        <v>50</v>
      </c>
      <c r="G16" s="10">
        <f t="shared" si="7"/>
        <v>9.3166666666666664</v>
      </c>
      <c r="H16" s="4"/>
      <c r="I16" s="5">
        <f t="shared" si="8"/>
        <v>512.41666666666663</v>
      </c>
      <c r="J16" s="5">
        <f t="shared" si="6"/>
        <v>512.41666666666663</v>
      </c>
      <c r="K16">
        <v>27</v>
      </c>
      <c r="N16" s="83">
        <f>540+20</f>
        <v>560</v>
      </c>
    </row>
    <row r="17" spans="1:16" ht="16" thickBot="1">
      <c r="A17" s="6">
        <v>46040</v>
      </c>
      <c r="B17" s="4"/>
      <c r="C17" s="4"/>
      <c r="D17" s="4">
        <v>45</v>
      </c>
      <c r="E17" s="4">
        <v>1</v>
      </c>
      <c r="F17" s="4">
        <v>50</v>
      </c>
      <c r="G17" s="10">
        <f t="shared" si="7"/>
        <v>0</v>
      </c>
      <c r="H17" s="4"/>
      <c r="I17" s="5">
        <f t="shared" si="8"/>
        <v>0</v>
      </c>
      <c r="J17" s="5">
        <f t="shared" si="6"/>
        <v>0</v>
      </c>
      <c r="N17" s="51">
        <v>0</v>
      </c>
    </row>
    <row r="18" spans="1:16" s="59" customFormat="1" ht="20" thickBot="1">
      <c r="A18" s="71" t="s">
        <v>14</v>
      </c>
      <c r="B18" s="56">
        <f>SUM(B19:B24)</f>
        <v>47</v>
      </c>
      <c r="C18" s="56">
        <f>SUM(C19:C24)</f>
        <v>109</v>
      </c>
      <c r="D18" s="56">
        <f>SUM(D19)</f>
        <v>45</v>
      </c>
      <c r="E18" s="56">
        <f>SUM(E19:E24)</f>
        <v>6</v>
      </c>
      <c r="F18" s="56">
        <f>SUM(F19:F24)</f>
        <v>300</v>
      </c>
      <c r="G18" s="68">
        <f t="shared" si="7"/>
        <v>48.81666666666667</v>
      </c>
      <c r="H18" s="56">
        <f>250</f>
        <v>250</v>
      </c>
      <c r="I18" s="57">
        <f>SUM(I19:I24)</f>
        <v>2513.9166666666665</v>
      </c>
      <c r="J18" s="58">
        <f>SUM(J19:J24)</f>
        <v>2263.9166666666665</v>
      </c>
      <c r="K18" s="56">
        <f>SUM(K19:K24)</f>
        <v>130</v>
      </c>
      <c r="L18" s="57">
        <v>0</v>
      </c>
      <c r="M18" s="70">
        <f>J18+L18</f>
        <v>2263.9166666666665</v>
      </c>
      <c r="N18" s="64">
        <f>SUM(N19:N25)</f>
        <v>3150</v>
      </c>
      <c r="O18" s="60">
        <f>3455-N18</f>
        <v>305</v>
      </c>
    </row>
    <row r="19" spans="1:16">
      <c r="A19" s="78" t="s">
        <v>148</v>
      </c>
      <c r="B19" s="4"/>
      <c r="C19" s="4"/>
      <c r="D19" s="4">
        <v>45</v>
      </c>
      <c r="E19" s="4">
        <v>1</v>
      </c>
      <c r="F19" s="4">
        <v>50</v>
      </c>
      <c r="G19" s="10">
        <f t="shared" si="7"/>
        <v>0</v>
      </c>
      <c r="H19" s="4"/>
      <c r="I19" s="5">
        <f t="shared" ref="I19:I56" si="9">G19*D19</f>
        <v>0</v>
      </c>
      <c r="J19" s="5">
        <f t="shared" ref="J19:J56" si="10">I19-H19</f>
        <v>0</v>
      </c>
      <c r="N19" s="51">
        <v>0</v>
      </c>
    </row>
    <row r="20" spans="1:16">
      <c r="A20" s="78" t="s">
        <v>149</v>
      </c>
      <c r="B20" s="4">
        <v>10</v>
      </c>
      <c r="C20" s="4">
        <v>13</v>
      </c>
      <c r="D20" s="4">
        <v>45</v>
      </c>
      <c r="E20" s="4">
        <v>1</v>
      </c>
      <c r="F20" s="4">
        <v>50</v>
      </c>
      <c r="G20" s="10">
        <f t="shared" si="7"/>
        <v>10.216666666666667</v>
      </c>
      <c r="H20" s="4">
        <v>50</v>
      </c>
      <c r="I20" s="5">
        <f t="shared" si="9"/>
        <v>459.75</v>
      </c>
      <c r="J20" s="5">
        <f t="shared" si="10"/>
        <v>409.75</v>
      </c>
      <c r="K20">
        <v>21</v>
      </c>
      <c r="N20" s="51">
        <v>0</v>
      </c>
    </row>
    <row r="21" spans="1:16">
      <c r="A21" s="78" t="s">
        <v>150</v>
      </c>
      <c r="B21" s="4">
        <v>10</v>
      </c>
      <c r="C21" s="4">
        <v>7</v>
      </c>
      <c r="D21" s="4">
        <v>45</v>
      </c>
      <c r="E21" s="4">
        <v>1</v>
      </c>
      <c r="F21" s="4">
        <v>50</v>
      </c>
      <c r="G21" s="10">
        <f t="shared" si="7"/>
        <v>10.116666666666667</v>
      </c>
      <c r="H21" s="4">
        <v>50</v>
      </c>
      <c r="I21" s="5">
        <f t="shared" si="9"/>
        <v>455.25</v>
      </c>
      <c r="J21" s="5">
        <f t="shared" si="10"/>
        <v>405.25</v>
      </c>
      <c r="K21">
        <v>23</v>
      </c>
      <c r="N21" s="51">
        <v>0</v>
      </c>
    </row>
    <row r="22" spans="1:16">
      <c r="A22" s="78" t="s">
        <v>151</v>
      </c>
      <c r="B22" s="4">
        <v>10</v>
      </c>
      <c r="C22" s="4">
        <v>13</v>
      </c>
      <c r="D22" s="4">
        <v>55</v>
      </c>
      <c r="E22" s="4">
        <v>1</v>
      </c>
      <c r="F22" s="4">
        <v>50</v>
      </c>
      <c r="G22" s="10">
        <f t="shared" si="7"/>
        <v>10.216666666666667</v>
      </c>
      <c r="H22" s="4">
        <v>50</v>
      </c>
      <c r="I22" s="5">
        <f t="shared" si="9"/>
        <v>561.91666666666663</v>
      </c>
      <c r="J22" s="5">
        <f t="shared" si="10"/>
        <v>511.91666666666663</v>
      </c>
      <c r="K22">
        <v>30</v>
      </c>
      <c r="N22" s="51">
        <v>0</v>
      </c>
    </row>
    <row r="23" spans="1:16">
      <c r="A23" s="78" t="s">
        <v>152</v>
      </c>
      <c r="B23" s="4">
        <v>10</v>
      </c>
      <c r="C23" s="4">
        <v>45</v>
      </c>
      <c r="D23" s="4">
        <v>65</v>
      </c>
      <c r="E23" s="4">
        <v>1</v>
      </c>
      <c r="F23" s="4">
        <v>50</v>
      </c>
      <c r="G23" s="10">
        <f t="shared" si="7"/>
        <v>10.75</v>
      </c>
      <c r="H23" s="4">
        <v>50</v>
      </c>
      <c r="I23" s="5">
        <f t="shared" si="9"/>
        <v>698.75</v>
      </c>
      <c r="J23" s="5">
        <f t="shared" si="10"/>
        <v>648.75</v>
      </c>
      <c r="K23">
        <v>36</v>
      </c>
      <c r="N23" s="83">
        <f>1300+200</f>
        <v>1500</v>
      </c>
      <c r="P23" t="s">
        <v>134</v>
      </c>
    </row>
    <row r="24" spans="1:16">
      <c r="A24" s="78" t="s">
        <v>153</v>
      </c>
      <c r="B24" s="4">
        <v>7</v>
      </c>
      <c r="C24" s="4">
        <v>31</v>
      </c>
      <c r="D24" s="4">
        <v>45</v>
      </c>
      <c r="E24" s="4">
        <v>1</v>
      </c>
      <c r="F24" s="4">
        <v>50</v>
      </c>
      <c r="G24" s="10">
        <f t="shared" si="7"/>
        <v>7.5166666666666666</v>
      </c>
      <c r="H24" s="4">
        <v>50</v>
      </c>
      <c r="I24" s="5">
        <f t="shared" si="9"/>
        <v>338.25</v>
      </c>
      <c r="J24" s="5">
        <f t="shared" si="10"/>
        <v>288.25</v>
      </c>
      <c r="K24">
        <v>20</v>
      </c>
      <c r="N24" s="83">
        <f>150</f>
        <v>150</v>
      </c>
      <c r="P24" t="s">
        <v>27</v>
      </c>
    </row>
    <row r="25" spans="1:16" ht="16" thickBot="1">
      <c r="A25" s="78" t="s">
        <v>154</v>
      </c>
      <c r="B25" s="4">
        <v>9</v>
      </c>
      <c r="C25" s="4">
        <v>37</v>
      </c>
      <c r="D25" s="4">
        <v>65</v>
      </c>
      <c r="E25" s="4">
        <v>1</v>
      </c>
      <c r="F25" s="4">
        <v>50</v>
      </c>
      <c r="G25" s="10">
        <f t="shared" ref="G25" si="11">B25+C25/60</f>
        <v>9.6166666666666671</v>
      </c>
      <c r="H25" s="4">
        <v>50</v>
      </c>
      <c r="I25" s="5">
        <f t="shared" ref="I25" si="12">G25*D25</f>
        <v>625.08333333333337</v>
      </c>
      <c r="J25" s="5">
        <f t="shared" ref="J25" si="13">I25-H25</f>
        <v>575.08333333333337</v>
      </c>
      <c r="K25">
        <v>31</v>
      </c>
      <c r="N25" s="51">
        <v>1500</v>
      </c>
    </row>
    <row r="26" spans="1:16" s="59" customFormat="1" ht="20" thickBot="1">
      <c r="A26" s="71" t="s">
        <v>15</v>
      </c>
      <c r="B26" s="56">
        <f>SUM(B27:B32)</f>
        <v>12</v>
      </c>
      <c r="C26" s="56">
        <f>SUM(C27:C32)</f>
        <v>29</v>
      </c>
      <c r="D26" s="56">
        <f>SUM(D27)</f>
        <v>65</v>
      </c>
      <c r="E26" s="56">
        <f>SUM(E27:E32)</f>
        <v>1</v>
      </c>
      <c r="F26" s="56">
        <f>SUM(F27:F32)</f>
        <v>100</v>
      </c>
      <c r="G26" s="68">
        <f>B26+C26/60</f>
        <v>12.483333333333333</v>
      </c>
      <c r="H26" s="56">
        <f>SUM(H27:H32)</f>
        <v>50</v>
      </c>
      <c r="I26" s="57">
        <f>SUM(I27:I31)</f>
        <v>686.58333333333326</v>
      </c>
      <c r="J26" s="58">
        <f>SUM(J27:J31)</f>
        <v>636.58333333333326</v>
      </c>
      <c r="K26" s="56">
        <f>SUM(K27:K32)</f>
        <v>29</v>
      </c>
      <c r="L26" s="57">
        <v>0</v>
      </c>
      <c r="M26" s="70">
        <f>J26+L26</f>
        <v>636.58333333333326</v>
      </c>
      <c r="N26" s="64">
        <f>SUM(N27)</f>
        <v>0</v>
      </c>
      <c r="O26" s="60">
        <f>542-540</f>
        <v>2</v>
      </c>
    </row>
    <row r="27" spans="1:16">
      <c r="A27" s="78" t="s">
        <v>109</v>
      </c>
      <c r="B27" s="4"/>
      <c r="C27" s="4"/>
      <c r="D27" s="4">
        <v>65</v>
      </c>
      <c r="E27" s="4">
        <v>0</v>
      </c>
      <c r="F27" s="4">
        <v>50</v>
      </c>
      <c r="G27" s="10">
        <f>B27+C27/60</f>
        <v>0</v>
      </c>
      <c r="H27" s="4"/>
      <c r="I27" s="5">
        <f>G27*D27</f>
        <v>0</v>
      </c>
      <c r="J27" s="5">
        <f>I27-H27</f>
        <v>0</v>
      </c>
      <c r="N27" s="51">
        <v>0</v>
      </c>
    </row>
    <row r="28" spans="1:16">
      <c r="A28" s="78"/>
      <c r="B28" s="4"/>
      <c r="C28" s="4"/>
      <c r="D28" s="4">
        <v>45</v>
      </c>
      <c r="E28" s="4">
        <v>0</v>
      </c>
      <c r="F28" s="4">
        <v>0</v>
      </c>
      <c r="G28" s="10">
        <f>B28+C28/60</f>
        <v>0</v>
      </c>
      <c r="H28" s="4">
        <f>E28*F28</f>
        <v>0</v>
      </c>
      <c r="I28" s="5">
        <f>G28*D28</f>
        <v>0</v>
      </c>
      <c r="J28" s="5">
        <f>I28-H28</f>
        <v>0</v>
      </c>
      <c r="N28" s="51">
        <v>0</v>
      </c>
    </row>
    <row r="29" spans="1:16">
      <c r="A29" s="78"/>
      <c r="B29" s="4"/>
      <c r="C29" s="4"/>
      <c r="D29" s="4">
        <v>45</v>
      </c>
      <c r="E29" s="4">
        <v>0</v>
      </c>
      <c r="F29" s="4">
        <v>0</v>
      </c>
      <c r="G29" s="10">
        <f t="shared" ref="G29:G32" si="14">B29+C29/60</f>
        <v>0</v>
      </c>
      <c r="H29" s="4">
        <f t="shared" ref="H29:H32" si="15">E29*F29</f>
        <v>0</v>
      </c>
      <c r="I29" s="5">
        <f t="shared" ref="I29:I32" si="16">G29*D29</f>
        <v>0</v>
      </c>
      <c r="J29" s="5">
        <f t="shared" ref="J29:J32" si="17">I29-H29</f>
        <v>0</v>
      </c>
      <c r="N29" s="51">
        <v>0</v>
      </c>
    </row>
    <row r="30" spans="1:16">
      <c r="A30" s="78"/>
      <c r="B30" s="4"/>
      <c r="C30" s="4"/>
      <c r="D30" s="4">
        <v>45</v>
      </c>
      <c r="E30" s="4">
        <v>0</v>
      </c>
      <c r="F30" s="4">
        <v>0</v>
      </c>
      <c r="G30" s="10">
        <f t="shared" si="14"/>
        <v>0</v>
      </c>
      <c r="H30" s="4">
        <f t="shared" si="15"/>
        <v>0</v>
      </c>
      <c r="I30" s="5">
        <f t="shared" si="16"/>
        <v>0</v>
      </c>
      <c r="J30" s="5">
        <f t="shared" si="17"/>
        <v>0</v>
      </c>
      <c r="N30" s="51">
        <v>0</v>
      </c>
    </row>
    <row r="31" spans="1:16">
      <c r="A31" s="78" t="s">
        <v>153</v>
      </c>
      <c r="B31" s="4">
        <v>12</v>
      </c>
      <c r="C31" s="4">
        <v>29</v>
      </c>
      <c r="D31" s="4">
        <v>55</v>
      </c>
      <c r="E31" s="4">
        <v>1</v>
      </c>
      <c r="F31" s="4">
        <v>50</v>
      </c>
      <c r="G31" s="10">
        <f t="shared" si="14"/>
        <v>12.483333333333333</v>
      </c>
      <c r="H31" s="4">
        <v>50</v>
      </c>
      <c r="I31" s="5">
        <f t="shared" si="16"/>
        <v>686.58333333333326</v>
      </c>
      <c r="J31" s="5">
        <f t="shared" si="17"/>
        <v>636.58333333333326</v>
      </c>
      <c r="K31">
        <v>29</v>
      </c>
      <c r="N31" s="51">
        <v>540</v>
      </c>
    </row>
    <row r="32" spans="1:16" ht="16" thickBot="1">
      <c r="A32" s="78"/>
      <c r="B32" s="4"/>
      <c r="C32" s="4"/>
      <c r="D32" s="4">
        <v>45</v>
      </c>
      <c r="E32" s="4">
        <v>0</v>
      </c>
      <c r="F32" s="4">
        <v>0</v>
      </c>
      <c r="G32" s="10">
        <f t="shared" si="14"/>
        <v>0</v>
      </c>
      <c r="H32" s="4">
        <f t="shared" si="15"/>
        <v>0</v>
      </c>
      <c r="I32" s="5">
        <f t="shared" si="16"/>
        <v>0</v>
      </c>
      <c r="J32" s="5">
        <f t="shared" si="17"/>
        <v>0</v>
      </c>
      <c r="N32" s="51">
        <v>0</v>
      </c>
    </row>
    <row r="33" spans="1:16" s="54" customFormat="1" ht="20" thickBot="1">
      <c r="A33" s="72" t="s">
        <v>18</v>
      </c>
      <c r="B33" s="44">
        <f>SUM(B34:B40)</f>
        <v>19</v>
      </c>
      <c r="C33" s="44">
        <f>SUM(C34:C40)</f>
        <v>108</v>
      </c>
      <c r="D33" s="44">
        <f>SUM(D34)</f>
        <v>0</v>
      </c>
      <c r="E33" s="44">
        <f>SUM(E34:E40)</f>
        <v>3</v>
      </c>
      <c r="F33" s="44">
        <f>SUM(F34:F39)</f>
        <v>200</v>
      </c>
      <c r="G33" s="67">
        <f t="shared" si="7"/>
        <v>20.8</v>
      </c>
      <c r="H33" s="44">
        <f>SUM(H34:H39)</f>
        <v>150</v>
      </c>
      <c r="I33" s="46">
        <f>SUM(I34:I40)</f>
        <v>1003.5</v>
      </c>
      <c r="J33" s="47">
        <f>SUM(J34:J40)</f>
        <v>853.5</v>
      </c>
      <c r="K33" s="44">
        <f>SUM(K34:K40)</f>
        <v>67</v>
      </c>
      <c r="L33" s="46">
        <v>0</v>
      </c>
      <c r="M33" s="69">
        <f>J33+L33</f>
        <v>853.5</v>
      </c>
      <c r="N33" s="55">
        <f>SUM(N34:N40)</f>
        <v>1180</v>
      </c>
      <c r="O33" s="53">
        <f>1193-N33</f>
        <v>13</v>
      </c>
    </row>
    <row r="34" spans="1:16" ht="19">
      <c r="A34" s="6">
        <v>46034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10">
        <f t="shared" si="7"/>
        <v>0</v>
      </c>
      <c r="H34" s="4">
        <v>0</v>
      </c>
      <c r="I34" s="5">
        <f t="shared" si="9"/>
        <v>0</v>
      </c>
      <c r="J34" s="5">
        <f t="shared" si="10"/>
        <v>0</v>
      </c>
      <c r="N34" s="51">
        <v>0</v>
      </c>
      <c r="O34" s="49"/>
    </row>
    <row r="35" spans="1:16">
      <c r="A35" s="6">
        <v>46035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10">
        <f t="shared" si="7"/>
        <v>0</v>
      </c>
      <c r="H35" s="4">
        <v>0</v>
      </c>
      <c r="I35" s="5">
        <f t="shared" si="9"/>
        <v>0</v>
      </c>
      <c r="J35" s="5">
        <f t="shared" si="10"/>
        <v>0</v>
      </c>
      <c r="N35" s="51">
        <v>0</v>
      </c>
    </row>
    <row r="36" spans="1:16">
      <c r="A36" s="6">
        <v>46036</v>
      </c>
      <c r="B36" s="4">
        <v>8</v>
      </c>
      <c r="C36" s="4">
        <v>40</v>
      </c>
      <c r="D36" s="4">
        <v>45</v>
      </c>
      <c r="E36" s="4">
        <v>1</v>
      </c>
      <c r="F36" s="4">
        <v>50</v>
      </c>
      <c r="G36" s="10">
        <f t="shared" si="7"/>
        <v>8.6666666666666661</v>
      </c>
      <c r="H36" s="4">
        <v>50</v>
      </c>
      <c r="I36" s="5">
        <f t="shared" si="9"/>
        <v>390</v>
      </c>
      <c r="J36" s="5">
        <f t="shared" si="10"/>
        <v>340</v>
      </c>
      <c r="K36">
        <v>24</v>
      </c>
      <c r="N36" s="51">
        <v>0</v>
      </c>
      <c r="P36" t="s">
        <v>155</v>
      </c>
    </row>
    <row r="37" spans="1:16">
      <c r="A37" s="6">
        <v>46037</v>
      </c>
      <c r="B37" s="4">
        <v>5</v>
      </c>
      <c r="C37" s="4">
        <v>23</v>
      </c>
      <c r="D37" s="4">
        <v>45</v>
      </c>
      <c r="E37" s="4">
        <v>1</v>
      </c>
      <c r="F37" s="4">
        <v>50</v>
      </c>
      <c r="G37" s="10">
        <f t="shared" si="7"/>
        <v>5.3833333333333337</v>
      </c>
      <c r="H37" s="4">
        <v>50</v>
      </c>
      <c r="I37" s="5">
        <f t="shared" si="9"/>
        <v>242.25000000000003</v>
      </c>
      <c r="J37" s="5">
        <f t="shared" si="10"/>
        <v>192.25000000000003</v>
      </c>
      <c r="K37">
        <v>12</v>
      </c>
      <c r="N37" s="83">
        <v>340</v>
      </c>
    </row>
    <row r="38" spans="1:16">
      <c r="A38" s="6">
        <v>46038</v>
      </c>
      <c r="B38" s="4">
        <v>6</v>
      </c>
      <c r="C38" s="4">
        <v>45</v>
      </c>
      <c r="D38" s="4">
        <v>55</v>
      </c>
      <c r="E38" s="4">
        <v>1</v>
      </c>
      <c r="F38" s="4">
        <v>50</v>
      </c>
      <c r="G38" s="10">
        <f t="shared" si="7"/>
        <v>6.75</v>
      </c>
      <c r="H38" s="4">
        <v>50</v>
      </c>
      <c r="I38" s="5">
        <f t="shared" si="9"/>
        <v>371.25</v>
      </c>
      <c r="J38" s="5">
        <f t="shared" si="10"/>
        <v>321.25</v>
      </c>
      <c r="K38">
        <v>31</v>
      </c>
      <c r="N38" s="83">
        <v>150</v>
      </c>
      <c r="P38" t="s">
        <v>53</v>
      </c>
    </row>
    <row r="39" spans="1:16">
      <c r="A39" s="6">
        <v>46039</v>
      </c>
      <c r="B39" s="4">
        <v>0</v>
      </c>
      <c r="C39" s="4">
        <v>0</v>
      </c>
      <c r="D39" s="4">
        <v>0</v>
      </c>
      <c r="E39" s="4">
        <v>0</v>
      </c>
      <c r="F39" s="4">
        <v>50</v>
      </c>
      <c r="G39" s="10">
        <f t="shared" si="7"/>
        <v>0</v>
      </c>
      <c r="H39" s="4">
        <v>0</v>
      </c>
      <c r="I39" s="5"/>
      <c r="J39" s="5">
        <f t="shared" si="10"/>
        <v>0</v>
      </c>
      <c r="N39" s="83">
        <v>660</v>
      </c>
    </row>
    <row r="40" spans="1:16" ht="16" thickBot="1">
      <c r="A40" s="6">
        <v>46040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10">
        <f t="shared" si="7"/>
        <v>0</v>
      </c>
      <c r="H40" s="4">
        <v>0</v>
      </c>
      <c r="I40" s="5">
        <f t="shared" si="9"/>
        <v>0</v>
      </c>
      <c r="J40" s="5">
        <f t="shared" si="10"/>
        <v>0</v>
      </c>
      <c r="N40" s="83">
        <v>30</v>
      </c>
    </row>
    <row r="41" spans="1:16" s="59" customFormat="1" ht="20" thickBot="1">
      <c r="A41" s="71" t="s">
        <v>48</v>
      </c>
      <c r="B41" s="56">
        <f>SUM(B42:B48)</f>
        <v>69</v>
      </c>
      <c r="C41" s="56">
        <f>SUM(C42:C48)</f>
        <v>199</v>
      </c>
      <c r="D41" s="56">
        <f>SUM(D42)</f>
        <v>65</v>
      </c>
      <c r="E41" s="56">
        <f>SUM(E42:E48)</f>
        <v>7</v>
      </c>
      <c r="F41" s="56">
        <f>SUM(F42:F48)</f>
        <v>350</v>
      </c>
      <c r="G41" s="68">
        <f t="shared" si="7"/>
        <v>72.316666666666663</v>
      </c>
      <c r="H41" s="56">
        <f>SUM(H42:H48)</f>
        <v>100</v>
      </c>
      <c r="I41" s="61">
        <f>SUM(I42:I48)</f>
        <v>4290.7499999999991</v>
      </c>
      <c r="J41" s="62">
        <f>SUM(J42:J48)</f>
        <v>4190.7499999999991</v>
      </c>
      <c r="K41" s="56">
        <f>SUM(K42:K48)</f>
        <v>220</v>
      </c>
      <c r="L41" s="57">
        <v>0</v>
      </c>
      <c r="M41" s="70">
        <f>J41+L41</f>
        <v>4190.7499999999991</v>
      </c>
      <c r="N41" s="64">
        <f>SUM(N42:N48)</f>
        <v>5120</v>
      </c>
      <c r="O41" s="60">
        <f>5219-N41</f>
        <v>99</v>
      </c>
    </row>
    <row r="42" spans="1:16">
      <c r="A42" s="6">
        <v>46034</v>
      </c>
      <c r="B42" s="4">
        <v>10</v>
      </c>
      <c r="C42" s="4">
        <v>10</v>
      </c>
      <c r="D42" s="4">
        <v>65</v>
      </c>
      <c r="E42" s="4">
        <v>1</v>
      </c>
      <c r="F42" s="4">
        <v>50</v>
      </c>
      <c r="G42" s="10">
        <f t="shared" si="7"/>
        <v>10.166666666666666</v>
      </c>
      <c r="H42" s="4">
        <v>50</v>
      </c>
      <c r="I42" s="5">
        <f t="shared" si="9"/>
        <v>660.83333333333326</v>
      </c>
      <c r="J42" s="5">
        <f>I42-H42</f>
        <v>610.83333333333326</v>
      </c>
      <c r="K42">
        <v>33</v>
      </c>
      <c r="N42" s="83">
        <v>890</v>
      </c>
    </row>
    <row r="43" spans="1:16">
      <c r="A43" s="6">
        <v>46035</v>
      </c>
      <c r="B43" s="4">
        <v>10</v>
      </c>
      <c r="C43" s="4">
        <v>55</v>
      </c>
      <c r="D43" s="4">
        <v>65</v>
      </c>
      <c r="E43" s="4">
        <v>1</v>
      </c>
      <c r="F43" s="4">
        <v>50</v>
      </c>
      <c r="G43" s="10">
        <f t="shared" si="7"/>
        <v>10.916666666666666</v>
      </c>
      <c r="H43" s="4">
        <v>50</v>
      </c>
      <c r="I43" s="5">
        <f t="shared" si="9"/>
        <v>709.58333333333326</v>
      </c>
      <c r="J43" s="5">
        <f>I43-H43</f>
        <v>659.58333333333326</v>
      </c>
      <c r="K43">
        <v>37</v>
      </c>
      <c r="N43" s="81">
        <v>800</v>
      </c>
    </row>
    <row r="44" spans="1:16">
      <c r="A44" s="6">
        <v>46036</v>
      </c>
      <c r="B44" s="4">
        <v>10</v>
      </c>
      <c r="C44" s="4">
        <v>59</v>
      </c>
      <c r="D44" s="4">
        <v>65</v>
      </c>
      <c r="E44" s="4">
        <v>1</v>
      </c>
      <c r="F44" s="4">
        <v>50</v>
      </c>
      <c r="G44" s="10">
        <f t="shared" si="7"/>
        <v>10.983333333333333</v>
      </c>
      <c r="H44" s="4"/>
      <c r="I44" s="5">
        <f t="shared" si="9"/>
        <v>713.91666666666663</v>
      </c>
      <c r="J44" s="5">
        <f t="shared" ref="J44:J48" si="18">I44-H44</f>
        <v>713.91666666666663</v>
      </c>
      <c r="K44">
        <v>34</v>
      </c>
      <c r="N44" s="81">
        <f>570+200</f>
        <v>770</v>
      </c>
      <c r="P44" t="s">
        <v>156</v>
      </c>
    </row>
    <row r="45" spans="1:16">
      <c r="A45" s="6">
        <v>46037</v>
      </c>
      <c r="B45" s="4">
        <v>9</v>
      </c>
      <c r="C45" s="4">
        <v>17</v>
      </c>
      <c r="D45" s="4">
        <v>65</v>
      </c>
      <c r="E45" s="4">
        <v>1</v>
      </c>
      <c r="F45" s="4">
        <v>50</v>
      </c>
      <c r="G45" s="10">
        <f t="shared" si="7"/>
        <v>9.2833333333333332</v>
      </c>
      <c r="H45" s="4"/>
      <c r="I45" s="5">
        <f t="shared" si="9"/>
        <v>603.41666666666663</v>
      </c>
      <c r="J45" s="5">
        <f t="shared" si="18"/>
        <v>603.41666666666663</v>
      </c>
      <c r="K45">
        <v>32</v>
      </c>
      <c r="N45" s="81">
        <v>740</v>
      </c>
    </row>
    <row r="46" spans="1:16">
      <c r="A46" s="6">
        <v>46038</v>
      </c>
      <c r="B46" s="4">
        <v>10</v>
      </c>
      <c r="C46" s="4">
        <v>1</v>
      </c>
      <c r="D46" s="4">
        <v>45</v>
      </c>
      <c r="E46" s="4">
        <v>1</v>
      </c>
      <c r="F46" s="4">
        <v>50</v>
      </c>
      <c r="G46" s="10">
        <f t="shared" si="7"/>
        <v>10.016666666666667</v>
      </c>
      <c r="H46" s="4"/>
      <c r="I46" s="5">
        <f t="shared" si="9"/>
        <v>450.75000000000006</v>
      </c>
      <c r="J46" s="5">
        <f t="shared" si="18"/>
        <v>450.75000000000006</v>
      </c>
      <c r="K46">
        <v>26</v>
      </c>
      <c r="N46" s="81">
        <v>360</v>
      </c>
    </row>
    <row r="47" spans="1:16">
      <c r="A47" s="6">
        <v>46039</v>
      </c>
      <c r="B47" s="4">
        <v>10</v>
      </c>
      <c r="C47" s="4">
        <v>55</v>
      </c>
      <c r="D47" s="4">
        <v>55</v>
      </c>
      <c r="E47" s="4">
        <v>1</v>
      </c>
      <c r="F47" s="4">
        <v>50</v>
      </c>
      <c r="G47" s="10">
        <f t="shared" si="7"/>
        <v>10.916666666666666</v>
      </c>
      <c r="H47" s="4"/>
      <c r="I47" s="5">
        <f t="shared" si="9"/>
        <v>600.41666666666663</v>
      </c>
      <c r="J47" s="5">
        <f t="shared" si="18"/>
        <v>600.41666666666663</v>
      </c>
      <c r="K47">
        <v>29</v>
      </c>
      <c r="N47" s="83">
        <v>940</v>
      </c>
    </row>
    <row r="48" spans="1:16" ht="16" thickBot="1">
      <c r="A48" s="6">
        <v>46040</v>
      </c>
      <c r="B48" s="4">
        <v>10</v>
      </c>
      <c r="C48" s="4">
        <v>2</v>
      </c>
      <c r="D48" s="4">
        <v>55</v>
      </c>
      <c r="E48" s="4">
        <v>1</v>
      </c>
      <c r="F48" s="4">
        <v>50</v>
      </c>
      <c r="G48" s="10">
        <f t="shared" si="7"/>
        <v>10.033333333333333</v>
      </c>
      <c r="H48" s="4"/>
      <c r="I48" s="5">
        <f t="shared" si="9"/>
        <v>551.83333333333337</v>
      </c>
      <c r="J48" s="5">
        <f t="shared" si="18"/>
        <v>551.83333333333337</v>
      </c>
      <c r="K48">
        <v>29</v>
      </c>
      <c r="N48" s="83">
        <v>620</v>
      </c>
    </row>
    <row r="49" spans="1:17" s="54" customFormat="1" ht="20" thickBot="1">
      <c r="A49" s="72" t="s">
        <v>50</v>
      </c>
      <c r="B49" s="44">
        <f>SUM(B50:B56)</f>
        <v>63</v>
      </c>
      <c r="C49" s="44">
        <f>SUM(C50:C56)</f>
        <v>194</v>
      </c>
      <c r="D49" s="44">
        <f>SUM(D50)</f>
        <v>55</v>
      </c>
      <c r="E49" s="44">
        <f>SUM(E50:E56)</f>
        <v>5</v>
      </c>
      <c r="F49" s="44">
        <f>SUM(F50:F56)</f>
        <v>350</v>
      </c>
      <c r="G49" s="67">
        <f t="shared" si="7"/>
        <v>66.233333333333334</v>
      </c>
      <c r="H49" s="44">
        <f>SUM(H50:H56)</f>
        <v>300</v>
      </c>
      <c r="I49" s="46">
        <f>SUM(I50:I56)</f>
        <v>4040.5000000000005</v>
      </c>
      <c r="J49" s="47">
        <f>SUM(J50:J56)</f>
        <v>3740.5000000000005</v>
      </c>
      <c r="K49" s="44">
        <f>SUM(K50:K56)</f>
        <v>227</v>
      </c>
      <c r="L49" s="46">
        <v>0</v>
      </c>
      <c r="M49" s="69">
        <f>J49</f>
        <v>3740.5000000000005</v>
      </c>
      <c r="N49" s="63">
        <f>SUM(N50:N56)</f>
        <v>5340</v>
      </c>
      <c r="O49" s="53">
        <f>5348-N49</f>
        <v>8</v>
      </c>
    </row>
    <row r="50" spans="1:17">
      <c r="A50" s="6">
        <v>46034</v>
      </c>
      <c r="B50" s="7">
        <v>9</v>
      </c>
      <c r="C50" s="7">
        <v>31</v>
      </c>
      <c r="D50" s="7">
        <v>55</v>
      </c>
      <c r="E50" s="7">
        <v>1</v>
      </c>
      <c r="F50" s="7">
        <v>50</v>
      </c>
      <c r="G50" s="11">
        <f t="shared" si="7"/>
        <v>9.5166666666666675</v>
      </c>
      <c r="H50" s="7">
        <v>50</v>
      </c>
      <c r="I50" s="5">
        <f t="shared" si="9"/>
        <v>523.41666666666674</v>
      </c>
      <c r="J50" s="5">
        <f t="shared" si="10"/>
        <v>473.41666666666674</v>
      </c>
      <c r="K50">
        <v>27</v>
      </c>
      <c r="N50" s="81">
        <f>350+150</f>
        <v>500</v>
      </c>
      <c r="P50" t="s">
        <v>46</v>
      </c>
    </row>
    <row r="51" spans="1:17">
      <c r="A51" s="6">
        <v>46035</v>
      </c>
      <c r="B51" s="4">
        <v>7</v>
      </c>
      <c r="C51" s="4">
        <v>55</v>
      </c>
      <c r="D51" s="4">
        <v>55</v>
      </c>
      <c r="E51" s="4">
        <v>1</v>
      </c>
      <c r="F51" s="4">
        <v>50</v>
      </c>
      <c r="G51" s="10">
        <f t="shared" si="7"/>
        <v>7.916666666666667</v>
      </c>
      <c r="H51" s="4">
        <v>50</v>
      </c>
      <c r="I51" s="5">
        <f t="shared" si="9"/>
        <v>435.41666666666669</v>
      </c>
      <c r="J51" s="5">
        <f t="shared" si="10"/>
        <v>385.41666666666669</v>
      </c>
      <c r="K51">
        <v>27</v>
      </c>
      <c r="N51" s="81">
        <v>150</v>
      </c>
      <c r="P51" t="s">
        <v>157</v>
      </c>
    </row>
    <row r="52" spans="1:17">
      <c r="A52" s="6">
        <v>46036</v>
      </c>
      <c r="B52" s="4">
        <v>10</v>
      </c>
      <c r="C52" s="4">
        <v>6</v>
      </c>
      <c r="D52" s="4">
        <v>65</v>
      </c>
      <c r="E52" s="4">
        <v>1</v>
      </c>
      <c r="F52" s="4">
        <v>50</v>
      </c>
      <c r="G52" s="10">
        <f t="shared" si="7"/>
        <v>10.1</v>
      </c>
      <c r="H52" s="4">
        <v>50</v>
      </c>
      <c r="I52" s="5">
        <f t="shared" si="9"/>
        <v>656.5</v>
      </c>
      <c r="J52" s="5">
        <f t="shared" si="10"/>
        <v>606.5</v>
      </c>
      <c r="K52">
        <v>32</v>
      </c>
      <c r="N52" s="81">
        <f>510</f>
        <v>510</v>
      </c>
    </row>
    <row r="53" spans="1:17">
      <c r="A53" s="6">
        <v>46037</v>
      </c>
      <c r="B53" s="4">
        <v>10</v>
      </c>
      <c r="C53" s="4">
        <v>52</v>
      </c>
      <c r="D53" s="4">
        <v>65</v>
      </c>
      <c r="E53" s="4">
        <v>0</v>
      </c>
      <c r="F53" s="4">
        <v>50</v>
      </c>
      <c r="G53" s="10">
        <f t="shared" si="7"/>
        <v>10.866666666666667</v>
      </c>
      <c r="H53" s="4">
        <v>50</v>
      </c>
      <c r="I53" s="5">
        <f t="shared" si="9"/>
        <v>706.33333333333337</v>
      </c>
      <c r="J53" s="5">
        <f t="shared" si="10"/>
        <v>656.33333333333337</v>
      </c>
      <c r="K53">
        <v>40</v>
      </c>
      <c r="N53" s="81">
        <v>900</v>
      </c>
    </row>
    <row r="54" spans="1:17">
      <c r="A54" s="6">
        <v>46038</v>
      </c>
      <c r="B54" s="4">
        <v>9</v>
      </c>
      <c r="C54" s="4">
        <v>2</v>
      </c>
      <c r="D54" s="4">
        <v>55</v>
      </c>
      <c r="E54" s="4">
        <v>1</v>
      </c>
      <c r="F54" s="4">
        <v>50</v>
      </c>
      <c r="G54" s="10">
        <f t="shared" si="7"/>
        <v>9.0333333333333332</v>
      </c>
      <c r="H54" s="4">
        <v>50</v>
      </c>
      <c r="I54" s="5">
        <f t="shared" si="9"/>
        <v>496.83333333333331</v>
      </c>
      <c r="J54" s="5">
        <f t="shared" si="10"/>
        <v>446.83333333333331</v>
      </c>
      <c r="K54">
        <v>30</v>
      </c>
      <c r="N54" s="81">
        <v>520</v>
      </c>
    </row>
    <row r="55" spans="1:17">
      <c r="A55" s="6">
        <v>46039</v>
      </c>
      <c r="B55" s="4">
        <v>9</v>
      </c>
      <c r="C55" s="4">
        <v>40</v>
      </c>
      <c r="D55" s="4">
        <v>65</v>
      </c>
      <c r="E55" s="4">
        <v>1</v>
      </c>
      <c r="F55" s="4">
        <v>50</v>
      </c>
      <c r="G55" s="10">
        <f t="shared" si="7"/>
        <v>9.6666666666666661</v>
      </c>
      <c r="H55" s="4">
        <v>50</v>
      </c>
      <c r="I55" s="5">
        <f t="shared" si="9"/>
        <v>628.33333333333326</v>
      </c>
      <c r="J55" s="5">
        <f t="shared" si="10"/>
        <v>578.33333333333326</v>
      </c>
      <c r="K55">
        <v>38</v>
      </c>
      <c r="N55" s="81">
        <v>700</v>
      </c>
    </row>
    <row r="56" spans="1:17" ht="16" thickBot="1">
      <c r="A56" s="6">
        <v>46040</v>
      </c>
      <c r="B56" s="4">
        <v>9</v>
      </c>
      <c r="C56" s="4">
        <v>8</v>
      </c>
      <c r="D56" s="4">
        <v>65</v>
      </c>
      <c r="E56" s="4">
        <v>0</v>
      </c>
      <c r="F56" s="4">
        <v>50</v>
      </c>
      <c r="G56" s="10">
        <f t="shared" si="7"/>
        <v>9.1333333333333329</v>
      </c>
      <c r="H56" s="4"/>
      <c r="I56" s="5">
        <f t="shared" si="9"/>
        <v>593.66666666666663</v>
      </c>
      <c r="J56" s="5">
        <f t="shared" si="10"/>
        <v>593.66666666666663</v>
      </c>
      <c r="K56">
        <v>33</v>
      </c>
      <c r="N56" s="81">
        <v>2060</v>
      </c>
      <c r="P56" t="s">
        <v>158</v>
      </c>
    </row>
    <row r="57" spans="1:17" s="54" customFormat="1" ht="20" thickBot="1">
      <c r="A57" s="72" t="s">
        <v>140</v>
      </c>
      <c r="B57" s="44">
        <f>SUM(B58:B64)</f>
        <v>55</v>
      </c>
      <c r="C57" s="44">
        <f>SUM(C58:C64)</f>
        <v>173</v>
      </c>
      <c r="D57" s="44">
        <f>SUM(D58)</f>
        <v>55</v>
      </c>
      <c r="E57" s="44">
        <f>SUM(E58:E64)</f>
        <v>6</v>
      </c>
      <c r="F57" s="44">
        <f>SUM(F58:F64)</f>
        <v>300</v>
      </c>
      <c r="G57" s="67">
        <f t="shared" si="7"/>
        <v>57.883333333333333</v>
      </c>
      <c r="H57" s="44">
        <f>SUM(H58:H63)</f>
        <v>250</v>
      </c>
      <c r="I57" s="46">
        <f>SUM(I58:I64)</f>
        <v>3088.583333333333</v>
      </c>
      <c r="J57" s="47">
        <f>SUM(J58:J64)</f>
        <v>2788.583333333333</v>
      </c>
      <c r="K57" s="44">
        <f>SUM(K58:K64)</f>
        <v>169</v>
      </c>
      <c r="L57" s="46">
        <v>0</v>
      </c>
      <c r="M57" s="69">
        <f>J57</f>
        <v>2788.583333333333</v>
      </c>
      <c r="N57" s="63">
        <f>SUM(N58:N64)</f>
        <v>3991</v>
      </c>
      <c r="O57" s="53">
        <f>3991-N57</f>
        <v>0</v>
      </c>
    </row>
    <row r="58" spans="1:17">
      <c r="A58" s="6">
        <v>46034</v>
      </c>
      <c r="B58" s="7">
        <v>9</v>
      </c>
      <c r="C58" s="7">
        <v>31</v>
      </c>
      <c r="D58" s="7">
        <v>55</v>
      </c>
      <c r="E58" s="7">
        <v>1</v>
      </c>
      <c r="F58" s="7">
        <v>50</v>
      </c>
      <c r="G58" s="11">
        <f t="shared" si="7"/>
        <v>9.5166666666666675</v>
      </c>
      <c r="H58" s="7">
        <v>50</v>
      </c>
      <c r="I58" s="5">
        <f t="shared" ref="I58:I64" si="19">G58*D58</f>
        <v>523.41666666666674</v>
      </c>
      <c r="J58" s="5">
        <f t="shared" ref="J58:J64" si="20">I58-H58</f>
        <v>473.41666666666674</v>
      </c>
      <c r="K58">
        <v>29</v>
      </c>
      <c r="N58" s="51">
        <v>0</v>
      </c>
      <c r="O58" s="51"/>
    </row>
    <row r="59" spans="1:17">
      <c r="A59" s="6">
        <v>46035</v>
      </c>
      <c r="B59" s="4">
        <v>8</v>
      </c>
      <c r="C59" s="4">
        <v>4</v>
      </c>
      <c r="D59" s="4">
        <v>55</v>
      </c>
      <c r="E59" s="4">
        <v>1</v>
      </c>
      <c r="F59" s="4">
        <v>50</v>
      </c>
      <c r="G59" s="10">
        <f t="shared" si="7"/>
        <v>8.0666666666666664</v>
      </c>
      <c r="H59" s="4">
        <v>50</v>
      </c>
      <c r="I59" s="5">
        <f t="shared" si="19"/>
        <v>443.66666666666663</v>
      </c>
      <c r="J59" s="5">
        <f t="shared" si="20"/>
        <v>393.66666666666663</v>
      </c>
      <c r="K59">
        <v>29</v>
      </c>
      <c r="N59" s="51">
        <v>0</v>
      </c>
    </row>
    <row r="60" spans="1:17">
      <c r="A60" s="6">
        <v>46036</v>
      </c>
      <c r="B60" s="4">
        <v>10</v>
      </c>
      <c r="C60" s="4">
        <v>10</v>
      </c>
      <c r="D60" s="4">
        <v>55</v>
      </c>
      <c r="E60" s="4">
        <v>1</v>
      </c>
      <c r="F60" s="4">
        <v>50</v>
      </c>
      <c r="G60" s="10">
        <f t="shared" si="7"/>
        <v>10.166666666666666</v>
      </c>
      <c r="H60" s="4">
        <v>50</v>
      </c>
      <c r="I60" s="5">
        <f t="shared" si="19"/>
        <v>559.16666666666663</v>
      </c>
      <c r="J60" s="5">
        <f t="shared" si="20"/>
        <v>509.16666666666663</v>
      </c>
      <c r="K60">
        <v>27</v>
      </c>
      <c r="N60" s="51">
        <v>0</v>
      </c>
      <c r="Q60" t="s">
        <v>64</v>
      </c>
    </row>
    <row r="61" spans="1:17">
      <c r="A61" s="6">
        <v>46037</v>
      </c>
      <c r="B61" s="4">
        <v>10</v>
      </c>
      <c r="C61" s="4">
        <v>54</v>
      </c>
      <c r="D61" s="4">
        <v>55</v>
      </c>
      <c r="E61" s="4">
        <v>1</v>
      </c>
      <c r="F61" s="4">
        <v>50</v>
      </c>
      <c r="G61" s="10">
        <f t="shared" si="7"/>
        <v>10.9</v>
      </c>
      <c r="H61" s="4">
        <v>50</v>
      </c>
      <c r="I61" s="5">
        <f t="shared" si="19"/>
        <v>599.5</v>
      </c>
      <c r="J61" s="5">
        <f t="shared" si="20"/>
        <v>549.5</v>
      </c>
      <c r="K61">
        <v>30</v>
      </c>
      <c r="N61" s="51">
        <v>0</v>
      </c>
    </row>
    <row r="62" spans="1:17">
      <c r="A62" s="6">
        <v>46038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10">
        <f t="shared" si="7"/>
        <v>0</v>
      </c>
      <c r="H62" s="4">
        <v>0</v>
      </c>
      <c r="I62" s="5">
        <f t="shared" si="19"/>
        <v>0</v>
      </c>
      <c r="J62" s="5">
        <f t="shared" si="20"/>
        <v>0</v>
      </c>
      <c r="K62">
        <v>0</v>
      </c>
      <c r="N62" s="83">
        <v>841</v>
      </c>
    </row>
    <row r="63" spans="1:17">
      <c r="A63" s="6">
        <v>46039</v>
      </c>
      <c r="B63" s="4">
        <v>9</v>
      </c>
      <c r="C63" s="4">
        <v>44</v>
      </c>
      <c r="D63" s="4">
        <v>55</v>
      </c>
      <c r="E63" s="4">
        <v>1</v>
      </c>
      <c r="F63" s="4">
        <v>50</v>
      </c>
      <c r="G63" s="10">
        <f t="shared" si="7"/>
        <v>9.7333333333333325</v>
      </c>
      <c r="H63" s="4">
        <v>50</v>
      </c>
      <c r="I63" s="5">
        <f t="shared" si="19"/>
        <v>535.33333333333326</v>
      </c>
      <c r="J63" s="5">
        <f t="shared" si="20"/>
        <v>485.33333333333326</v>
      </c>
      <c r="K63">
        <v>28</v>
      </c>
      <c r="N63" s="83">
        <v>150</v>
      </c>
      <c r="P63" t="s">
        <v>53</v>
      </c>
    </row>
    <row r="64" spans="1:17" ht="16" thickBot="1">
      <c r="A64" s="6">
        <v>46040</v>
      </c>
      <c r="B64" s="4">
        <v>9</v>
      </c>
      <c r="C64" s="4">
        <v>30</v>
      </c>
      <c r="D64" s="4">
        <v>45</v>
      </c>
      <c r="E64" s="4">
        <v>1</v>
      </c>
      <c r="F64" s="4">
        <v>50</v>
      </c>
      <c r="G64" s="10">
        <f t="shared" si="7"/>
        <v>9.5</v>
      </c>
      <c r="H64" s="4">
        <v>50</v>
      </c>
      <c r="I64" s="5">
        <f t="shared" si="19"/>
        <v>427.5</v>
      </c>
      <c r="J64" s="5">
        <f t="shared" si="20"/>
        <v>377.5</v>
      </c>
      <c r="K64">
        <v>26</v>
      </c>
      <c r="N64" s="83">
        <v>3000</v>
      </c>
    </row>
    <row r="65" spans="1:15" s="54" customFormat="1" ht="20" thickBot="1">
      <c r="A65" s="72" t="s">
        <v>70</v>
      </c>
      <c r="B65" s="44">
        <f>SUM(B66:B72)</f>
        <v>22</v>
      </c>
      <c r="C65" s="44">
        <f>SUM(C66:C72)</f>
        <v>59</v>
      </c>
      <c r="D65" s="44">
        <f>SUM(D66)</f>
        <v>45</v>
      </c>
      <c r="E65" s="44">
        <f>SUM(E66:E72)</f>
        <v>2</v>
      </c>
      <c r="F65" s="44">
        <f>SUM(F66:F72)</f>
        <v>100</v>
      </c>
      <c r="G65" s="67">
        <f t="shared" ref="G65" si="21">B65+C65/60</f>
        <v>22.983333333333334</v>
      </c>
      <c r="H65" s="44">
        <f>SUM(H66:H71)</f>
        <v>1400</v>
      </c>
      <c r="I65" s="46">
        <f>SUM(I66:I69)</f>
        <v>1034.25</v>
      </c>
      <c r="J65" s="47">
        <f>SUM(J66:J69)</f>
        <v>934.25</v>
      </c>
      <c r="K65" s="44">
        <f>SUM(K66:K72)</f>
        <v>32</v>
      </c>
      <c r="L65" s="46">
        <v>0</v>
      </c>
      <c r="M65" s="69">
        <f>J65</f>
        <v>934.25</v>
      </c>
      <c r="N65" s="63">
        <f>SUM(N66:N69)</f>
        <v>1130</v>
      </c>
      <c r="O65" s="53">
        <f>1124-N65</f>
        <v>-6</v>
      </c>
    </row>
    <row r="66" spans="1:15">
      <c r="A66" s="80" t="s">
        <v>153</v>
      </c>
      <c r="B66" s="7">
        <v>11</v>
      </c>
      <c r="C66" s="7">
        <v>50</v>
      </c>
      <c r="D66" s="7">
        <v>45</v>
      </c>
      <c r="E66" s="7">
        <v>1</v>
      </c>
      <c r="F66" s="7">
        <v>50</v>
      </c>
      <c r="G66" s="11">
        <f t="shared" ref="G66" si="22">B66+C66/60</f>
        <v>11.833333333333334</v>
      </c>
      <c r="H66" s="7">
        <v>50</v>
      </c>
      <c r="I66" s="5">
        <f t="shared" ref="I66" si="23">G66*D66</f>
        <v>532.5</v>
      </c>
      <c r="J66" s="5">
        <f t="shared" ref="J66" si="24">I66-H66</f>
        <v>482.5</v>
      </c>
      <c r="K66">
        <v>12</v>
      </c>
      <c r="N66" s="51">
        <v>0</v>
      </c>
      <c r="O66" s="51"/>
    </row>
    <row r="67" spans="1:15">
      <c r="A67" s="80" t="s">
        <v>154</v>
      </c>
      <c r="B67" s="7">
        <v>11</v>
      </c>
      <c r="C67" s="7">
        <v>9</v>
      </c>
      <c r="D67" s="7">
        <v>45</v>
      </c>
      <c r="E67" s="7">
        <v>1</v>
      </c>
      <c r="F67" s="7">
        <v>50</v>
      </c>
      <c r="G67" s="11">
        <f t="shared" ref="G67:G68" si="25">B67+C67/60</f>
        <v>11.15</v>
      </c>
      <c r="H67" s="7">
        <v>50</v>
      </c>
      <c r="I67" s="5">
        <f t="shared" ref="I67:I68" si="26">G67*D67</f>
        <v>501.75</v>
      </c>
      <c r="J67" s="5">
        <f t="shared" ref="J67:J68" si="27">I67-H67</f>
        <v>451.75</v>
      </c>
      <c r="K67">
        <v>20</v>
      </c>
      <c r="N67" s="51">
        <v>1130</v>
      </c>
    </row>
    <row r="68" spans="1:15">
      <c r="A68" s="80"/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11">
        <f t="shared" si="25"/>
        <v>0</v>
      </c>
      <c r="H68" s="7"/>
      <c r="I68" s="5">
        <f t="shared" si="26"/>
        <v>0</v>
      </c>
      <c r="J68" s="5">
        <f t="shared" si="27"/>
        <v>0</v>
      </c>
      <c r="N68" s="51">
        <v>0</v>
      </c>
      <c r="O68" s="51"/>
    </row>
    <row r="69" spans="1:15" ht="16" thickBot="1">
      <c r="A69" s="6"/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11">
        <f t="shared" ref="G69" si="28">B69+C69/60</f>
        <v>0</v>
      </c>
      <c r="H69" s="7"/>
      <c r="I69" s="5">
        <f t="shared" ref="I69" si="29">G69*D69</f>
        <v>0</v>
      </c>
      <c r="J69" s="5">
        <f t="shared" ref="J69" si="30">I69-H69</f>
        <v>0</v>
      </c>
      <c r="N69" s="51"/>
    </row>
    <row r="70" spans="1:15" ht="16" thickBot="1">
      <c r="A70" t="s">
        <v>17</v>
      </c>
      <c r="H70" s="3">
        <f>H3+H10+H18+H26+H33+H41+H49</f>
        <v>1300</v>
      </c>
      <c r="I70" s="3">
        <f>I3+I10+I18+I26+I33+I41+I49</f>
        <v>16757.083333333332</v>
      </c>
      <c r="J70" s="3">
        <f>J3+J10+J18+J26+J33+J41+J49+J57+J65</f>
        <v>19782.166666666664</v>
      </c>
      <c r="M70" s="50">
        <f>M57+M49+M41+M33+M26+M18+M10+M3</f>
        <v>18847.916666666664</v>
      </c>
      <c r="N70" s="65">
        <f>N57+N49+N41+N33+N26+N18+N10+N3</f>
        <v>23124</v>
      </c>
      <c r="O70" s="66">
        <f>O57+O49+O41+O33+O26+O18+O3+O10+O65</f>
        <v>370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AFBA-A97F-764C-9BEC-067677873AF4}">
  <dimension ref="A1:Q108"/>
  <sheetViews>
    <sheetView workbookViewId="0">
      <pane xSplit="1" ySplit="1" topLeftCell="L98" activePane="bottomRight" state="frozen"/>
      <selection pane="topRight" activeCell="B1" sqref="B1"/>
      <selection pane="bottomLeft" activeCell="A2" sqref="A2"/>
      <selection pane="bottomRight" activeCell="L107" sqref="L107"/>
    </sheetView>
  </sheetViews>
  <sheetFormatPr baseColWidth="10" defaultColWidth="8.6640625" defaultRowHeight="15"/>
  <cols>
    <col min="1" max="1" width="21" customWidth="1"/>
    <col min="3" max="3" width="13.33203125" customWidth="1"/>
    <col min="4" max="4" width="17.6640625" customWidth="1"/>
    <col min="6" max="6" width="16.6640625" customWidth="1"/>
    <col min="7" max="7" width="19" customWidth="1"/>
    <col min="8" max="8" width="18" customWidth="1"/>
    <col min="9" max="9" width="20.5" customWidth="1"/>
    <col min="10" max="10" width="13.6640625" customWidth="1"/>
    <col min="11" max="12" width="10.33203125" bestFit="1" customWidth="1"/>
    <col min="13" max="13" width="17" bestFit="1" customWidth="1"/>
    <col min="14" max="14" width="15.33203125" bestFit="1" customWidth="1"/>
    <col min="15" max="15" width="22.6640625" bestFit="1" customWidth="1"/>
    <col min="16" max="16" width="175.5" customWidth="1"/>
  </cols>
  <sheetData>
    <row r="1" spans="1:16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6" ht="20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6" s="54" customFormat="1" ht="20" thickBot="1">
      <c r="A3" s="72" t="s">
        <v>10</v>
      </c>
      <c r="B3" s="44">
        <f>SUM(B4:B10)</f>
        <v>37</v>
      </c>
      <c r="C3" s="44">
        <f>SUM(C4:C10)</f>
        <v>142</v>
      </c>
      <c r="D3" s="44">
        <v>45</v>
      </c>
      <c r="E3" s="44">
        <f>SUM(E4:E10)</f>
        <v>4</v>
      </c>
      <c r="F3" s="44">
        <f>SUM(F4:F9)</f>
        <v>200</v>
      </c>
      <c r="G3" s="67">
        <f>B3+C3/60</f>
        <v>39.366666666666667</v>
      </c>
      <c r="H3" s="44">
        <f>SUM(H4:H10)</f>
        <v>200</v>
      </c>
      <c r="I3" s="46">
        <f>SUM(I4:I10)</f>
        <v>1955.3333333333335</v>
      </c>
      <c r="J3" s="47">
        <f>SUM(J4:J10)</f>
        <v>1755.3333333333333</v>
      </c>
      <c r="K3" s="44">
        <f>SUM(K4:K10)</f>
        <v>87</v>
      </c>
      <c r="L3" s="46">
        <v>0</v>
      </c>
      <c r="M3" s="69">
        <f>J3+L3</f>
        <v>1755.3333333333333</v>
      </c>
      <c r="N3" s="52">
        <f>SUM(N4:N10)</f>
        <v>1946</v>
      </c>
      <c r="O3" s="90">
        <f>1333-N3</f>
        <v>-613</v>
      </c>
    </row>
    <row r="4" spans="1:16">
      <c r="A4" s="6">
        <v>46048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10">
        <f>B4+C4/60</f>
        <v>0</v>
      </c>
      <c r="H4" s="4">
        <v>0</v>
      </c>
      <c r="I4" s="5">
        <f>G4*D4</f>
        <v>0</v>
      </c>
      <c r="J4" s="5">
        <f t="shared" ref="J4:J9" si="0">I4-H4</f>
        <v>0</v>
      </c>
      <c r="K4">
        <v>0</v>
      </c>
      <c r="M4" t="s">
        <v>26</v>
      </c>
      <c r="N4" s="83">
        <v>456</v>
      </c>
      <c r="P4" t="s">
        <v>159</v>
      </c>
    </row>
    <row r="5" spans="1:16">
      <c r="A5" s="6">
        <v>46049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10">
        <f t="shared" ref="G5:G10" si="1">B5+C5/60</f>
        <v>0</v>
      </c>
      <c r="H5" s="4">
        <v>0</v>
      </c>
      <c r="I5" s="5">
        <f t="shared" ref="I5:I10" si="2">G5*D5</f>
        <v>0</v>
      </c>
      <c r="J5" s="5">
        <f t="shared" si="0"/>
        <v>0</v>
      </c>
      <c r="K5">
        <v>0</v>
      </c>
      <c r="M5" t="s">
        <v>26</v>
      </c>
      <c r="N5" s="83">
        <v>150</v>
      </c>
      <c r="P5" t="s">
        <v>160</v>
      </c>
    </row>
    <row r="6" spans="1:16">
      <c r="A6" s="6">
        <v>46050</v>
      </c>
      <c r="B6" s="4">
        <v>11</v>
      </c>
      <c r="C6" s="4">
        <v>15</v>
      </c>
      <c r="D6" s="4">
        <v>45</v>
      </c>
      <c r="E6" s="4">
        <v>1</v>
      </c>
      <c r="F6" s="4">
        <v>50</v>
      </c>
      <c r="G6" s="10">
        <f t="shared" si="1"/>
        <v>11.25</v>
      </c>
      <c r="H6" s="4">
        <v>50</v>
      </c>
      <c r="I6" s="5">
        <f t="shared" si="2"/>
        <v>506.25</v>
      </c>
      <c r="J6" s="5">
        <f t="shared" si="0"/>
        <v>456.25</v>
      </c>
      <c r="K6">
        <v>11</v>
      </c>
      <c r="M6" t="s">
        <v>26</v>
      </c>
      <c r="N6" s="83">
        <v>300</v>
      </c>
      <c r="P6" s="113" t="s">
        <v>161</v>
      </c>
    </row>
    <row r="7" spans="1:16">
      <c r="A7" s="6">
        <v>46051</v>
      </c>
      <c r="B7" s="4">
        <v>9</v>
      </c>
      <c r="C7" s="4">
        <v>32</v>
      </c>
      <c r="D7" s="4">
        <v>55</v>
      </c>
      <c r="E7" s="4">
        <v>1</v>
      </c>
      <c r="F7" s="4">
        <v>50</v>
      </c>
      <c r="G7" s="10">
        <f t="shared" si="1"/>
        <v>9.5333333333333332</v>
      </c>
      <c r="H7" s="4">
        <v>50</v>
      </c>
      <c r="I7" s="5">
        <f t="shared" si="2"/>
        <v>524.33333333333337</v>
      </c>
      <c r="J7" s="5">
        <f t="shared" si="0"/>
        <v>474.33333333333337</v>
      </c>
      <c r="K7">
        <v>27</v>
      </c>
      <c r="M7" t="s">
        <v>26</v>
      </c>
      <c r="N7" s="83"/>
    </row>
    <row r="8" spans="1:16">
      <c r="A8" s="6">
        <v>46052</v>
      </c>
      <c r="B8" s="4">
        <v>9</v>
      </c>
      <c r="C8" s="4">
        <v>44</v>
      </c>
      <c r="D8" s="4">
        <v>45</v>
      </c>
      <c r="E8" s="4">
        <v>1</v>
      </c>
      <c r="F8" s="4">
        <v>50</v>
      </c>
      <c r="G8" s="10">
        <f t="shared" si="1"/>
        <v>9.7333333333333325</v>
      </c>
      <c r="H8" s="4">
        <v>50</v>
      </c>
      <c r="I8" s="5">
        <f t="shared" si="2"/>
        <v>437.99999999999994</v>
      </c>
      <c r="J8" s="5">
        <f t="shared" si="0"/>
        <v>387.99999999999994</v>
      </c>
      <c r="K8">
        <v>22</v>
      </c>
      <c r="M8" t="s">
        <v>26</v>
      </c>
      <c r="N8" s="83"/>
      <c r="O8" t="s">
        <v>162</v>
      </c>
    </row>
    <row r="9" spans="1:16">
      <c r="A9" s="6">
        <v>46053</v>
      </c>
      <c r="B9" s="4">
        <v>8</v>
      </c>
      <c r="C9" s="4">
        <v>51</v>
      </c>
      <c r="D9" s="4">
        <v>55</v>
      </c>
      <c r="E9" s="12">
        <v>1</v>
      </c>
      <c r="F9" s="4">
        <v>50</v>
      </c>
      <c r="G9" s="10">
        <f t="shared" si="1"/>
        <v>8.85</v>
      </c>
      <c r="H9" s="4">
        <v>50</v>
      </c>
      <c r="I9" s="5">
        <f t="shared" si="2"/>
        <v>486.75</v>
      </c>
      <c r="J9" s="5">
        <f t="shared" si="0"/>
        <v>436.75</v>
      </c>
      <c r="K9">
        <v>27</v>
      </c>
      <c r="N9" s="87"/>
    </row>
    <row r="10" spans="1:16" ht="16" thickBot="1">
      <c r="A10" s="6">
        <v>46054</v>
      </c>
      <c r="B10" s="4">
        <v>0</v>
      </c>
      <c r="C10" s="4">
        <v>0</v>
      </c>
      <c r="D10" s="4">
        <v>0</v>
      </c>
      <c r="E10" s="12">
        <v>0</v>
      </c>
      <c r="F10" s="4">
        <v>0</v>
      </c>
      <c r="G10" s="10">
        <f t="shared" si="1"/>
        <v>0</v>
      </c>
      <c r="H10" s="12">
        <v>0</v>
      </c>
      <c r="I10" s="5">
        <f t="shared" si="2"/>
        <v>0</v>
      </c>
      <c r="J10" s="88">
        <v>0</v>
      </c>
      <c r="K10">
        <v>0</v>
      </c>
      <c r="N10" s="81">
        <v>1040</v>
      </c>
    </row>
    <row r="11" spans="1:16" s="86" customFormat="1" ht="20" thickBot="1">
      <c r="A11" s="91" t="s">
        <v>11</v>
      </c>
      <c r="B11" s="92">
        <f>SUM(B12:B18)</f>
        <v>54</v>
      </c>
      <c r="C11" s="92">
        <f>SUM(C12:C18)</f>
        <v>172</v>
      </c>
      <c r="D11" s="92">
        <f>SUM(D12)</f>
        <v>45</v>
      </c>
      <c r="E11" s="92">
        <f>SUM(E12:E18)</f>
        <v>6</v>
      </c>
      <c r="F11" s="92">
        <f>SUM(F12:F18)</f>
        <v>350</v>
      </c>
      <c r="G11" s="93">
        <f>B11+C11/60</f>
        <v>56.866666666666667</v>
      </c>
      <c r="H11" s="92">
        <f>SUM(H12:H18)</f>
        <v>300</v>
      </c>
      <c r="I11" s="94">
        <f>SUM(I12:I18)</f>
        <v>2834.833333333333</v>
      </c>
      <c r="J11" s="95">
        <f>SUM(J12:J18)</f>
        <v>2534.833333333333</v>
      </c>
      <c r="K11" s="8">
        <f>SUM(K12:K18)</f>
        <v>150</v>
      </c>
      <c r="L11" s="9">
        <v>0</v>
      </c>
      <c r="M11" s="96">
        <f>J11+L11</f>
        <v>2534.833333333333</v>
      </c>
      <c r="N11" s="97">
        <f>SUM(N12:N18)</f>
        <v>3400</v>
      </c>
      <c r="O11" s="98">
        <f>3369-N11</f>
        <v>-31</v>
      </c>
    </row>
    <row r="12" spans="1:16">
      <c r="A12" s="6">
        <v>46048</v>
      </c>
      <c r="B12" s="4">
        <v>0</v>
      </c>
      <c r="C12" s="4">
        <v>0</v>
      </c>
      <c r="D12" s="4">
        <v>45</v>
      </c>
      <c r="E12" s="4">
        <v>0</v>
      </c>
      <c r="F12" s="4">
        <v>50</v>
      </c>
      <c r="G12" s="10">
        <f>B12+C12/60</f>
        <v>0</v>
      </c>
      <c r="H12" s="4">
        <v>0</v>
      </c>
      <c r="I12" s="5">
        <f>G12*D12</f>
        <v>0</v>
      </c>
      <c r="J12" s="5">
        <f>I12-H12</f>
        <v>0</v>
      </c>
      <c r="K12">
        <v>0</v>
      </c>
      <c r="M12" t="s">
        <v>26</v>
      </c>
      <c r="N12" s="83"/>
      <c r="P12" t="s">
        <v>46</v>
      </c>
    </row>
    <row r="13" spans="1:16">
      <c r="A13" s="6">
        <v>46049</v>
      </c>
      <c r="B13" s="4">
        <v>8</v>
      </c>
      <c r="C13" s="4">
        <v>34</v>
      </c>
      <c r="D13" s="4">
        <v>45</v>
      </c>
      <c r="E13" s="4">
        <v>1</v>
      </c>
      <c r="F13" s="4">
        <v>50</v>
      </c>
      <c r="G13" s="10">
        <f t="shared" ref="G13:G67" si="3">B13+C13/60</f>
        <v>8.5666666666666664</v>
      </c>
      <c r="H13" s="4">
        <v>50</v>
      </c>
      <c r="I13" s="5">
        <f>G13*D13</f>
        <v>385.5</v>
      </c>
      <c r="J13" s="5">
        <f t="shared" ref="J13:J18" si="4">I13-H13</f>
        <v>335.5</v>
      </c>
      <c r="K13">
        <v>23</v>
      </c>
      <c r="N13" s="83">
        <v>280</v>
      </c>
    </row>
    <row r="14" spans="1:16">
      <c r="A14" s="80" t="s">
        <v>163</v>
      </c>
      <c r="B14" s="4">
        <v>9</v>
      </c>
      <c r="C14" s="4">
        <v>24</v>
      </c>
      <c r="D14" s="4">
        <v>55</v>
      </c>
      <c r="E14" s="4">
        <v>1</v>
      </c>
      <c r="F14" s="4">
        <v>50</v>
      </c>
      <c r="G14" s="10">
        <f t="shared" si="3"/>
        <v>9.4</v>
      </c>
      <c r="H14" s="4">
        <v>50</v>
      </c>
      <c r="I14" s="5">
        <f t="shared" ref="I14:I18" si="5">G14*D14</f>
        <v>517</v>
      </c>
      <c r="J14" s="5">
        <f t="shared" si="4"/>
        <v>467</v>
      </c>
      <c r="K14">
        <v>30</v>
      </c>
      <c r="N14" s="51"/>
    </row>
    <row r="15" spans="1:16">
      <c r="A15" s="80" t="s">
        <v>164</v>
      </c>
      <c r="B15" s="4">
        <v>10</v>
      </c>
      <c r="C15" s="4">
        <v>14</v>
      </c>
      <c r="D15" s="4">
        <v>45</v>
      </c>
      <c r="E15" s="4">
        <v>1</v>
      </c>
      <c r="F15" s="4">
        <v>50</v>
      </c>
      <c r="G15" s="10">
        <f t="shared" si="3"/>
        <v>10.233333333333333</v>
      </c>
      <c r="H15" s="4">
        <v>50</v>
      </c>
      <c r="I15" s="5">
        <f t="shared" si="5"/>
        <v>460.49999999999994</v>
      </c>
      <c r="J15" s="5">
        <f t="shared" si="4"/>
        <v>410.49999999999994</v>
      </c>
      <c r="K15">
        <v>13</v>
      </c>
      <c r="N15" s="83">
        <v>710</v>
      </c>
    </row>
    <row r="16" spans="1:16">
      <c r="A16" s="80" t="s">
        <v>165</v>
      </c>
      <c r="B16" s="4">
        <v>10</v>
      </c>
      <c r="C16" s="4">
        <v>29</v>
      </c>
      <c r="D16" s="4">
        <v>45</v>
      </c>
      <c r="E16" s="4">
        <v>1</v>
      </c>
      <c r="F16" s="4">
        <v>50</v>
      </c>
      <c r="G16" s="10">
        <f t="shared" si="3"/>
        <v>10.483333333333333</v>
      </c>
      <c r="H16" s="4">
        <v>50</v>
      </c>
      <c r="I16" s="5">
        <f t="shared" si="5"/>
        <v>471.74999999999994</v>
      </c>
      <c r="J16" s="5">
        <f t="shared" si="4"/>
        <v>421.74999999999994</v>
      </c>
      <c r="K16">
        <v>26</v>
      </c>
      <c r="N16" s="82"/>
    </row>
    <row r="17" spans="1:16">
      <c r="A17" s="80" t="s">
        <v>166</v>
      </c>
      <c r="B17" s="4">
        <v>8</v>
      </c>
      <c r="C17" s="4">
        <v>52</v>
      </c>
      <c r="D17" s="4">
        <v>55</v>
      </c>
      <c r="E17" s="4">
        <v>1</v>
      </c>
      <c r="F17" s="4">
        <v>50</v>
      </c>
      <c r="G17" s="10">
        <f t="shared" si="3"/>
        <v>8.8666666666666671</v>
      </c>
      <c r="H17" s="4">
        <v>50</v>
      </c>
      <c r="I17" s="5">
        <f t="shared" si="5"/>
        <v>487.66666666666669</v>
      </c>
      <c r="J17" s="5">
        <f t="shared" si="4"/>
        <v>437.66666666666669</v>
      </c>
      <c r="K17">
        <v>29</v>
      </c>
      <c r="N17" s="83">
        <v>840</v>
      </c>
      <c r="P17" t="s">
        <v>167</v>
      </c>
    </row>
    <row r="18" spans="1:16" ht="16" thickBot="1">
      <c r="A18" s="80" t="s">
        <v>168</v>
      </c>
      <c r="B18" s="4">
        <v>9</v>
      </c>
      <c r="C18" s="4">
        <v>19</v>
      </c>
      <c r="D18" s="4">
        <v>55</v>
      </c>
      <c r="E18" s="4">
        <v>1</v>
      </c>
      <c r="F18" s="4">
        <v>50</v>
      </c>
      <c r="G18" s="10">
        <f t="shared" si="3"/>
        <v>9.3166666666666664</v>
      </c>
      <c r="H18" s="4">
        <v>50</v>
      </c>
      <c r="I18" s="5">
        <f t="shared" si="5"/>
        <v>512.41666666666663</v>
      </c>
      <c r="J18" s="5">
        <f t="shared" si="4"/>
        <v>462.41666666666663</v>
      </c>
      <c r="K18">
        <v>29</v>
      </c>
      <c r="N18" s="83">
        <f>150+1420</f>
        <v>1570</v>
      </c>
      <c r="P18" t="s">
        <v>27</v>
      </c>
    </row>
    <row r="19" spans="1:16" s="86" customFormat="1" ht="20" thickBot="1">
      <c r="A19" s="91" t="s">
        <v>14</v>
      </c>
      <c r="B19" s="8">
        <f>SUM(B20:B26)</f>
        <v>46</v>
      </c>
      <c r="C19" s="8">
        <f>SUM(C20:C26)</f>
        <v>272</v>
      </c>
      <c r="D19" s="8">
        <v>45</v>
      </c>
      <c r="E19" s="8">
        <f>SUM(E20:E26)</f>
        <v>6</v>
      </c>
      <c r="F19" s="8">
        <f>SUM(F20:F25)</f>
        <v>300</v>
      </c>
      <c r="G19" s="93">
        <f t="shared" si="3"/>
        <v>50.533333333333331</v>
      </c>
      <c r="H19" s="8">
        <f>SUM(H20:H26)</f>
        <v>300</v>
      </c>
      <c r="I19" s="9">
        <f>SUM(I20:I26)</f>
        <v>3002.166666666667</v>
      </c>
      <c r="J19" s="14">
        <f>SUM(J20:J26)</f>
        <v>2702.166666666667</v>
      </c>
      <c r="K19" s="8">
        <f>SUM(K20:K26)</f>
        <v>179</v>
      </c>
      <c r="L19" s="9">
        <v>0</v>
      </c>
      <c r="M19" s="96">
        <f>J19+L19</f>
        <v>2702.166666666667</v>
      </c>
      <c r="N19" s="99">
        <f>SUM(N20:N26)</f>
        <v>4710</v>
      </c>
      <c r="O19" s="98">
        <f>5557-N19</f>
        <v>847</v>
      </c>
    </row>
    <row r="20" spans="1:16">
      <c r="A20" s="80" t="s">
        <v>169</v>
      </c>
      <c r="B20" s="4">
        <v>7</v>
      </c>
      <c r="C20" s="4">
        <v>47</v>
      </c>
      <c r="D20" s="4">
        <v>65</v>
      </c>
      <c r="E20" s="4">
        <v>1</v>
      </c>
      <c r="F20" s="4">
        <v>50</v>
      </c>
      <c r="G20" s="10">
        <f>B20+C20/60</f>
        <v>7.7833333333333332</v>
      </c>
      <c r="H20" s="4">
        <v>50</v>
      </c>
      <c r="I20" s="5">
        <f t="shared" ref="I20:I50" si="6">G20*D20</f>
        <v>505.91666666666669</v>
      </c>
      <c r="J20" s="5">
        <f>I20-H20</f>
        <v>455.91666666666669</v>
      </c>
      <c r="K20">
        <v>30</v>
      </c>
      <c r="N20" s="51">
        <v>0</v>
      </c>
      <c r="P20" t="s">
        <v>170</v>
      </c>
    </row>
    <row r="21" spans="1:16">
      <c r="A21" s="80" t="s">
        <v>171</v>
      </c>
      <c r="B21" s="4">
        <v>9</v>
      </c>
      <c r="C21" s="4">
        <v>59</v>
      </c>
      <c r="D21" s="4">
        <v>55</v>
      </c>
      <c r="E21" s="4">
        <v>1</v>
      </c>
      <c r="F21" s="4">
        <v>50</v>
      </c>
      <c r="G21" s="10">
        <f t="shared" ref="G21:G26" si="7">B21+C21/60</f>
        <v>9.9833333333333325</v>
      </c>
      <c r="H21" s="4">
        <v>50</v>
      </c>
      <c r="I21" s="5">
        <f t="shared" si="6"/>
        <v>549.08333333333326</v>
      </c>
      <c r="J21" s="5">
        <f t="shared" ref="J21:J58" si="8">I21-H21</f>
        <v>499.08333333333326</v>
      </c>
      <c r="K21">
        <v>30</v>
      </c>
      <c r="N21" s="112"/>
      <c r="P21" t="s">
        <v>172</v>
      </c>
    </row>
    <row r="22" spans="1:16">
      <c r="A22" s="80" t="s">
        <v>163</v>
      </c>
      <c r="B22" s="4">
        <v>10</v>
      </c>
      <c r="C22" s="4">
        <v>52</v>
      </c>
      <c r="D22" s="4">
        <v>65</v>
      </c>
      <c r="E22" s="4">
        <v>1</v>
      </c>
      <c r="F22" s="4">
        <v>50</v>
      </c>
      <c r="G22" s="10">
        <f t="shared" si="7"/>
        <v>10.866666666666667</v>
      </c>
      <c r="H22" s="4">
        <v>50</v>
      </c>
      <c r="I22" s="5">
        <f t="shared" si="6"/>
        <v>706.33333333333337</v>
      </c>
      <c r="J22" s="5">
        <f t="shared" si="8"/>
        <v>656.33333333333337</v>
      </c>
      <c r="K22">
        <v>37</v>
      </c>
      <c r="N22" s="51">
        <v>0</v>
      </c>
    </row>
    <row r="23" spans="1:16">
      <c r="A23" s="80" t="s">
        <v>164</v>
      </c>
      <c r="B23" s="4">
        <v>0</v>
      </c>
      <c r="C23" s="4">
        <v>0</v>
      </c>
      <c r="D23" s="4">
        <v>45</v>
      </c>
      <c r="E23" s="4">
        <v>0</v>
      </c>
      <c r="F23" s="4">
        <v>50</v>
      </c>
      <c r="G23" s="10">
        <f t="shared" si="7"/>
        <v>0</v>
      </c>
      <c r="H23" s="4"/>
      <c r="I23" s="5">
        <f t="shared" si="6"/>
        <v>0</v>
      </c>
      <c r="J23" s="5">
        <f t="shared" si="8"/>
        <v>0</v>
      </c>
      <c r="K23">
        <v>0</v>
      </c>
      <c r="N23" s="83">
        <v>1570</v>
      </c>
    </row>
    <row r="24" spans="1:16">
      <c r="A24" s="80" t="s">
        <v>165</v>
      </c>
      <c r="B24" s="4">
        <v>4</v>
      </c>
      <c r="C24" s="4">
        <v>50</v>
      </c>
      <c r="D24" s="4">
        <v>45</v>
      </c>
      <c r="E24" s="4">
        <v>1</v>
      </c>
      <c r="F24" s="4">
        <v>50</v>
      </c>
      <c r="G24" s="10">
        <f t="shared" si="7"/>
        <v>4.833333333333333</v>
      </c>
      <c r="H24" s="4">
        <v>50</v>
      </c>
      <c r="I24" s="5">
        <f t="shared" si="6"/>
        <v>217.5</v>
      </c>
      <c r="J24" s="5">
        <f>I24-H24</f>
        <v>167.5</v>
      </c>
      <c r="K24">
        <v>17</v>
      </c>
      <c r="N24" s="83">
        <f>110</f>
        <v>110</v>
      </c>
      <c r="P24" t="s">
        <v>173</v>
      </c>
    </row>
    <row r="25" spans="1:16">
      <c r="A25" s="80" t="s">
        <v>166</v>
      </c>
      <c r="B25" s="4">
        <v>8</v>
      </c>
      <c r="C25" s="4">
        <v>36</v>
      </c>
      <c r="D25" s="4">
        <v>55</v>
      </c>
      <c r="E25" s="4">
        <v>1</v>
      </c>
      <c r="F25" s="4">
        <v>50</v>
      </c>
      <c r="G25" s="10">
        <f t="shared" si="7"/>
        <v>8.6</v>
      </c>
      <c r="H25" s="4">
        <v>50</v>
      </c>
      <c r="I25" s="5">
        <f t="shared" si="6"/>
        <v>473</v>
      </c>
      <c r="J25" s="5">
        <f t="shared" si="8"/>
        <v>423</v>
      </c>
      <c r="K25">
        <v>31</v>
      </c>
      <c r="N25" s="83"/>
      <c r="P25" t="s">
        <v>174</v>
      </c>
    </row>
    <row r="26" spans="1:16" ht="16" thickBot="1">
      <c r="A26" s="80" t="s">
        <v>168</v>
      </c>
      <c r="B26" s="4">
        <v>8</v>
      </c>
      <c r="C26" s="4">
        <v>28</v>
      </c>
      <c r="D26" s="4">
        <v>65</v>
      </c>
      <c r="E26" s="4">
        <v>1</v>
      </c>
      <c r="F26" s="4">
        <v>50</v>
      </c>
      <c r="G26" s="10">
        <f t="shared" si="7"/>
        <v>8.4666666666666668</v>
      </c>
      <c r="H26" s="4">
        <v>50</v>
      </c>
      <c r="I26" s="5">
        <f t="shared" si="6"/>
        <v>550.33333333333337</v>
      </c>
      <c r="J26" s="5">
        <f t="shared" si="8"/>
        <v>500.33333333333337</v>
      </c>
      <c r="K26">
        <v>34</v>
      </c>
      <c r="N26" s="83">
        <v>3030</v>
      </c>
    </row>
    <row r="27" spans="1:16" s="86" customFormat="1" ht="20" thickBot="1">
      <c r="A27" s="91" t="s">
        <v>15</v>
      </c>
      <c r="B27" s="8">
        <f>SUM(B28:B34)</f>
        <v>52</v>
      </c>
      <c r="C27" s="8">
        <f>SUM(C28:C34)</f>
        <v>163</v>
      </c>
      <c r="D27" s="8">
        <f>SUM(D28)</f>
        <v>45</v>
      </c>
      <c r="E27" s="8">
        <f>SUM(E28:E34)</f>
        <v>6</v>
      </c>
      <c r="F27" s="8">
        <f>SUM(F28:F34)</f>
        <v>300</v>
      </c>
      <c r="G27" s="93">
        <f>B27+C27/60</f>
        <v>54.716666666666669</v>
      </c>
      <c r="H27" s="8">
        <f>SUM(H28:H34)</f>
        <v>300</v>
      </c>
      <c r="I27" s="9">
        <f>SUM(I28:I34)</f>
        <v>2659.5833333333335</v>
      </c>
      <c r="J27" s="14">
        <f>SUM(J28:J34)</f>
        <v>2359.5833333333335</v>
      </c>
      <c r="K27" s="8">
        <f>SUM(K28:K34)</f>
        <v>149</v>
      </c>
      <c r="L27" s="9">
        <v>0</v>
      </c>
      <c r="M27" s="96">
        <f>J27+L27</f>
        <v>2359.5833333333335</v>
      </c>
      <c r="N27" s="99">
        <f>SUM(N28:N34)</f>
        <v>3659.65</v>
      </c>
      <c r="O27" s="98">
        <f>3656-N27</f>
        <v>-3.6500000000000909</v>
      </c>
    </row>
    <row r="28" spans="1:16">
      <c r="A28" s="80">
        <v>46048</v>
      </c>
      <c r="B28" s="4">
        <v>0</v>
      </c>
      <c r="C28" s="4">
        <v>0</v>
      </c>
      <c r="D28" s="4">
        <v>45</v>
      </c>
      <c r="E28" s="4">
        <v>0</v>
      </c>
      <c r="F28" s="4">
        <v>0</v>
      </c>
      <c r="G28" s="10">
        <f>B28+C28/60</f>
        <v>0</v>
      </c>
      <c r="H28" s="4"/>
      <c r="I28" s="5">
        <f>G28*D28</f>
        <v>0</v>
      </c>
      <c r="J28" s="5">
        <f>I28-H28</f>
        <v>0</v>
      </c>
      <c r="K28">
        <v>0</v>
      </c>
      <c r="N28" s="51">
        <v>0</v>
      </c>
    </row>
    <row r="29" spans="1:16">
      <c r="A29" s="80" t="s">
        <v>171</v>
      </c>
      <c r="B29" s="4">
        <v>10</v>
      </c>
      <c r="C29" s="4">
        <v>1</v>
      </c>
      <c r="D29" s="4">
        <v>45</v>
      </c>
      <c r="E29" s="4">
        <v>1</v>
      </c>
      <c r="F29" s="4">
        <v>50</v>
      </c>
      <c r="G29" s="10">
        <f t="shared" ref="G29:G34" si="9">B29+C29/60</f>
        <v>10.016666666666667</v>
      </c>
      <c r="H29" s="4">
        <v>50</v>
      </c>
      <c r="I29" s="5">
        <f>G29*D29</f>
        <v>450.75000000000006</v>
      </c>
      <c r="J29" s="5">
        <f>I29-H29</f>
        <v>400.75000000000006</v>
      </c>
      <c r="K29">
        <v>25</v>
      </c>
      <c r="N29" s="51">
        <f>562.65+200+100</f>
        <v>862.65</v>
      </c>
      <c r="P29" t="s">
        <v>175</v>
      </c>
    </row>
    <row r="30" spans="1:16">
      <c r="A30" s="80" t="s">
        <v>163</v>
      </c>
      <c r="B30" s="4">
        <v>9</v>
      </c>
      <c r="C30" s="4">
        <v>41</v>
      </c>
      <c r="D30" s="4">
        <v>55</v>
      </c>
      <c r="E30" s="4">
        <v>1</v>
      </c>
      <c r="F30" s="4">
        <v>50</v>
      </c>
      <c r="G30" s="10">
        <f t="shared" si="9"/>
        <v>9.6833333333333336</v>
      </c>
      <c r="H30" s="4">
        <v>50</v>
      </c>
      <c r="I30" s="5">
        <f t="shared" ref="I30:I34" si="10">G30*D30</f>
        <v>532.58333333333337</v>
      </c>
      <c r="J30" s="5">
        <f t="shared" ref="J30:J34" si="11">I30-H30</f>
        <v>482.58333333333337</v>
      </c>
      <c r="K30">
        <v>29</v>
      </c>
      <c r="N30" s="51">
        <v>0</v>
      </c>
    </row>
    <row r="31" spans="1:16">
      <c r="A31" s="80" t="s">
        <v>176</v>
      </c>
      <c r="B31" s="4">
        <v>10</v>
      </c>
      <c r="C31" s="4">
        <v>3</v>
      </c>
      <c r="D31" s="4">
        <v>55</v>
      </c>
      <c r="E31" s="4">
        <v>1</v>
      </c>
      <c r="F31" s="4">
        <v>50</v>
      </c>
      <c r="G31" s="10">
        <f t="shared" si="9"/>
        <v>10.050000000000001</v>
      </c>
      <c r="H31" s="4">
        <v>50</v>
      </c>
      <c r="I31" s="5">
        <f t="shared" si="10"/>
        <v>552.75</v>
      </c>
      <c r="J31" s="5">
        <f t="shared" si="11"/>
        <v>502.75</v>
      </c>
      <c r="K31">
        <v>27</v>
      </c>
      <c r="N31" s="51">
        <v>0</v>
      </c>
    </row>
    <row r="32" spans="1:16">
      <c r="A32" s="80" t="s">
        <v>177</v>
      </c>
      <c r="B32" s="4">
        <v>7</v>
      </c>
      <c r="C32" s="4">
        <v>16</v>
      </c>
      <c r="D32" s="4">
        <v>45</v>
      </c>
      <c r="E32" s="4">
        <v>1</v>
      </c>
      <c r="F32" s="4">
        <v>50</v>
      </c>
      <c r="G32" s="10">
        <f t="shared" si="9"/>
        <v>7.2666666666666666</v>
      </c>
      <c r="H32" s="4">
        <v>50</v>
      </c>
      <c r="I32" s="5">
        <f t="shared" si="10"/>
        <v>327</v>
      </c>
      <c r="J32" s="5">
        <f t="shared" si="11"/>
        <v>277</v>
      </c>
      <c r="K32">
        <v>21</v>
      </c>
      <c r="N32" s="51">
        <v>0</v>
      </c>
    </row>
    <row r="33" spans="1:16">
      <c r="A33" s="80" t="s">
        <v>166</v>
      </c>
      <c r="B33" s="4">
        <v>8</v>
      </c>
      <c r="C33" s="4">
        <v>45</v>
      </c>
      <c r="D33" s="4">
        <v>45</v>
      </c>
      <c r="E33" s="4">
        <v>1</v>
      </c>
      <c r="F33" s="4">
        <v>50</v>
      </c>
      <c r="G33" s="10">
        <f t="shared" si="9"/>
        <v>8.75</v>
      </c>
      <c r="H33" s="4">
        <v>50</v>
      </c>
      <c r="I33" s="5">
        <f t="shared" si="10"/>
        <v>393.75</v>
      </c>
      <c r="J33" s="5">
        <f t="shared" si="11"/>
        <v>343.75</v>
      </c>
      <c r="K33">
        <v>24</v>
      </c>
      <c r="N33" s="51">
        <v>0</v>
      </c>
    </row>
    <row r="34" spans="1:16" ht="16" thickBot="1">
      <c r="A34" s="80" t="s">
        <v>178</v>
      </c>
      <c r="B34" s="4">
        <v>8</v>
      </c>
      <c r="C34" s="4">
        <v>57</v>
      </c>
      <c r="D34" s="4">
        <v>45</v>
      </c>
      <c r="E34" s="4">
        <v>1</v>
      </c>
      <c r="F34" s="4">
        <v>50</v>
      </c>
      <c r="G34" s="10">
        <f t="shared" si="9"/>
        <v>8.9499999999999993</v>
      </c>
      <c r="H34" s="4">
        <v>50</v>
      </c>
      <c r="I34" s="5">
        <f t="shared" si="10"/>
        <v>402.74999999999994</v>
      </c>
      <c r="J34" s="5">
        <f t="shared" si="11"/>
        <v>352.74999999999994</v>
      </c>
      <c r="K34">
        <v>23</v>
      </c>
      <c r="N34" s="82">
        <v>2797</v>
      </c>
    </row>
    <row r="35" spans="1:16" s="54" customFormat="1" ht="20" thickBot="1">
      <c r="A35" s="72" t="s">
        <v>18</v>
      </c>
      <c r="B35" s="44">
        <f>SUM(B36:B42)</f>
        <v>47</v>
      </c>
      <c r="C35" s="44">
        <f>SUM(C36:C42)</f>
        <v>225</v>
      </c>
      <c r="D35" s="44">
        <v>45</v>
      </c>
      <c r="E35" s="44">
        <f>SUM(E36:E42)</f>
        <v>6</v>
      </c>
      <c r="F35" s="44">
        <f>SUM(F36:F41)</f>
        <v>250</v>
      </c>
      <c r="G35" s="67">
        <f t="shared" si="3"/>
        <v>50.75</v>
      </c>
      <c r="H35" s="44">
        <f>SUM(H36:H42)</f>
        <v>300</v>
      </c>
      <c r="I35" s="46">
        <f>SUM(I36:I42)</f>
        <v>2585.083333333333</v>
      </c>
      <c r="J35" s="47">
        <f>SUM(J36:J42)</f>
        <v>2285.083333333333</v>
      </c>
      <c r="K35" s="44">
        <f>SUM(K36:K42)</f>
        <v>140</v>
      </c>
      <c r="L35" s="46">
        <v>0</v>
      </c>
      <c r="M35" s="69">
        <f>J35+L35</f>
        <v>2285.083333333333</v>
      </c>
      <c r="N35" s="55">
        <f>SUM(N36:N42)</f>
        <v>3540</v>
      </c>
      <c r="O35" s="90">
        <f>3541-N35</f>
        <v>1</v>
      </c>
    </row>
    <row r="36" spans="1:16" ht="19">
      <c r="A36" s="6">
        <v>46048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10">
        <v>0</v>
      </c>
      <c r="H36" s="4">
        <v>0</v>
      </c>
      <c r="I36" s="5">
        <f t="shared" ref="I36:I42" si="12">G36*D36</f>
        <v>0</v>
      </c>
      <c r="J36" s="5">
        <f t="shared" ref="J36:J42" si="13">I36-H36</f>
        <v>0</v>
      </c>
      <c r="K36">
        <v>0</v>
      </c>
      <c r="N36" s="82"/>
      <c r="O36" s="49"/>
    </row>
    <row r="37" spans="1:16" ht="19">
      <c r="A37" s="6">
        <v>46049</v>
      </c>
      <c r="B37" s="4">
        <v>10</v>
      </c>
      <c r="C37" s="4">
        <v>38</v>
      </c>
      <c r="D37" s="4">
        <v>55</v>
      </c>
      <c r="E37" s="4">
        <v>1</v>
      </c>
      <c r="F37" s="4">
        <v>50</v>
      </c>
      <c r="G37" s="10">
        <f t="shared" ref="G37:G42" si="14">B37+C37/60</f>
        <v>10.633333333333333</v>
      </c>
      <c r="H37" s="4">
        <v>50</v>
      </c>
      <c r="I37" s="5">
        <f t="shared" si="12"/>
        <v>584.83333333333326</v>
      </c>
      <c r="J37" s="5">
        <f t="shared" si="13"/>
        <v>534.83333333333326</v>
      </c>
      <c r="K37">
        <v>30</v>
      </c>
      <c r="N37" s="83">
        <v>150</v>
      </c>
      <c r="O37" s="49"/>
      <c r="P37" t="s">
        <v>89</v>
      </c>
    </row>
    <row r="38" spans="1:16">
      <c r="A38" s="6">
        <v>46050</v>
      </c>
      <c r="B38" s="4">
        <v>9</v>
      </c>
      <c r="C38" s="4">
        <v>12</v>
      </c>
      <c r="D38" s="4">
        <v>45</v>
      </c>
      <c r="E38" s="4">
        <v>1</v>
      </c>
      <c r="F38" s="4">
        <v>50</v>
      </c>
      <c r="G38" s="10">
        <f t="shared" si="14"/>
        <v>9.1999999999999993</v>
      </c>
      <c r="H38" s="4">
        <v>50</v>
      </c>
      <c r="I38" s="5">
        <f t="shared" si="12"/>
        <v>413.99999999999994</v>
      </c>
      <c r="J38" s="5">
        <f t="shared" si="13"/>
        <v>363.99999999999994</v>
      </c>
      <c r="K38">
        <v>24</v>
      </c>
      <c r="N38" s="83">
        <f>150+530</f>
        <v>680</v>
      </c>
      <c r="P38" t="s">
        <v>179</v>
      </c>
    </row>
    <row r="39" spans="1:16">
      <c r="A39" s="6">
        <v>46051</v>
      </c>
      <c r="B39" s="4">
        <v>8</v>
      </c>
      <c r="C39" s="4">
        <v>39</v>
      </c>
      <c r="D39" s="4">
        <v>45</v>
      </c>
      <c r="E39" s="4">
        <v>1</v>
      </c>
      <c r="F39" s="4">
        <v>50</v>
      </c>
      <c r="G39" s="10">
        <f t="shared" si="14"/>
        <v>8.65</v>
      </c>
      <c r="H39" s="4">
        <v>50</v>
      </c>
      <c r="I39" s="5">
        <f t="shared" si="12"/>
        <v>389.25</v>
      </c>
      <c r="J39" s="5">
        <f t="shared" si="13"/>
        <v>339.25</v>
      </c>
      <c r="K39">
        <v>21</v>
      </c>
      <c r="N39" s="83">
        <v>470</v>
      </c>
    </row>
    <row r="40" spans="1:16">
      <c r="A40" s="6">
        <v>46052</v>
      </c>
      <c r="B40" s="4">
        <v>8</v>
      </c>
      <c r="C40" s="4">
        <v>42</v>
      </c>
      <c r="D40" s="4">
        <v>45</v>
      </c>
      <c r="E40" s="4">
        <v>1</v>
      </c>
      <c r="F40" s="4">
        <v>50</v>
      </c>
      <c r="G40" s="10">
        <f t="shared" si="14"/>
        <v>8.6999999999999993</v>
      </c>
      <c r="H40" s="4">
        <v>50</v>
      </c>
      <c r="I40" s="5">
        <f t="shared" si="12"/>
        <v>391.49999999999994</v>
      </c>
      <c r="J40" s="5">
        <f t="shared" si="13"/>
        <v>341.49999999999994</v>
      </c>
      <c r="K40">
        <v>19</v>
      </c>
      <c r="N40" s="83">
        <v>310</v>
      </c>
    </row>
    <row r="41" spans="1:16">
      <c r="A41" s="6">
        <v>46053</v>
      </c>
      <c r="B41" s="4">
        <v>9</v>
      </c>
      <c r="C41" s="4">
        <v>45</v>
      </c>
      <c r="D41" s="4">
        <v>65</v>
      </c>
      <c r="E41" s="4">
        <v>1</v>
      </c>
      <c r="F41" s="4">
        <v>50</v>
      </c>
      <c r="G41" s="10">
        <f t="shared" si="14"/>
        <v>9.75</v>
      </c>
      <c r="H41" s="4">
        <v>50</v>
      </c>
      <c r="I41" s="5">
        <f t="shared" si="12"/>
        <v>633.75</v>
      </c>
      <c r="J41" s="5">
        <f t="shared" si="13"/>
        <v>583.75</v>
      </c>
      <c r="K41">
        <v>35</v>
      </c>
      <c r="N41" s="83">
        <v>1060</v>
      </c>
      <c r="P41" s="51"/>
    </row>
    <row r="42" spans="1:16" ht="16" thickBot="1">
      <c r="A42" s="6">
        <v>46054</v>
      </c>
      <c r="B42" s="4">
        <v>3</v>
      </c>
      <c r="C42" s="4">
        <v>49</v>
      </c>
      <c r="D42" s="4">
        <v>45</v>
      </c>
      <c r="E42" s="4">
        <v>1</v>
      </c>
      <c r="F42" s="4">
        <v>50</v>
      </c>
      <c r="G42" s="10">
        <f t="shared" si="14"/>
        <v>3.8166666666666664</v>
      </c>
      <c r="H42" s="4">
        <v>50</v>
      </c>
      <c r="I42" s="5">
        <f t="shared" si="12"/>
        <v>171.75</v>
      </c>
      <c r="J42" s="5">
        <f t="shared" si="13"/>
        <v>121.75</v>
      </c>
      <c r="K42">
        <v>11</v>
      </c>
      <c r="L42" s="5"/>
      <c r="N42" s="83">
        <f>510+360</f>
        <v>870</v>
      </c>
      <c r="P42" t="s">
        <v>180</v>
      </c>
    </row>
    <row r="43" spans="1:16" s="86" customFormat="1" ht="20" thickBot="1">
      <c r="A43" s="91" t="s">
        <v>48</v>
      </c>
      <c r="B43" s="8">
        <f>SUM(B44:B50)</f>
        <v>58</v>
      </c>
      <c r="C43" s="8">
        <f>SUM(C44:C50)</f>
        <v>283</v>
      </c>
      <c r="D43" s="8">
        <f>SUM(D44)</f>
        <v>45</v>
      </c>
      <c r="E43" s="8">
        <f>SUM(E44:E50)</f>
        <v>7</v>
      </c>
      <c r="F43" s="8">
        <f>SUM(F44:F50)</f>
        <v>350</v>
      </c>
      <c r="G43" s="93">
        <f t="shared" si="3"/>
        <v>62.716666666666669</v>
      </c>
      <c r="H43" s="8">
        <f>SUM(H44:H50)</f>
        <v>350</v>
      </c>
      <c r="I43" s="100">
        <f>SUM(I44:I50)</f>
        <v>2986.9166666666665</v>
      </c>
      <c r="J43" s="101">
        <f>SUM(J44:J50)</f>
        <v>2636.9166666666665</v>
      </c>
      <c r="K43" s="8">
        <f>SUM(K44:K50)</f>
        <v>160</v>
      </c>
      <c r="L43" s="9">
        <v>0</v>
      </c>
      <c r="M43" s="96">
        <f>J43+L43</f>
        <v>2636.9166666666665</v>
      </c>
      <c r="N43" s="99">
        <f>SUM(N44:N50)</f>
        <v>3360</v>
      </c>
      <c r="O43" s="98">
        <f>3541-N43</f>
        <v>181</v>
      </c>
    </row>
    <row r="44" spans="1:16">
      <c r="A44" s="80">
        <v>46048</v>
      </c>
      <c r="B44" s="4">
        <v>8</v>
      </c>
      <c r="C44" s="4">
        <v>59</v>
      </c>
      <c r="D44" s="4">
        <v>45</v>
      </c>
      <c r="E44" s="4">
        <v>1</v>
      </c>
      <c r="F44" s="4">
        <v>50</v>
      </c>
      <c r="G44" s="10">
        <f t="shared" si="3"/>
        <v>8.9833333333333325</v>
      </c>
      <c r="H44" s="4">
        <v>50</v>
      </c>
      <c r="I44" s="5">
        <f t="shared" si="6"/>
        <v>404.24999999999994</v>
      </c>
      <c r="J44" s="5">
        <f>I44-H44</f>
        <v>354.24999999999994</v>
      </c>
      <c r="K44">
        <v>26</v>
      </c>
      <c r="N44" s="81">
        <v>460</v>
      </c>
      <c r="P44" t="s">
        <v>181</v>
      </c>
    </row>
    <row r="45" spans="1:16">
      <c r="A45" s="80">
        <v>46049</v>
      </c>
      <c r="B45" s="4">
        <v>11</v>
      </c>
      <c r="C45" s="4">
        <v>0</v>
      </c>
      <c r="D45" s="4">
        <v>45</v>
      </c>
      <c r="E45" s="4">
        <v>1</v>
      </c>
      <c r="F45" s="4">
        <v>50</v>
      </c>
      <c r="G45" s="10">
        <f t="shared" si="3"/>
        <v>11</v>
      </c>
      <c r="H45" s="4">
        <v>50</v>
      </c>
      <c r="I45" s="5">
        <f t="shared" si="6"/>
        <v>495</v>
      </c>
      <c r="J45" s="5">
        <f t="shared" ref="J45:J50" si="15">I45-H45</f>
        <v>445</v>
      </c>
      <c r="K45">
        <v>4</v>
      </c>
      <c r="N45" s="81"/>
      <c r="P45" t="s">
        <v>182</v>
      </c>
    </row>
    <row r="46" spans="1:16">
      <c r="A46" s="80">
        <v>46050</v>
      </c>
      <c r="B46" s="4">
        <v>8</v>
      </c>
      <c r="C46" s="4">
        <v>32</v>
      </c>
      <c r="D46" s="4">
        <v>45</v>
      </c>
      <c r="E46" s="4">
        <v>1</v>
      </c>
      <c r="F46" s="4">
        <v>50</v>
      </c>
      <c r="G46" s="10">
        <f t="shared" si="3"/>
        <v>8.5333333333333332</v>
      </c>
      <c r="H46" s="4">
        <v>50</v>
      </c>
      <c r="I46" s="5">
        <f t="shared" si="6"/>
        <v>384</v>
      </c>
      <c r="J46" s="5">
        <f t="shared" si="15"/>
        <v>334</v>
      </c>
      <c r="K46">
        <v>26</v>
      </c>
      <c r="N46" s="81">
        <f>80+300+150+100</f>
        <v>630</v>
      </c>
      <c r="P46" t="s">
        <v>183</v>
      </c>
    </row>
    <row r="47" spans="1:16">
      <c r="A47" s="80">
        <v>46051</v>
      </c>
      <c r="B47" s="4">
        <v>7</v>
      </c>
      <c r="C47" s="4">
        <v>44</v>
      </c>
      <c r="D47" s="4">
        <v>55</v>
      </c>
      <c r="E47" s="4">
        <v>1</v>
      </c>
      <c r="F47" s="4">
        <v>50</v>
      </c>
      <c r="G47" s="10">
        <f t="shared" si="3"/>
        <v>7.7333333333333334</v>
      </c>
      <c r="H47" s="4">
        <v>50</v>
      </c>
      <c r="I47" s="5">
        <f t="shared" si="6"/>
        <v>425.33333333333331</v>
      </c>
      <c r="J47" s="5">
        <f t="shared" si="15"/>
        <v>375.33333333333331</v>
      </c>
      <c r="K47">
        <v>28</v>
      </c>
      <c r="N47" s="81">
        <f>280+200</f>
        <v>480</v>
      </c>
      <c r="P47" t="s">
        <v>49</v>
      </c>
    </row>
    <row r="48" spans="1:16">
      <c r="A48" s="80">
        <v>46052</v>
      </c>
      <c r="B48" s="4">
        <v>8</v>
      </c>
      <c r="C48" s="4">
        <v>54</v>
      </c>
      <c r="D48" s="4">
        <v>45</v>
      </c>
      <c r="E48" s="4">
        <v>1</v>
      </c>
      <c r="F48" s="4">
        <v>50</v>
      </c>
      <c r="G48" s="10">
        <f t="shared" si="3"/>
        <v>8.9</v>
      </c>
      <c r="H48" s="4">
        <v>50</v>
      </c>
      <c r="I48" s="5">
        <f t="shared" si="6"/>
        <v>400.5</v>
      </c>
      <c r="J48" s="5">
        <f t="shared" si="15"/>
        <v>350.5</v>
      </c>
      <c r="K48">
        <v>22</v>
      </c>
      <c r="N48" s="81">
        <v>500</v>
      </c>
      <c r="P48" t="s">
        <v>55</v>
      </c>
    </row>
    <row r="49" spans="1:17">
      <c r="A49" s="80">
        <v>46053</v>
      </c>
      <c r="B49" s="4">
        <v>8</v>
      </c>
      <c r="C49" s="4">
        <v>50</v>
      </c>
      <c r="D49" s="4">
        <v>45</v>
      </c>
      <c r="E49" s="4">
        <v>1</v>
      </c>
      <c r="F49" s="4">
        <v>50</v>
      </c>
      <c r="G49" s="10">
        <f t="shared" si="3"/>
        <v>8.8333333333333339</v>
      </c>
      <c r="H49" s="4">
        <v>50</v>
      </c>
      <c r="I49" s="5">
        <f t="shared" si="6"/>
        <v>397.5</v>
      </c>
      <c r="J49" s="5">
        <f t="shared" si="15"/>
        <v>347.5</v>
      </c>
      <c r="K49">
        <v>25</v>
      </c>
      <c r="N49" s="83">
        <f>200</f>
        <v>200</v>
      </c>
      <c r="P49" t="s">
        <v>184</v>
      </c>
    </row>
    <row r="50" spans="1:17" ht="16" thickBot="1">
      <c r="A50" s="80">
        <v>46054</v>
      </c>
      <c r="B50" s="4">
        <v>8</v>
      </c>
      <c r="C50" s="4">
        <v>44</v>
      </c>
      <c r="D50" s="4">
        <v>55</v>
      </c>
      <c r="E50" s="4">
        <v>1</v>
      </c>
      <c r="F50" s="4">
        <v>50</v>
      </c>
      <c r="G50" s="10">
        <f t="shared" si="3"/>
        <v>8.7333333333333325</v>
      </c>
      <c r="H50" s="4">
        <v>50</v>
      </c>
      <c r="I50" s="5">
        <f t="shared" si="6"/>
        <v>480.33333333333331</v>
      </c>
      <c r="J50" s="5">
        <f t="shared" si="15"/>
        <v>430.33333333333331</v>
      </c>
      <c r="K50">
        <v>29</v>
      </c>
      <c r="N50" s="83">
        <f>200+850+40</f>
        <v>1090</v>
      </c>
      <c r="P50" t="s">
        <v>185</v>
      </c>
    </row>
    <row r="51" spans="1:17" s="54" customFormat="1" ht="20" thickBot="1">
      <c r="A51" s="72" t="s">
        <v>50</v>
      </c>
      <c r="B51" s="44">
        <f>SUM(B52:B58)</f>
        <v>66</v>
      </c>
      <c r="C51" s="44">
        <f>SUM(C52:C58)</f>
        <v>246</v>
      </c>
      <c r="D51" s="44">
        <f>SUM(D52)</f>
        <v>65</v>
      </c>
      <c r="E51" s="44">
        <f>SUM(E52:E58)</f>
        <v>7</v>
      </c>
      <c r="F51" s="44">
        <f>SUM(F52:F58)</f>
        <v>350</v>
      </c>
      <c r="G51" s="67">
        <f t="shared" si="3"/>
        <v>70.099999999999994</v>
      </c>
      <c r="H51" s="44">
        <f>SUM(H52:H58)</f>
        <v>350</v>
      </c>
      <c r="I51" s="46">
        <f>SUM(I52:I58)</f>
        <v>4458.6666666666661</v>
      </c>
      <c r="J51" s="47">
        <f>SUM(J52:J58)</f>
        <v>4108.6666666666661</v>
      </c>
      <c r="K51" s="44">
        <f>SUM(K52:K58)</f>
        <v>248</v>
      </c>
      <c r="L51" s="46">
        <v>300</v>
      </c>
      <c r="M51" s="69">
        <f>J51</f>
        <v>4108.6666666666661</v>
      </c>
      <c r="N51" s="63">
        <f>SUM(N52:N58)</f>
        <v>7135</v>
      </c>
      <c r="O51" s="90">
        <f>6871-N51</f>
        <v>-264</v>
      </c>
    </row>
    <row r="52" spans="1:17" ht="19">
      <c r="A52" s="6">
        <v>46048</v>
      </c>
      <c r="B52" s="4">
        <v>9</v>
      </c>
      <c r="C52" s="4">
        <v>56</v>
      </c>
      <c r="D52" s="4">
        <v>65</v>
      </c>
      <c r="E52" s="4">
        <v>1</v>
      </c>
      <c r="F52" s="4">
        <v>50</v>
      </c>
      <c r="G52" s="10">
        <f>B52+C52/60</f>
        <v>9.9333333333333336</v>
      </c>
      <c r="H52" s="4">
        <v>50</v>
      </c>
      <c r="I52" s="5">
        <f>G52*D52</f>
        <v>645.66666666666663</v>
      </c>
      <c r="J52" s="5">
        <f>I52-H52</f>
        <v>595.66666666666663</v>
      </c>
      <c r="K52">
        <v>35</v>
      </c>
      <c r="N52" s="83">
        <f>540+260</f>
        <v>800</v>
      </c>
      <c r="O52" s="49"/>
      <c r="P52" t="s">
        <v>55</v>
      </c>
    </row>
    <row r="53" spans="1:17" ht="16">
      <c r="A53" s="6">
        <v>46049</v>
      </c>
      <c r="B53" s="4">
        <v>10</v>
      </c>
      <c r="C53" s="4">
        <v>3</v>
      </c>
      <c r="D53" s="4">
        <v>65</v>
      </c>
      <c r="E53" s="4">
        <v>1</v>
      </c>
      <c r="F53" s="4">
        <v>50</v>
      </c>
      <c r="G53" s="10">
        <f t="shared" ref="G53:G58" si="16">B53+C53/60</f>
        <v>10.050000000000001</v>
      </c>
      <c r="H53" s="4">
        <v>50</v>
      </c>
      <c r="I53" s="5">
        <f t="shared" ref="I53:I58" si="17">G53*D53</f>
        <v>653.25</v>
      </c>
      <c r="J53" s="5">
        <f t="shared" si="8"/>
        <v>603.25</v>
      </c>
      <c r="K53">
        <v>32</v>
      </c>
      <c r="N53" s="81">
        <v>700</v>
      </c>
      <c r="P53" s="110" t="s">
        <v>186</v>
      </c>
    </row>
    <row r="54" spans="1:17" ht="16">
      <c r="A54" s="6">
        <v>46050</v>
      </c>
      <c r="B54" s="4">
        <v>10</v>
      </c>
      <c r="C54" s="4">
        <v>51</v>
      </c>
      <c r="D54" s="4">
        <v>65</v>
      </c>
      <c r="E54" s="4">
        <v>1</v>
      </c>
      <c r="F54" s="4">
        <v>50</v>
      </c>
      <c r="G54" s="10">
        <f t="shared" si="16"/>
        <v>10.85</v>
      </c>
      <c r="H54" s="4">
        <v>50</v>
      </c>
      <c r="I54" s="5">
        <f t="shared" si="17"/>
        <v>705.25</v>
      </c>
      <c r="J54" s="5">
        <f t="shared" si="8"/>
        <v>655.25</v>
      </c>
      <c r="K54">
        <v>37</v>
      </c>
      <c r="N54" s="81">
        <v>900</v>
      </c>
      <c r="P54" s="111" t="s">
        <v>55</v>
      </c>
    </row>
    <row r="55" spans="1:17">
      <c r="A55" s="6">
        <v>46051</v>
      </c>
      <c r="B55" s="4">
        <v>9</v>
      </c>
      <c r="C55" s="4">
        <v>47</v>
      </c>
      <c r="D55" s="4">
        <v>55</v>
      </c>
      <c r="E55" s="4">
        <v>1</v>
      </c>
      <c r="F55" s="4">
        <v>50</v>
      </c>
      <c r="G55" s="10">
        <f t="shared" si="16"/>
        <v>9.7833333333333332</v>
      </c>
      <c r="H55" s="4">
        <v>50</v>
      </c>
      <c r="I55" s="5">
        <f t="shared" si="17"/>
        <v>538.08333333333337</v>
      </c>
      <c r="J55" s="5">
        <f>I55-H55</f>
        <v>488.08333333333337</v>
      </c>
      <c r="K55">
        <v>39</v>
      </c>
      <c r="N55" s="83">
        <v>760</v>
      </c>
      <c r="P55" s="116" t="s">
        <v>55</v>
      </c>
    </row>
    <row r="56" spans="1:17">
      <c r="A56" s="6">
        <v>46052</v>
      </c>
      <c r="B56" s="4">
        <v>10</v>
      </c>
      <c r="C56" s="4">
        <v>29</v>
      </c>
      <c r="D56" s="4">
        <v>65</v>
      </c>
      <c r="E56" s="4">
        <v>1</v>
      </c>
      <c r="F56" s="4">
        <v>50</v>
      </c>
      <c r="G56" s="10">
        <f t="shared" si="16"/>
        <v>10.483333333333333</v>
      </c>
      <c r="H56" s="4">
        <v>50</v>
      </c>
      <c r="I56" s="5">
        <f t="shared" si="17"/>
        <v>681.41666666666663</v>
      </c>
      <c r="J56" s="5">
        <f t="shared" si="8"/>
        <v>631.41666666666663</v>
      </c>
      <c r="K56">
        <v>34</v>
      </c>
      <c r="N56" s="81">
        <v>850</v>
      </c>
      <c r="P56" t="s">
        <v>187</v>
      </c>
    </row>
    <row r="57" spans="1:17">
      <c r="A57" s="6">
        <v>46053</v>
      </c>
      <c r="B57" s="4">
        <v>9</v>
      </c>
      <c r="C57" s="4">
        <v>32</v>
      </c>
      <c r="D57" s="4">
        <v>65</v>
      </c>
      <c r="E57" s="4">
        <v>1</v>
      </c>
      <c r="F57" s="4">
        <v>50</v>
      </c>
      <c r="G57" s="10">
        <f t="shared" si="16"/>
        <v>9.5333333333333332</v>
      </c>
      <c r="H57" s="4">
        <v>50</v>
      </c>
      <c r="I57" s="5">
        <f t="shared" si="17"/>
        <v>619.66666666666663</v>
      </c>
      <c r="J57" s="5">
        <f t="shared" si="8"/>
        <v>569.66666666666663</v>
      </c>
      <c r="K57">
        <v>33</v>
      </c>
      <c r="N57" s="81">
        <v>485</v>
      </c>
      <c r="P57" t="s">
        <v>188</v>
      </c>
    </row>
    <row r="58" spans="1:17" ht="16" thickBot="1">
      <c r="A58" s="6">
        <v>46054</v>
      </c>
      <c r="B58" s="4">
        <v>9</v>
      </c>
      <c r="C58" s="4">
        <v>28</v>
      </c>
      <c r="D58" s="4">
        <v>65</v>
      </c>
      <c r="E58" s="4">
        <v>1</v>
      </c>
      <c r="F58" s="4">
        <v>50</v>
      </c>
      <c r="G58" s="10">
        <f t="shared" si="16"/>
        <v>9.4666666666666668</v>
      </c>
      <c r="H58" s="4">
        <v>50</v>
      </c>
      <c r="I58" s="5">
        <f t="shared" si="17"/>
        <v>615.33333333333337</v>
      </c>
      <c r="J58" s="5">
        <f t="shared" si="8"/>
        <v>565.33333333333337</v>
      </c>
      <c r="K58">
        <v>38</v>
      </c>
      <c r="N58" s="81">
        <f>2400+240</f>
        <v>2640</v>
      </c>
      <c r="P58" t="s">
        <v>189</v>
      </c>
    </row>
    <row r="59" spans="1:17" s="54" customFormat="1" ht="20" thickBot="1">
      <c r="A59" s="72" t="s">
        <v>140</v>
      </c>
      <c r="B59" s="44">
        <f>SUM(B60:B66)</f>
        <v>70</v>
      </c>
      <c r="C59" s="44">
        <f>SUM(C60:C66)</f>
        <v>225</v>
      </c>
      <c r="D59" s="44">
        <f>SUM(D60)</f>
        <v>65</v>
      </c>
      <c r="E59" s="44">
        <f>SUM(E60:E65)</f>
        <v>6</v>
      </c>
      <c r="F59" s="44">
        <f>SUM(F60:F66)</f>
        <v>350</v>
      </c>
      <c r="G59" s="67">
        <f t="shared" si="3"/>
        <v>73.75</v>
      </c>
      <c r="H59" s="44">
        <f>SUM(H60:H66)</f>
        <v>350</v>
      </c>
      <c r="I59" s="46">
        <f>SUM(I60:I66)</f>
        <v>4793.7499999999991</v>
      </c>
      <c r="J59" s="47">
        <f>SUM(J60:J66)</f>
        <v>4443.75</v>
      </c>
      <c r="K59" s="44">
        <f>SUM(K60:K65)</f>
        <v>230</v>
      </c>
      <c r="L59" s="46">
        <v>300</v>
      </c>
      <c r="M59" s="69">
        <f>J59</f>
        <v>4443.75</v>
      </c>
      <c r="N59" s="63">
        <f>SUM(N60:N66)</f>
        <v>6425</v>
      </c>
      <c r="O59" s="90">
        <f>6426-N59</f>
        <v>1</v>
      </c>
    </row>
    <row r="60" spans="1:17">
      <c r="A60" s="80" t="s">
        <v>169</v>
      </c>
      <c r="B60" s="7">
        <v>10</v>
      </c>
      <c r="C60" s="7">
        <v>53</v>
      </c>
      <c r="D60" s="7">
        <v>65</v>
      </c>
      <c r="E60" s="7">
        <v>1</v>
      </c>
      <c r="F60" s="7">
        <v>50</v>
      </c>
      <c r="G60" s="11">
        <f t="shared" si="3"/>
        <v>10.883333333333333</v>
      </c>
      <c r="H60" s="7">
        <v>50</v>
      </c>
      <c r="I60" s="5">
        <f t="shared" ref="I60:I65" si="18">G60*D60</f>
        <v>707.41666666666663</v>
      </c>
      <c r="J60" s="5">
        <f t="shared" ref="J60:J62" si="19">I60-H60</f>
        <v>657.41666666666663</v>
      </c>
      <c r="K60">
        <v>39</v>
      </c>
      <c r="N60" s="51"/>
      <c r="O60" s="51"/>
    </row>
    <row r="61" spans="1:17">
      <c r="A61" s="80" t="s">
        <v>171</v>
      </c>
      <c r="B61" s="7">
        <v>11</v>
      </c>
      <c r="C61" s="7">
        <v>1</v>
      </c>
      <c r="D61" s="7">
        <v>65</v>
      </c>
      <c r="E61" s="7">
        <v>1</v>
      </c>
      <c r="F61" s="4">
        <v>50</v>
      </c>
      <c r="G61" s="11">
        <f t="shared" si="3"/>
        <v>11.016666666666667</v>
      </c>
      <c r="H61" s="4">
        <v>50</v>
      </c>
      <c r="I61" s="5">
        <f t="shared" si="18"/>
        <v>716.08333333333337</v>
      </c>
      <c r="J61" s="5">
        <f t="shared" si="19"/>
        <v>666.08333333333337</v>
      </c>
      <c r="K61">
        <v>39</v>
      </c>
      <c r="N61" s="51"/>
    </row>
    <row r="62" spans="1:17">
      <c r="A62" s="80" t="s">
        <v>163</v>
      </c>
      <c r="B62" s="7">
        <v>10</v>
      </c>
      <c r="C62" s="7">
        <v>47</v>
      </c>
      <c r="D62" s="7">
        <v>65</v>
      </c>
      <c r="E62" s="7">
        <v>1</v>
      </c>
      <c r="F62" s="4">
        <v>50</v>
      </c>
      <c r="G62" s="11">
        <f t="shared" si="3"/>
        <v>10.783333333333333</v>
      </c>
      <c r="H62" s="4">
        <v>50</v>
      </c>
      <c r="I62" s="5">
        <f t="shared" si="18"/>
        <v>700.91666666666663</v>
      </c>
      <c r="J62" s="5">
        <f t="shared" si="19"/>
        <v>650.91666666666663</v>
      </c>
      <c r="K62">
        <v>38</v>
      </c>
      <c r="N62" s="83">
        <v>2021</v>
      </c>
      <c r="Q62" t="s">
        <v>64</v>
      </c>
    </row>
    <row r="63" spans="1:17">
      <c r="A63" s="80" t="s">
        <v>176</v>
      </c>
      <c r="B63" s="7">
        <v>9</v>
      </c>
      <c r="C63" s="7">
        <v>45</v>
      </c>
      <c r="D63" s="7">
        <v>65</v>
      </c>
      <c r="E63" s="7">
        <v>1</v>
      </c>
      <c r="F63" s="4">
        <v>50</v>
      </c>
      <c r="G63" s="11">
        <f t="shared" si="3"/>
        <v>9.75</v>
      </c>
      <c r="H63" s="4">
        <v>50</v>
      </c>
      <c r="I63" s="5">
        <f t="shared" si="18"/>
        <v>633.75</v>
      </c>
      <c r="J63" s="5">
        <f>I63-H63</f>
        <v>583.75</v>
      </c>
      <c r="K63">
        <v>37</v>
      </c>
      <c r="N63" s="51"/>
    </row>
    <row r="64" spans="1:17">
      <c r="A64" s="80" t="s">
        <v>177</v>
      </c>
      <c r="B64" s="7">
        <v>10</v>
      </c>
      <c r="C64" s="7">
        <v>57</v>
      </c>
      <c r="D64" s="7">
        <v>65</v>
      </c>
      <c r="E64" s="7">
        <v>1</v>
      </c>
      <c r="F64" s="4">
        <v>50</v>
      </c>
      <c r="G64" s="11">
        <f t="shared" si="3"/>
        <v>10.95</v>
      </c>
      <c r="H64" s="4">
        <v>50</v>
      </c>
      <c r="I64" s="5">
        <f t="shared" si="18"/>
        <v>711.75</v>
      </c>
      <c r="J64" s="5">
        <f>I64-H64</f>
        <v>661.75</v>
      </c>
      <c r="K64">
        <v>36</v>
      </c>
      <c r="N64" s="51"/>
      <c r="Q64" t="s">
        <v>64</v>
      </c>
    </row>
    <row r="65" spans="1:17">
      <c r="A65" s="80" t="s">
        <v>190</v>
      </c>
      <c r="B65" s="7">
        <v>11</v>
      </c>
      <c r="C65" s="7">
        <v>0</v>
      </c>
      <c r="D65" s="7">
        <v>65</v>
      </c>
      <c r="E65" s="7">
        <v>1</v>
      </c>
      <c r="F65" s="4">
        <v>50</v>
      </c>
      <c r="G65" s="11">
        <f t="shared" si="3"/>
        <v>11</v>
      </c>
      <c r="H65" s="4">
        <v>50</v>
      </c>
      <c r="I65" s="5">
        <f t="shared" si="18"/>
        <v>715</v>
      </c>
      <c r="J65" s="5">
        <f>I65-H65</f>
        <v>665</v>
      </c>
      <c r="K65">
        <v>41</v>
      </c>
      <c r="N65" s="83">
        <v>1400</v>
      </c>
    </row>
    <row r="66" spans="1:17" ht="16" thickBot="1">
      <c r="A66" s="80" t="s">
        <v>178</v>
      </c>
      <c r="B66" s="7">
        <v>9</v>
      </c>
      <c r="C66" s="7">
        <v>22</v>
      </c>
      <c r="D66" s="7">
        <v>65</v>
      </c>
      <c r="E66" s="7">
        <v>1</v>
      </c>
      <c r="F66" s="4">
        <v>50</v>
      </c>
      <c r="G66" s="11">
        <f t="shared" ref="G66" si="20">B66+C66/60</f>
        <v>9.3666666666666671</v>
      </c>
      <c r="H66" s="4">
        <v>50</v>
      </c>
      <c r="I66" s="5">
        <f t="shared" ref="I66" si="21">G66*D66</f>
        <v>608.83333333333337</v>
      </c>
      <c r="J66" s="5">
        <f>I66-H66</f>
        <v>558.83333333333337</v>
      </c>
      <c r="K66">
        <v>32</v>
      </c>
      <c r="N66" s="83">
        <f>2089+915</f>
        <v>3004</v>
      </c>
      <c r="P66" t="s">
        <v>191</v>
      </c>
    </row>
    <row r="67" spans="1:17" s="54" customFormat="1" ht="20" thickBot="1">
      <c r="A67" s="72" t="s">
        <v>70</v>
      </c>
      <c r="B67" s="44">
        <f>SUM(B68:B74)</f>
        <v>0</v>
      </c>
      <c r="C67" s="44">
        <f>SUM(C68:C74)</f>
        <v>0</v>
      </c>
      <c r="D67" s="44">
        <f>SUM(D68)</f>
        <v>0</v>
      </c>
      <c r="E67" s="44">
        <f>SUM(E68:E74)</f>
        <v>6</v>
      </c>
      <c r="F67" s="44">
        <f>SUM(F68:F74)</f>
        <v>300</v>
      </c>
      <c r="G67" s="67">
        <f t="shared" si="3"/>
        <v>0</v>
      </c>
      <c r="H67" s="44">
        <f>SUM(H68:H74)</f>
        <v>0</v>
      </c>
      <c r="I67" s="46">
        <f>SUM(I68:I71)</f>
        <v>0</v>
      </c>
      <c r="J67" s="47">
        <f>SUM(J68:J71)</f>
        <v>0</v>
      </c>
      <c r="K67" s="44">
        <f>SUM(K68:K74)</f>
        <v>0</v>
      </c>
      <c r="L67" s="46">
        <v>0</v>
      </c>
      <c r="M67" s="69">
        <f>J67</f>
        <v>0</v>
      </c>
      <c r="N67" s="63">
        <f>SUM(N68:N71)</f>
        <v>0</v>
      </c>
      <c r="O67" s="90">
        <v>0</v>
      </c>
    </row>
    <row r="68" spans="1:17">
      <c r="A68" s="6">
        <v>46048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11">
        <v>0</v>
      </c>
      <c r="H68" s="7">
        <v>0</v>
      </c>
      <c r="I68" s="5">
        <f t="shared" ref="I68:I73" si="22">G68*D68</f>
        <v>0</v>
      </c>
      <c r="J68" s="5">
        <f>I68-H68</f>
        <v>0</v>
      </c>
      <c r="K68">
        <v>0</v>
      </c>
      <c r="N68" s="82"/>
      <c r="O68" s="51"/>
    </row>
    <row r="69" spans="1:17">
      <c r="A69" s="6">
        <v>46049</v>
      </c>
      <c r="B69" s="7">
        <v>0</v>
      </c>
      <c r="C69" s="7">
        <v>0</v>
      </c>
      <c r="D69" s="7">
        <v>45</v>
      </c>
      <c r="E69" s="7">
        <v>1</v>
      </c>
      <c r="F69" s="7">
        <v>50</v>
      </c>
      <c r="G69" s="11">
        <f t="shared" ref="G69:G71" si="23">B69+C69/60</f>
        <v>0</v>
      </c>
      <c r="H69" s="7">
        <v>0</v>
      </c>
      <c r="I69" s="5">
        <f t="shared" si="22"/>
        <v>0</v>
      </c>
      <c r="J69" s="5">
        <f>I69-H69</f>
        <v>0</v>
      </c>
      <c r="K69">
        <v>0</v>
      </c>
      <c r="N69" s="51"/>
    </row>
    <row r="70" spans="1:17">
      <c r="A70" s="6">
        <v>46050</v>
      </c>
      <c r="B70" s="7">
        <v>0</v>
      </c>
      <c r="C70" s="7">
        <v>0</v>
      </c>
      <c r="D70" s="7">
        <v>45</v>
      </c>
      <c r="E70" s="7">
        <v>1</v>
      </c>
      <c r="F70" s="7">
        <v>50</v>
      </c>
      <c r="G70" s="11">
        <f t="shared" si="23"/>
        <v>0</v>
      </c>
      <c r="H70" s="7">
        <v>0</v>
      </c>
      <c r="I70" s="5">
        <f t="shared" si="22"/>
        <v>0</v>
      </c>
      <c r="J70" s="5">
        <v>0</v>
      </c>
      <c r="K70">
        <v>0</v>
      </c>
      <c r="N70" s="51"/>
      <c r="Q70" t="s">
        <v>64</v>
      </c>
    </row>
    <row r="71" spans="1:17">
      <c r="A71" s="6">
        <v>46051</v>
      </c>
      <c r="B71" s="7">
        <v>0</v>
      </c>
      <c r="C71" s="7">
        <v>0</v>
      </c>
      <c r="D71" s="7">
        <v>45</v>
      </c>
      <c r="E71" s="7">
        <v>1</v>
      </c>
      <c r="F71" s="7">
        <v>50</v>
      </c>
      <c r="G71" s="11">
        <f t="shared" si="23"/>
        <v>0</v>
      </c>
      <c r="H71" s="7">
        <v>0</v>
      </c>
      <c r="I71" s="5">
        <f t="shared" si="22"/>
        <v>0</v>
      </c>
      <c r="J71" s="5">
        <v>0</v>
      </c>
      <c r="K71">
        <v>0</v>
      </c>
      <c r="N71" s="51"/>
    </row>
    <row r="72" spans="1:17">
      <c r="A72" s="6">
        <v>46052</v>
      </c>
      <c r="B72" s="7">
        <v>0</v>
      </c>
      <c r="C72" s="7">
        <v>0</v>
      </c>
      <c r="D72" s="7">
        <v>45</v>
      </c>
      <c r="E72" s="7">
        <v>1</v>
      </c>
      <c r="F72" s="7">
        <v>50</v>
      </c>
      <c r="G72" s="11">
        <f>B72+C72/60</f>
        <v>0</v>
      </c>
      <c r="H72" s="7">
        <v>0</v>
      </c>
      <c r="I72" s="5">
        <f t="shared" si="22"/>
        <v>0</v>
      </c>
      <c r="J72" s="5">
        <f>I72-H72</f>
        <v>0</v>
      </c>
      <c r="K72">
        <v>0</v>
      </c>
      <c r="N72" s="51"/>
    </row>
    <row r="73" spans="1:17">
      <c r="A73" s="6">
        <v>46053</v>
      </c>
      <c r="B73" s="7">
        <v>0</v>
      </c>
      <c r="C73" s="7">
        <v>0</v>
      </c>
      <c r="D73" s="7">
        <v>45</v>
      </c>
      <c r="E73" s="7">
        <v>1</v>
      </c>
      <c r="F73" s="7">
        <v>50</v>
      </c>
      <c r="G73" s="11">
        <f>B73+C73/60</f>
        <v>0</v>
      </c>
      <c r="H73" s="7">
        <v>0</v>
      </c>
      <c r="I73" s="5">
        <f t="shared" si="22"/>
        <v>0</v>
      </c>
      <c r="J73" s="5">
        <v>0</v>
      </c>
      <c r="K73">
        <v>0</v>
      </c>
      <c r="N73" s="83">
        <v>0</v>
      </c>
    </row>
    <row r="74" spans="1:17" ht="16" thickBot="1">
      <c r="A74" s="6">
        <v>46054</v>
      </c>
      <c r="B74" s="7">
        <v>0</v>
      </c>
      <c r="C74" s="7">
        <v>0</v>
      </c>
      <c r="D74" s="7">
        <v>45</v>
      </c>
      <c r="E74" s="7">
        <v>1</v>
      </c>
      <c r="F74" s="7">
        <v>50</v>
      </c>
      <c r="G74" s="11">
        <v>0</v>
      </c>
      <c r="H74" s="7">
        <v>0</v>
      </c>
      <c r="I74" s="5">
        <v>0</v>
      </c>
      <c r="J74" s="5">
        <v>0</v>
      </c>
      <c r="K74">
        <v>0</v>
      </c>
      <c r="N74" s="51"/>
    </row>
    <row r="75" spans="1:17" s="86" customFormat="1" ht="20" thickBot="1">
      <c r="A75" s="91" t="s">
        <v>74</v>
      </c>
      <c r="B75" s="8">
        <f>SUM(B76:B82)</f>
        <v>50</v>
      </c>
      <c r="C75" s="8">
        <f>SUM(C76:C82)</f>
        <v>153</v>
      </c>
      <c r="D75" s="8">
        <f>SUM(D76)</f>
        <v>45</v>
      </c>
      <c r="E75" s="8">
        <f>SUM(E76:E82)</f>
        <v>6</v>
      </c>
      <c r="F75" s="8">
        <f>SUM(F76:F82)</f>
        <v>300</v>
      </c>
      <c r="G75" s="93">
        <f t="shared" ref="G75" si="24">B75+C75/60</f>
        <v>52.55</v>
      </c>
      <c r="H75" s="8">
        <f>SUM(H76:H82)</f>
        <v>300</v>
      </c>
      <c r="I75" s="9">
        <f>SUM(I76:I82)</f>
        <v>2364.75</v>
      </c>
      <c r="J75" s="14">
        <f>SUM(J76:J82)</f>
        <v>2064.75</v>
      </c>
      <c r="K75" s="8">
        <f>SUM(K76:K82)</f>
        <v>108</v>
      </c>
      <c r="L75" s="9">
        <v>0</v>
      </c>
      <c r="M75" s="96">
        <f>J75</f>
        <v>2064.75</v>
      </c>
      <c r="N75" s="102">
        <f>SUM(N76:N82)</f>
        <v>2521</v>
      </c>
      <c r="O75" s="98">
        <f>2458-N75</f>
        <v>-63</v>
      </c>
    </row>
    <row r="76" spans="1:17">
      <c r="A76" s="6">
        <v>46048</v>
      </c>
      <c r="B76" s="7">
        <v>7</v>
      </c>
      <c r="C76" s="7">
        <v>9</v>
      </c>
      <c r="D76" s="7">
        <v>45</v>
      </c>
      <c r="E76" s="7">
        <v>1</v>
      </c>
      <c r="F76" s="7">
        <v>50</v>
      </c>
      <c r="G76" s="11">
        <f>B76+C76/60</f>
        <v>7.15</v>
      </c>
      <c r="H76" s="7">
        <v>50</v>
      </c>
      <c r="I76" s="5">
        <f t="shared" ref="I76:I81" si="25">G76*D76</f>
        <v>321.75</v>
      </c>
      <c r="J76" s="5">
        <f>I76-H76</f>
        <v>271.75</v>
      </c>
      <c r="K76">
        <v>12</v>
      </c>
      <c r="N76" s="83">
        <v>436</v>
      </c>
      <c r="O76" s="51"/>
    </row>
    <row r="77" spans="1:17">
      <c r="A77" s="6">
        <v>46049</v>
      </c>
      <c r="B77" s="4">
        <v>9</v>
      </c>
      <c r="C77" s="4">
        <v>51</v>
      </c>
      <c r="D77" s="7">
        <v>45</v>
      </c>
      <c r="E77" s="7">
        <v>1</v>
      </c>
      <c r="F77" s="7">
        <v>50</v>
      </c>
      <c r="G77" s="11">
        <f t="shared" ref="G77:G79" si="26">B77+C77/60</f>
        <v>9.85</v>
      </c>
      <c r="H77" s="4">
        <v>50</v>
      </c>
      <c r="I77" s="5">
        <f t="shared" si="25"/>
        <v>443.25</v>
      </c>
      <c r="J77" s="5">
        <f>I77-H77</f>
        <v>393.25</v>
      </c>
      <c r="K77">
        <v>18</v>
      </c>
      <c r="N77" s="83">
        <v>431</v>
      </c>
    </row>
    <row r="78" spans="1:17">
      <c r="A78" s="6">
        <v>46050</v>
      </c>
      <c r="B78" s="4">
        <v>8</v>
      </c>
      <c r="C78" s="4">
        <v>11</v>
      </c>
      <c r="D78" s="7">
        <v>45</v>
      </c>
      <c r="E78" s="7">
        <v>1</v>
      </c>
      <c r="F78" s="7">
        <v>50</v>
      </c>
      <c r="G78" s="11">
        <f t="shared" si="26"/>
        <v>8.1833333333333336</v>
      </c>
      <c r="H78" s="4">
        <v>50</v>
      </c>
      <c r="I78" s="5">
        <f t="shared" si="25"/>
        <v>368.25</v>
      </c>
      <c r="J78" s="5">
        <f t="shared" ref="J78:J79" si="27">I78-H78</f>
        <v>318.25</v>
      </c>
      <c r="K78">
        <v>15</v>
      </c>
      <c r="N78" s="83">
        <v>144</v>
      </c>
      <c r="P78" t="s">
        <v>192</v>
      </c>
      <c r="Q78" t="s">
        <v>64</v>
      </c>
    </row>
    <row r="79" spans="1:17">
      <c r="A79" s="6">
        <v>46051</v>
      </c>
      <c r="B79" s="4">
        <v>9</v>
      </c>
      <c r="C79" s="4">
        <v>42</v>
      </c>
      <c r="D79" s="7">
        <v>45</v>
      </c>
      <c r="E79" s="7">
        <v>1</v>
      </c>
      <c r="F79" s="7">
        <v>50</v>
      </c>
      <c r="G79" s="11">
        <f t="shared" si="26"/>
        <v>9.6999999999999993</v>
      </c>
      <c r="H79" s="4">
        <v>50</v>
      </c>
      <c r="I79" s="5">
        <f t="shared" si="25"/>
        <v>436.49999999999994</v>
      </c>
      <c r="J79" s="5">
        <f t="shared" si="27"/>
        <v>386.49999999999994</v>
      </c>
      <c r="K79">
        <v>21</v>
      </c>
      <c r="N79" s="51"/>
    </row>
    <row r="80" spans="1:17">
      <c r="A80" s="6">
        <v>46052</v>
      </c>
      <c r="B80" s="4">
        <v>9</v>
      </c>
      <c r="C80" s="4">
        <v>22</v>
      </c>
      <c r="D80" s="7">
        <v>45</v>
      </c>
      <c r="E80" s="7">
        <v>1</v>
      </c>
      <c r="F80" s="7">
        <v>50</v>
      </c>
      <c r="G80" s="11">
        <f>B80+C80/60</f>
        <v>9.3666666666666671</v>
      </c>
      <c r="H80" s="4">
        <v>50</v>
      </c>
      <c r="I80" s="5">
        <f t="shared" si="25"/>
        <v>421.5</v>
      </c>
      <c r="J80" s="5">
        <f>I80-H80</f>
        <v>371.5</v>
      </c>
      <c r="K80">
        <v>17</v>
      </c>
      <c r="N80" s="83">
        <v>790</v>
      </c>
    </row>
    <row r="81" spans="1:17">
      <c r="A81" s="6">
        <v>46053</v>
      </c>
      <c r="B81" s="4">
        <v>8</v>
      </c>
      <c r="C81" s="4">
        <v>18</v>
      </c>
      <c r="D81" s="7">
        <v>45</v>
      </c>
      <c r="E81" s="7">
        <v>1</v>
      </c>
      <c r="F81" s="7">
        <v>50</v>
      </c>
      <c r="G81" s="11">
        <f>B81+C81/60</f>
        <v>8.3000000000000007</v>
      </c>
      <c r="H81" s="4">
        <v>50</v>
      </c>
      <c r="I81" s="5">
        <f t="shared" si="25"/>
        <v>373.50000000000006</v>
      </c>
      <c r="J81" s="5">
        <f>I81-H81</f>
        <v>323.50000000000006</v>
      </c>
      <c r="K81">
        <v>25</v>
      </c>
      <c r="N81" s="51"/>
    </row>
    <row r="82" spans="1:17" ht="16" thickBot="1">
      <c r="A82" s="6">
        <v>46054</v>
      </c>
      <c r="B82" s="4">
        <v>0</v>
      </c>
      <c r="C82" s="4">
        <v>0</v>
      </c>
      <c r="D82" s="7">
        <v>45</v>
      </c>
      <c r="E82" s="7">
        <v>0</v>
      </c>
      <c r="F82" s="7">
        <v>0</v>
      </c>
      <c r="G82" s="11">
        <v>0</v>
      </c>
      <c r="H82" s="4">
        <v>0</v>
      </c>
      <c r="I82" s="5">
        <v>0</v>
      </c>
      <c r="J82" s="5">
        <v>0</v>
      </c>
      <c r="K82">
        <v>0</v>
      </c>
      <c r="N82" s="83">
        <v>720</v>
      </c>
    </row>
    <row r="83" spans="1:17" ht="20" thickBot="1">
      <c r="A83" s="91" t="s">
        <v>76</v>
      </c>
      <c r="B83" s="8">
        <f>SUM(B84:B90)</f>
        <v>57</v>
      </c>
      <c r="C83" s="8">
        <f>SUM(C84:C90)</f>
        <v>247</v>
      </c>
      <c r="D83" s="8">
        <f>SUM(D84)</f>
        <v>55</v>
      </c>
      <c r="E83" s="8">
        <f>SUM(E84:E90)</f>
        <v>7</v>
      </c>
      <c r="F83" s="8">
        <f>SUM(F84:F90)</f>
        <v>350</v>
      </c>
      <c r="G83" s="93">
        <f t="shared" ref="G83:G90" si="28">B83+C83/60</f>
        <v>61.116666666666667</v>
      </c>
      <c r="H83" s="8">
        <f>SUM(H84:H90)</f>
        <v>350</v>
      </c>
      <c r="I83" s="9">
        <f>SUM(I84:I90)</f>
        <v>3501.75</v>
      </c>
      <c r="J83" s="14">
        <f>SUM(J84:J90)</f>
        <v>3151.75</v>
      </c>
      <c r="K83" s="8">
        <f>SUM(K84:K90)</f>
        <v>203</v>
      </c>
      <c r="L83" s="9">
        <v>0</v>
      </c>
      <c r="M83" s="96">
        <f>J83</f>
        <v>3151.75</v>
      </c>
      <c r="N83" s="102">
        <f>SUM(N84:N90)</f>
        <v>6000</v>
      </c>
      <c r="O83" s="98">
        <f>6082-N83</f>
        <v>82</v>
      </c>
      <c r="P83" s="86"/>
      <c r="Q83" s="86"/>
    </row>
    <row r="84" spans="1:17">
      <c r="A84" s="80" t="s">
        <v>169</v>
      </c>
      <c r="B84" s="7">
        <v>9</v>
      </c>
      <c r="C84" s="7">
        <v>22</v>
      </c>
      <c r="D84" s="7">
        <v>55</v>
      </c>
      <c r="E84" s="7">
        <v>1</v>
      </c>
      <c r="F84" s="7">
        <v>50</v>
      </c>
      <c r="G84" s="11">
        <f t="shared" si="28"/>
        <v>9.3666666666666671</v>
      </c>
      <c r="H84" s="7">
        <v>50</v>
      </c>
      <c r="I84" s="5">
        <f t="shared" ref="I84:I90" si="29">G84*D84</f>
        <v>515.16666666666674</v>
      </c>
      <c r="J84" s="5">
        <f t="shared" ref="J84:J90" si="30">I84-H84</f>
        <v>465.16666666666674</v>
      </c>
      <c r="K84">
        <v>31</v>
      </c>
      <c r="N84" s="83">
        <f>910+50</f>
        <v>960</v>
      </c>
      <c r="O84" s="51"/>
      <c r="P84" s="115" t="s">
        <v>193</v>
      </c>
    </row>
    <row r="85" spans="1:17">
      <c r="A85" s="80" t="s">
        <v>171</v>
      </c>
      <c r="B85" s="4">
        <v>6</v>
      </c>
      <c r="C85" s="4">
        <v>25</v>
      </c>
      <c r="D85" s="7">
        <v>45</v>
      </c>
      <c r="E85" s="7">
        <v>1</v>
      </c>
      <c r="F85" s="7">
        <v>50</v>
      </c>
      <c r="G85" s="11">
        <f t="shared" si="28"/>
        <v>6.416666666666667</v>
      </c>
      <c r="H85" s="4">
        <v>50</v>
      </c>
      <c r="I85" s="5">
        <f t="shared" si="29"/>
        <v>288.75</v>
      </c>
      <c r="J85" s="5">
        <f t="shared" si="30"/>
        <v>238.75</v>
      </c>
      <c r="K85">
        <v>20</v>
      </c>
      <c r="N85" s="83">
        <f>550+300</f>
        <v>850</v>
      </c>
      <c r="P85" t="s">
        <v>194</v>
      </c>
    </row>
    <row r="86" spans="1:17">
      <c r="A86" s="80" t="s">
        <v>195</v>
      </c>
      <c r="B86" s="4">
        <v>8</v>
      </c>
      <c r="C86" s="4">
        <v>7</v>
      </c>
      <c r="D86" s="7">
        <v>45</v>
      </c>
      <c r="E86" s="7">
        <v>1</v>
      </c>
      <c r="F86" s="7">
        <v>50</v>
      </c>
      <c r="G86" s="11">
        <f t="shared" si="28"/>
        <v>8.1166666666666671</v>
      </c>
      <c r="H86" s="4">
        <v>50</v>
      </c>
      <c r="I86" s="5">
        <f t="shared" si="29"/>
        <v>365.25</v>
      </c>
      <c r="J86" s="5">
        <f t="shared" si="30"/>
        <v>315.25</v>
      </c>
      <c r="K86">
        <v>25</v>
      </c>
      <c r="N86" s="83">
        <v>500</v>
      </c>
      <c r="P86" t="s">
        <v>196</v>
      </c>
      <c r="Q86" t="s">
        <v>64</v>
      </c>
    </row>
    <row r="87" spans="1:17">
      <c r="A87" s="80" t="s">
        <v>164</v>
      </c>
      <c r="B87" s="4">
        <v>8</v>
      </c>
      <c r="C87" s="4">
        <v>39</v>
      </c>
      <c r="D87" s="7">
        <v>55</v>
      </c>
      <c r="E87" s="7">
        <v>1</v>
      </c>
      <c r="F87" s="7">
        <v>50</v>
      </c>
      <c r="G87" s="11">
        <f t="shared" si="28"/>
        <v>8.65</v>
      </c>
      <c r="H87" s="4">
        <v>50</v>
      </c>
      <c r="I87" s="5">
        <f t="shared" si="29"/>
        <v>475.75</v>
      </c>
      <c r="J87" s="5">
        <f t="shared" si="30"/>
        <v>425.75</v>
      </c>
      <c r="K87">
        <v>30</v>
      </c>
      <c r="N87" s="51"/>
    </row>
    <row r="88" spans="1:17">
      <c r="A88" s="80" t="s">
        <v>197</v>
      </c>
      <c r="B88" s="4">
        <v>9</v>
      </c>
      <c r="C88" s="4">
        <v>44</v>
      </c>
      <c r="D88" s="7">
        <v>65</v>
      </c>
      <c r="E88" s="7">
        <v>1</v>
      </c>
      <c r="F88" s="7">
        <v>50</v>
      </c>
      <c r="G88" s="11">
        <f t="shared" si="28"/>
        <v>9.7333333333333325</v>
      </c>
      <c r="H88" s="4">
        <v>50</v>
      </c>
      <c r="I88" s="5">
        <f t="shared" si="29"/>
        <v>632.66666666666663</v>
      </c>
      <c r="J88" s="5">
        <f t="shared" si="30"/>
        <v>582.66666666666663</v>
      </c>
      <c r="K88">
        <v>32</v>
      </c>
      <c r="N88" s="83">
        <v>560</v>
      </c>
    </row>
    <row r="89" spans="1:17">
      <c r="A89" s="80" t="s">
        <v>198</v>
      </c>
      <c r="B89" s="4">
        <v>9</v>
      </c>
      <c r="C89" s="4">
        <v>51</v>
      </c>
      <c r="D89" s="7">
        <v>65</v>
      </c>
      <c r="E89" s="7">
        <v>1</v>
      </c>
      <c r="F89" s="7">
        <v>50</v>
      </c>
      <c r="G89" s="11">
        <f t="shared" si="28"/>
        <v>9.85</v>
      </c>
      <c r="H89" s="4">
        <v>50</v>
      </c>
      <c r="I89" s="5">
        <f t="shared" si="29"/>
        <v>640.25</v>
      </c>
      <c r="J89" s="5">
        <f t="shared" si="30"/>
        <v>590.25</v>
      </c>
      <c r="K89">
        <v>32</v>
      </c>
      <c r="N89" s="83">
        <v>1280</v>
      </c>
    </row>
    <row r="90" spans="1:17">
      <c r="A90" s="80" t="s">
        <v>178</v>
      </c>
      <c r="B90" s="4">
        <v>8</v>
      </c>
      <c r="C90" s="4">
        <v>59</v>
      </c>
      <c r="D90" s="7">
        <v>65</v>
      </c>
      <c r="E90" s="7">
        <v>1</v>
      </c>
      <c r="F90" s="7">
        <v>50</v>
      </c>
      <c r="G90" s="11">
        <f t="shared" si="28"/>
        <v>8.9833333333333325</v>
      </c>
      <c r="H90" s="4">
        <v>50</v>
      </c>
      <c r="I90" s="5">
        <f t="shared" si="29"/>
        <v>583.91666666666663</v>
      </c>
      <c r="J90" s="5">
        <f t="shared" si="30"/>
        <v>533.91666666666663</v>
      </c>
      <c r="K90">
        <v>33</v>
      </c>
      <c r="N90" s="83">
        <v>1850</v>
      </c>
    </row>
    <row r="91" spans="1:17" ht="19">
      <c r="A91" s="91" t="s">
        <v>78</v>
      </c>
      <c r="B91" s="8">
        <f>SUM(B92:B98)</f>
        <v>36</v>
      </c>
      <c r="C91" s="8">
        <f>SUM(C92:C98)</f>
        <v>199</v>
      </c>
      <c r="D91" s="8">
        <v>45</v>
      </c>
      <c r="E91" s="8">
        <f>SUM(E92:E98)</f>
        <v>5</v>
      </c>
      <c r="F91" s="8">
        <v>50</v>
      </c>
      <c r="G91" s="93">
        <f t="shared" ref="G91:G98" si="31">B91+C91/60</f>
        <v>39.31666666666667</v>
      </c>
      <c r="H91" s="8">
        <f>SUM(H92:H98)</f>
        <v>250</v>
      </c>
      <c r="I91" s="9">
        <f>G91*D91</f>
        <v>1769.2500000000002</v>
      </c>
      <c r="J91" s="14">
        <f>SUM(J92:J98)</f>
        <v>1519.25</v>
      </c>
      <c r="K91" s="8">
        <f>SUM(K92:K98)</f>
        <v>92</v>
      </c>
      <c r="L91" s="9">
        <v>0</v>
      </c>
      <c r="M91" s="96">
        <f>J91</f>
        <v>1519.25</v>
      </c>
      <c r="N91" s="102">
        <f>SUM(N92:N98)</f>
        <v>2052</v>
      </c>
      <c r="O91" s="98">
        <f>2004-N91</f>
        <v>-48</v>
      </c>
      <c r="P91" s="86"/>
      <c r="Q91" s="86"/>
    </row>
    <row r="92" spans="1:17">
      <c r="A92" s="6">
        <v>46048</v>
      </c>
      <c r="B92" s="7">
        <v>0</v>
      </c>
      <c r="C92" s="7">
        <v>0</v>
      </c>
      <c r="D92" s="7">
        <v>45</v>
      </c>
      <c r="E92" s="7">
        <v>0</v>
      </c>
      <c r="F92" s="7">
        <v>50</v>
      </c>
      <c r="G92" s="11">
        <f t="shared" si="31"/>
        <v>0</v>
      </c>
      <c r="H92" s="7">
        <v>0</v>
      </c>
      <c r="I92" s="5">
        <f t="shared" ref="I92:I98" si="32">G92*D92</f>
        <v>0</v>
      </c>
      <c r="J92" s="5">
        <f t="shared" ref="J92:J98" si="33">I92-H92</f>
        <v>0</v>
      </c>
      <c r="N92" s="82"/>
      <c r="O92" s="51"/>
    </row>
    <row r="93" spans="1:17">
      <c r="A93" s="6">
        <v>46049</v>
      </c>
      <c r="B93" s="4">
        <v>0</v>
      </c>
      <c r="C93" s="4">
        <v>0</v>
      </c>
      <c r="D93" s="7">
        <v>45</v>
      </c>
      <c r="E93" s="7">
        <v>0</v>
      </c>
      <c r="F93" s="7">
        <v>50</v>
      </c>
      <c r="G93" s="11">
        <f t="shared" si="31"/>
        <v>0</v>
      </c>
      <c r="H93" s="4">
        <v>0</v>
      </c>
      <c r="I93" s="5">
        <f t="shared" si="32"/>
        <v>0</v>
      </c>
      <c r="J93" s="5">
        <f t="shared" si="33"/>
        <v>0</v>
      </c>
      <c r="N93" s="83"/>
      <c r="P93" t="s">
        <v>194</v>
      </c>
    </row>
    <row r="94" spans="1:17">
      <c r="A94" s="6">
        <v>46050</v>
      </c>
      <c r="B94" s="4">
        <v>8</v>
      </c>
      <c r="C94" s="4">
        <v>9</v>
      </c>
      <c r="D94" s="7">
        <v>45</v>
      </c>
      <c r="E94" s="7">
        <v>1</v>
      </c>
      <c r="F94" s="7">
        <v>50</v>
      </c>
      <c r="G94" s="11">
        <f t="shared" si="31"/>
        <v>8.15</v>
      </c>
      <c r="H94" s="4">
        <v>50</v>
      </c>
      <c r="I94" s="5">
        <f t="shared" si="32"/>
        <v>366.75</v>
      </c>
      <c r="J94" s="5">
        <f t="shared" si="33"/>
        <v>316.75</v>
      </c>
      <c r="K94">
        <v>17</v>
      </c>
      <c r="N94" s="83">
        <v>252</v>
      </c>
      <c r="Q94" t="s">
        <v>64</v>
      </c>
    </row>
    <row r="95" spans="1:17">
      <c r="A95" s="6">
        <v>46051</v>
      </c>
      <c r="B95" s="4">
        <v>7</v>
      </c>
      <c r="C95" s="4">
        <v>38</v>
      </c>
      <c r="D95" s="7">
        <v>45</v>
      </c>
      <c r="E95" s="7">
        <v>1</v>
      </c>
      <c r="F95" s="7">
        <v>50</v>
      </c>
      <c r="G95" s="11">
        <f t="shared" si="31"/>
        <v>7.6333333333333329</v>
      </c>
      <c r="H95" s="4">
        <v>50</v>
      </c>
      <c r="I95" s="5">
        <f t="shared" si="32"/>
        <v>343.5</v>
      </c>
      <c r="J95" s="5">
        <f t="shared" si="33"/>
        <v>293.5</v>
      </c>
      <c r="K95">
        <v>15</v>
      </c>
      <c r="N95" s="51"/>
    </row>
    <row r="96" spans="1:17">
      <c r="A96" s="6">
        <v>46052</v>
      </c>
      <c r="B96" s="4">
        <v>6</v>
      </c>
      <c r="C96" s="4">
        <v>55</v>
      </c>
      <c r="D96" s="7">
        <v>45</v>
      </c>
      <c r="E96" s="7">
        <v>1</v>
      </c>
      <c r="F96" s="7">
        <v>50</v>
      </c>
      <c r="G96" s="11">
        <f t="shared" si="31"/>
        <v>6.916666666666667</v>
      </c>
      <c r="H96" s="4">
        <v>50</v>
      </c>
      <c r="I96" s="5">
        <f t="shared" si="32"/>
        <v>311.25</v>
      </c>
      <c r="J96" s="5">
        <f t="shared" si="33"/>
        <v>261.25</v>
      </c>
      <c r="K96">
        <v>14</v>
      </c>
      <c r="N96" s="83">
        <f>300+150</f>
        <v>450</v>
      </c>
      <c r="P96" t="s">
        <v>27</v>
      </c>
    </row>
    <row r="97" spans="1:17">
      <c r="A97" s="6">
        <v>46053</v>
      </c>
      <c r="B97" s="4">
        <v>8</v>
      </c>
      <c r="C97" s="4">
        <v>56</v>
      </c>
      <c r="D97" s="7">
        <v>45</v>
      </c>
      <c r="E97" s="7">
        <v>1</v>
      </c>
      <c r="F97" s="7">
        <v>50</v>
      </c>
      <c r="G97" s="11">
        <f t="shared" si="31"/>
        <v>8.9333333333333336</v>
      </c>
      <c r="H97" s="4">
        <v>50</v>
      </c>
      <c r="I97" s="5">
        <f t="shared" si="32"/>
        <v>402</v>
      </c>
      <c r="J97" s="5">
        <f t="shared" si="33"/>
        <v>352</v>
      </c>
      <c r="K97">
        <v>21</v>
      </c>
      <c r="N97" s="51"/>
    </row>
    <row r="98" spans="1:17" ht="16" thickBot="1">
      <c r="A98" s="6">
        <v>46054</v>
      </c>
      <c r="B98" s="4">
        <v>7</v>
      </c>
      <c r="C98" s="4">
        <v>41</v>
      </c>
      <c r="D98" s="7">
        <v>45</v>
      </c>
      <c r="E98" s="7">
        <v>1</v>
      </c>
      <c r="F98" s="7">
        <v>50</v>
      </c>
      <c r="G98" s="11">
        <f t="shared" si="31"/>
        <v>7.6833333333333336</v>
      </c>
      <c r="H98" s="4">
        <v>50</v>
      </c>
      <c r="I98" s="5">
        <f t="shared" si="32"/>
        <v>345.75</v>
      </c>
      <c r="J98" s="5">
        <f t="shared" si="33"/>
        <v>295.75</v>
      </c>
      <c r="K98">
        <v>25</v>
      </c>
      <c r="N98" s="82">
        <v>1350</v>
      </c>
    </row>
    <row r="99" spans="1:17" s="54" customFormat="1" ht="20" thickBot="1">
      <c r="A99" s="72" t="s">
        <v>81</v>
      </c>
      <c r="B99" s="44">
        <f>SUM(B100:B106)</f>
        <v>39</v>
      </c>
      <c r="C99" s="44">
        <f>SUM(C100:C106)</f>
        <v>137</v>
      </c>
      <c r="D99" s="44">
        <v>45</v>
      </c>
      <c r="E99" s="44">
        <f>SUM(E100:E106)</f>
        <v>4</v>
      </c>
      <c r="F99" s="44">
        <v>50</v>
      </c>
      <c r="G99" s="67">
        <f t="shared" ref="G99:G106" si="34">B99+C99/60</f>
        <v>41.283333333333331</v>
      </c>
      <c r="H99" s="44">
        <f>SUM(H100:H106)</f>
        <v>200</v>
      </c>
      <c r="I99" s="47">
        <f>SUM(I100:I106)</f>
        <v>1857.75</v>
      </c>
      <c r="J99" s="47">
        <f>SUM(J100:J106)</f>
        <v>1657.75</v>
      </c>
      <c r="K99" s="44">
        <f>SUM(K100:K106)</f>
        <v>90</v>
      </c>
      <c r="L99" s="46">
        <v>0</v>
      </c>
      <c r="M99" s="69">
        <f>J99</f>
        <v>1657.75</v>
      </c>
      <c r="N99" s="63">
        <f>SUM(N100:N106)</f>
        <v>652</v>
      </c>
      <c r="O99" s="90">
        <f>2602-N99</f>
        <v>1950</v>
      </c>
    </row>
    <row r="100" spans="1:17">
      <c r="A100" s="6">
        <v>46048</v>
      </c>
      <c r="B100" s="7">
        <v>0</v>
      </c>
      <c r="C100" s="7">
        <v>0</v>
      </c>
      <c r="D100" s="7">
        <v>45</v>
      </c>
      <c r="E100" s="7">
        <v>0</v>
      </c>
      <c r="F100" s="7">
        <v>50</v>
      </c>
      <c r="G100" s="11">
        <f t="shared" si="34"/>
        <v>0</v>
      </c>
      <c r="H100" s="7">
        <v>0</v>
      </c>
      <c r="I100" s="5">
        <f t="shared" ref="I100:I106" si="35">G100*D100</f>
        <v>0</v>
      </c>
      <c r="J100" s="5">
        <f t="shared" ref="J100:J106" si="36">I100-H100</f>
        <v>0</v>
      </c>
      <c r="N100" s="82"/>
      <c r="O100" s="51"/>
    </row>
    <row r="101" spans="1:17">
      <c r="A101" s="6">
        <v>46049</v>
      </c>
      <c r="B101" s="4">
        <v>0</v>
      </c>
      <c r="C101" s="4">
        <v>0</v>
      </c>
      <c r="D101" s="7">
        <v>45</v>
      </c>
      <c r="E101" s="7">
        <v>0</v>
      </c>
      <c r="F101" s="7">
        <v>50</v>
      </c>
      <c r="G101" s="11">
        <f t="shared" si="34"/>
        <v>0</v>
      </c>
      <c r="H101" s="4">
        <v>0</v>
      </c>
      <c r="I101" s="5">
        <f t="shared" si="35"/>
        <v>0</v>
      </c>
      <c r="J101" s="5">
        <f t="shared" si="36"/>
        <v>0</v>
      </c>
      <c r="N101" s="83">
        <v>300</v>
      </c>
      <c r="P101" t="s">
        <v>194</v>
      </c>
    </row>
    <row r="102" spans="1:17">
      <c r="A102" s="6">
        <v>46050</v>
      </c>
      <c r="B102" s="4">
        <v>0</v>
      </c>
      <c r="C102" s="4">
        <v>0</v>
      </c>
      <c r="D102" s="7">
        <v>45</v>
      </c>
      <c r="E102" s="7">
        <v>0</v>
      </c>
      <c r="F102" s="7">
        <v>50</v>
      </c>
      <c r="G102" s="11">
        <f t="shared" si="34"/>
        <v>0</v>
      </c>
      <c r="H102" s="4">
        <v>0</v>
      </c>
      <c r="I102" s="5">
        <v>0</v>
      </c>
      <c r="J102" s="5">
        <f t="shared" si="36"/>
        <v>0</v>
      </c>
      <c r="K102">
        <v>0</v>
      </c>
      <c r="N102" s="83">
        <v>252</v>
      </c>
      <c r="Q102" t="s">
        <v>64</v>
      </c>
    </row>
    <row r="103" spans="1:17">
      <c r="A103" s="80" t="s">
        <v>164</v>
      </c>
      <c r="B103" s="4">
        <v>9</v>
      </c>
      <c r="C103" s="4">
        <v>36</v>
      </c>
      <c r="D103" s="7">
        <v>45</v>
      </c>
      <c r="E103" s="7">
        <v>1</v>
      </c>
      <c r="F103" s="7">
        <v>50</v>
      </c>
      <c r="G103" s="11">
        <f t="shared" si="34"/>
        <v>9.6</v>
      </c>
      <c r="H103" s="4">
        <v>50</v>
      </c>
      <c r="I103" s="5">
        <f t="shared" si="35"/>
        <v>432</v>
      </c>
      <c r="J103" s="5">
        <f t="shared" si="36"/>
        <v>382</v>
      </c>
      <c r="K103">
        <v>15</v>
      </c>
      <c r="N103" s="51"/>
    </row>
    <row r="104" spans="1:17">
      <c r="A104" s="80" t="s">
        <v>197</v>
      </c>
      <c r="B104" s="4">
        <v>10</v>
      </c>
      <c r="C104" s="4">
        <v>36</v>
      </c>
      <c r="D104" s="7">
        <v>45</v>
      </c>
      <c r="E104" s="7">
        <v>1</v>
      </c>
      <c r="F104" s="7">
        <v>50</v>
      </c>
      <c r="G104" s="11">
        <f t="shared" si="34"/>
        <v>10.6</v>
      </c>
      <c r="H104" s="4">
        <v>50</v>
      </c>
      <c r="I104" s="5">
        <f t="shared" si="35"/>
        <v>477</v>
      </c>
      <c r="J104" s="5">
        <f t="shared" si="36"/>
        <v>427</v>
      </c>
      <c r="K104">
        <v>24</v>
      </c>
      <c r="N104" s="51"/>
    </row>
    <row r="105" spans="1:17">
      <c r="A105" s="80" t="s">
        <v>198</v>
      </c>
      <c r="B105" s="4">
        <v>10</v>
      </c>
      <c r="C105" s="4">
        <v>51</v>
      </c>
      <c r="D105" s="7">
        <v>45</v>
      </c>
      <c r="E105" s="7">
        <v>1</v>
      </c>
      <c r="F105" s="7">
        <v>50</v>
      </c>
      <c r="G105" s="11">
        <f t="shared" si="34"/>
        <v>10.85</v>
      </c>
      <c r="H105" s="4">
        <v>50</v>
      </c>
      <c r="I105" s="5">
        <f t="shared" si="35"/>
        <v>488.25</v>
      </c>
      <c r="J105" s="5">
        <f t="shared" si="36"/>
        <v>438.25</v>
      </c>
      <c r="K105">
        <v>25</v>
      </c>
      <c r="N105" s="51"/>
    </row>
    <row r="106" spans="1:17">
      <c r="A106" s="6">
        <v>46054</v>
      </c>
      <c r="B106" s="4">
        <v>10</v>
      </c>
      <c r="C106" s="4">
        <v>14</v>
      </c>
      <c r="D106" s="7">
        <v>45</v>
      </c>
      <c r="E106" s="7">
        <v>1</v>
      </c>
      <c r="F106" s="7">
        <v>50</v>
      </c>
      <c r="G106" s="11">
        <f t="shared" si="34"/>
        <v>10.233333333333333</v>
      </c>
      <c r="H106" s="4">
        <v>50</v>
      </c>
      <c r="I106" s="5">
        <f t="shared" si="35"/>
        <v>460.49999999999994</v>
      </c>
      <c r="J106" s="5">
        <f t="shared" si="36"/>
        <v>410.49999999999994</v>
      </c>
      <c r="K106">
        <v>26</v>
      </c>
      <c r="N106" s="83">
        <v>100</v>
      </c>
      <c r="P106" t="s">
        <v>89</v>
      </c>
    </row>
    <row r="107" spans="1:17" ht="16" thickBot="1">
      <c r="A107" t="s">
        <v>17</v>
      </c>
      <c r="H107" s="50">
        <f t="shared" ref="H107:O107" si="37">H3+H11+H19+H27+H35+H43+H51+H59+H67+H75+H83+H91+H99</f>
        <v>3550</v>
      </c>
      <c r="I107" s="50">
        <f t="shared" si="37"/>
        <v>34769.833333333336</v>
      </c>
      <c r="J107" s="50">
        <f t="shared" si="37"/>
        <v>31219.833333333332</v>
      </c>
      <c r="K107" s="114">
        <f t="shared" si="37"/>
        <v>1836</v>
      </c>
      <c r="L107" s="50">
        <f t="shared" si="37"/>
        <v>600</v>
      </c>
      <c r="M107" s="50">
        <f t="shared" si="37"/>
        <v>31219.833333333332</v>
      </c>
      <c r="N107" s="50">
        <f t="shared" si="37"/>
        <v>45400.65</v>
      </c>
      <c r="O107" s="50">
        <f t="shared" si="37"/>
        <v>2039.35</v>
      </c>
    </row>
    <row r="108" spans="1:17" ht="16" thickTop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89E9-FA67-474A-A307-98B60CC32CB4}">
  <dimension ref="A1:Q154"/>
  <sheetViews>
    <sheetView workbookViewId="0">
      <pane xSplit="1" ySplit="1" topLeftCell="B137" activePane="bottomRight" state="frozen"/>
      <selection pane="topRight" activeCell="B1" sqref="B1"/>
      <selection pane="bottomLeft" activeCell="A2" sqref="A2"/>
      <selection pane="bottomRight" activeCell="E71" sqref="E71"/>
    </sheetView>
  </sheetViews>
  <sheetFormatPr baseColWidth="10" defaultColWidth="8.6640625" defaultRowHeight="15"/>
  <cols>
    <col min="1" max="1" width="21" customWidth="1"/>
    <col min="3" max="3" width="13.33203125" customWidth="1"/>
    <col min="4" max="4" width="17.6640625" customWidth="1"/>
    <col min="6" max="6" width="16.6640625" customWidth="1"/>
    <col min="7" max="7" width="19" customWidth="1"/>
    <col min="8" max="8" width="18" customWidth="1"/>
    <col min="9" max="9" width="20.5" customWidth="1"/>
    <col min="10" max="10" width="15" bestFit="1" customWidth="1"/>
    <col min="11" max="11" width="11.6640625" bestFit="1" customWidth="1"/>
    <col min="12" max="12" width="10.33203125" bestFit="1" customWidth="1"/>
    <col min="13" max="13" width="17" bestFit="1" customWidth="1"/>
    <col min="14" max="14" width="15.33203125" bestFit="1" customWidth="1"/>
    <col min="15" max="15" width="22.6640625" bestFit="1" customWidth="1"/>
    <col min="16" max="16" width="175.5" customWidth="1"/>
  </cols>
  <sheetData>
    <row r="1" spans="1:16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6" ht="20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6" s="54" customFormat="1" ht="20" thickBot="1">
      <c r="A3" s="72" t="s">
        <v>10</v>
      </c>
      <c r="B3" s="44">
        <f>SUM(B4:B10)</f>
        <v>21</v>
      </c>
      <c r="C3" s="44">
        <f>SUM(C4:C8)</f>
        <v>122</v>
      </c>
      <c r="D3" s="44">
        <f>SUM(D4)</f>
        <v>0</v>
      </c>
      <c r="E3" s="44">
        <f>SUM(E4:E10)</f>
        <v>0</v>
      </c>
      <c r="F3" s="44">
        <f>SUM(F4:F10)</f>
        <v>150</v>
      </c>
      <c r="G3" s="67">
        <f t="shared" ref="G3" si="0">B3+C3/60</f>
        <v>23.033333333333331</v>
      </c>
      <c r="H3" s="44">
        <f>SUM(H4:H10)</f>
        <v>150</v>
      </c>
      <c r="I3" s="46">
        <f>SUM(I4:I10)</f>
        <v>1190.6666666666665</v>
      </c>
      <c r="J3" s="47">
        <f>SUM(J4:J10)</f>
        <v>1040.6666666666665</v>
      </c>
      <c r="K3" s="44">
        <f>SUM(K4:K10)</f>
        <v>69</v>
      </c>
      <c r="L3" s="46">
        <v>0</v>
      </c>
      <c r="M3" s="69">
        <f>J3+L3</f>
        <v>1040.6666666666665</v>
      </c>
      <c r="N3" s="52">
        <f>SUM(N4:N9)</f>
        <v>1140</v>
      </c>
      <c r="O3" s="90">
        <f>1140-N3</f>
        <v>0</v>
      </c>
    </row>
    <row r="4" spans="1:16">
      <c r="A4" s="6">
        <v>46065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10">
        <v>0</v>
      </c>
      <c r="H4" s="4">
        <v>0</v>
      </c>
      <c r="I4" s="5">
        <v>0</v>
      </c>
      <c r="J4" s="5">
        <v>0</v>
      </c>
      <c r="K4">
        <v>0</v>
      </c>
      <c r="N4" s="87"/>
    </row>
    <row r="5" spans="1:16">
      <c r="A5" s="6">
        <v>46063</v>
      </c>
      <c r="B5" s="4">
        <v>7</v>
      </c>
      <c r="C5" s="4">
        <v>51</v>
      </c>
      <c r="D5" s="4">
        <v>55</v>
      </c>
      <c r="E5" s="4">
        <v>0</v>
      </c>
      <c r="F5" s="4">
        <v>50</v>
      </c>
      <c r="G5" s="10">
        <f t="shared" ref="G5:G10" si="1">B5+C5/60</f>
        <v>7.85</v>
      </c>
      <c r="H5" s="4">
        <v>50</v>
      </c>
      <c r="I5" s="5">
        <f t="shared" ref="I5" si="2">G5*D5</f>
        <v>431.75</v>
      </c>
      <c r="J5" s="5">
        <f>I5-H5</f>
        <v>381.75</v>
      </c>
      <c r="K5">
        <v>27</v>
      </c>
      <c r="N5" s="87"/>
      <c r="P5" t="s">
        <v>199</v>
      </c>
    </row>
    <row r="6" spans="1:16">
      <c r="A6" s="6">
        <v>46064</v>
      </c>
      <c r="B6" s="4">
        <v>7</v>
      </c>
      <c r="C6" s="4">
        <v>34</v>
      </c>
      <c r="D6" s="4">
        <v>55</v>
      </c>
      <c r="E6" s="4">
        <v>0</v>
      </c>
      <c r="F6" s="4">
        <v>50</v>
      </c>
      <c r="G6" s="10">
        <f t="shared" si="1"/>
        <v>7.5666666666666664</v>
      </c>
      <c r="H6" s="4">
        <v>50</v>
      </c>
      <c r="I6" s="5">
        <f>G6*D6</f>
        <v>416.16666666666663</v>
      </c>
      <c r="J6" s="5">
        <f>I6-H6</f>
        <v>366.16666666666663</v>
      </c>
      <c r="K6">
        <v>30</v>
      </c>
      <c r="N6" s="87"/>
    </row>
    <row r="7" spans="1:16">
      <c r="A7" s="6">
        <v>46065</v>
      </c>
      <c r="B7" s="4">
        <v>7</v>
      </c>
      <c r="C7" s="4">
        <v>37</v>
      </c>
      <c r="D7" s="4">
        <v>45</v>
      </c>
      <c r="E7" s="4">
        <v>0</v>
      </c>
      <c r="F7" s="4">
        <v>50</v>
      </c>
      <c r="G7" s="10">
        <f>B7+C7/60</f>
        <v>7.6166666666666671</v>
      </c>
      <c r="H7" s="4">
        <v>50</v>
      </c>
      <c r="I7" s="5">
        <f>G7*D7</f>
        <v>342.75</v>
      </c>
      <c r="J7" s="5">
        <f>I7-H7</f>
        <v>292.75</v>
      </c>
      <c r="K7">
        <v>12</v>
      </c>
      <c r="N7" s="81">
        <v>1140</v>
      </c>
      <c r="P7" s="116" t="s">
        <v>200</v>
      </c>
    </row>
    <row r="8" spans="1:16">
      <c r="A8" s="6">
        <v>46066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10">
        <v>0</v>
      </c>
      <c r="H8" s="4">
        <v>0</v>
      </c>
      <c r="I8" s="5">
        <f>G8*D8</f>
        <v>0</v>
      </c>
      <c r="J8" s="5">
        <f>I8-H8</f>
        <v>0</v>
      </c>
      <c r="K8">
        <v>0</v>
      </c>
      <c r="N8" s="87"/>
    </row>
    <row r="9" spans="1:16">
      <c r="A9" s="6">
        <v>46067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10">
        <f t="shared" si="1"/>
        <v>0</v>
      </c>
      <c r="H9" s="4">
        <v>0</v>
      </c>
      <c r="I9" s="5">
        <f>G9*D9</f>
        <v>0</v>
      </c>
      <c r="J9" s="5">
        <v>0</v>
      </c>
      <c r="K9">
        <v>0</v>
      </c>
      <c r="N9" s="87"/>
    </row>
    <row r="10" spans="1:16" ht="16" thickBot="1">
      <c r="A10" s="6">
        <v>46068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10">
        <f t="shared" si="1"/>
        <v>0</v>
      </c>
      <c r="H10" s="4">
        <v>0</v>
      </c>
      <c r="I10" s="5">
        <f>G10*D10</f>
        <v>0</v>
      </c>
      <c r="J10" s="88">
        <v>0</v>
      </c>
      <c r="K10">
        <v>0</v>
      </c>
      <c r="N10" s="81"/>
    </row>
    <row r="11" spans="1:16" s="86" customFormat="1" ht="20" thickBot="1">
      <c r="A11" s="91" t="s">
        <v>11</v>
      </c>
      <c r="B11" s="92">
        <f>SUM(B12:B18)</f>
        <v>54</v>
      </c>
      <c r="C11" s="92">
        <f>SUM(C12:C18)</f>
        <v>200</v>
      </c>
      <c r="D11" s="92">
        <f>SUM(D12)</f>
        <v>45</v>
      </c>
      <c r="E11" s="92">
        <f>SUM(E12:E18)</f>
        <v>6</v>
      </c>
      <c r="F11" s="92">
        <f>SUM(F12:F18)</f>
        <v>350</v>
      </c>
      <c r="G11" s="93">
        <f>B11+C11/60</f>
        <v>57.333333333333336</v>
      </c>
      <c r="H11" s="92">
        <f>SUM(H12:H18)</f>
        <v>300</v>
      </c>
      <c r="I11" s="94">
        <f>SUM(I12:I18)</f>
        <v>2966.1666666666665</v>
      </c>
      <c r="J11" s="95">
        <f>SUM(J12:J18)</f>
        <v>2666.1666666666665</v>
      </c>
      <c r="K11" s="8">
        <f>SUM(K12:K18)</f>
        <v>168</v>
      </c>
      <c r="L11" s="9">
        <v>0</v>
      </c>
      <c r="M11" s="96">
        <f>J11+L11</f>
        <v>2666.1666666666665</v>
      </c>
      <c r="N11" s="97">
        <f>SUM(N12:N18)</f>
        <v>4040</v>
      </c>
      <c r="O11" s="98">
        <f>4118-N11</f>
        <v>78</v>
      </c>
    </row>
    <row r="12" spans="1:16">
      <c r="A12" s="80" t="s">
        <v>201</v>
      </c>
      <c r="B12" s="4">
        <v>9</v>
      </c>
      <c r="C12" s="4">
        <v>48</v>
      </c>
      <c r="D12" s="4">
        <v>45</v>
      </c>
      <c r="E12" s="4">
        <v>1</v>
      </c>
      <c r="F12" s="4">
        <v>50</v>
      </c>
      <c r="G12" s="10">
        <f>B12+C12/60</f>
        <v>9.8000000000000007</v>
      </c>
      <c r="H12" s="4">
        <v>50</v>
      </c>
      <c r="I12" s="5">
        <f>G12*D12</f>
        <v>441.00000000000006</v>
      </c>
      <c r="J12" s="5">
        <f>I12-H12</f>
        <v>391.00000000000006</v>
      </c>
      <c r="K12">
        <v>26</v>
      </c>
      <c r="M12" t="s">
        <v>26</v>
      </c>
      <c r="N12" s="83">
        <v>690</v>
      </c>
    </row>
    <row r="13" spans="1:16">
      <c r="A13" s="80" t="s">
        <v>202</v>
      </c>
      <c r="B13" s="4">
        <v>8</v>
      </c>
      <c r="C13" s="4">
        <v>17</v>
      </c>
      <c r="D13" s="4">
        <v>45</v>
      </c>
      <c r="E13" s="4">
        <v>1</v>
      </c>
      <c r="F13" s="4">
        <v>50</v>
      </c>
      <c r="G13" s="10">
        <f t="shared" ref="G13:G67" si="3">B13+C13/60</f>
        <v>8.2833333333333332</v>
      </c>
      <c r="H13" s="4">
        <v>50</v>
      </c>
      <c r="I13" s="5">
        <f>G13*D13</f>
        <v>372.75</v>
      </c>
      <c r="J13" s="5">
        <f t="shared" ref="J13:J18" si="4">I13-H13</f>
        <v>322.75</v>
      </c>
      <c r="K13">
        <v>25</v>
      </c>
      <c r="N13" s="83">
        <f>100+480+100</f>
        <v>680</v>
      </c>
      <c r="P13" s="128" t="s">
        <v>203</v>
      </c>
    </row>
    <row r="14" spans="1:16">
      <c r="A14" s="80" t="s">
        <v>204</v>
      </c>
      <c r="B14" s="4">
        <v>0</v>
      </c>
      <c r="C14" s="4">
        <v>0</v>
      </c>
      <c r="D14" s="4">
        <v>45</v>
      </c>
      <c r="E14" s="4">
        <v>0</v>
      </c>
      <c r="F14" s="4">
        <v>50</v>
      </c>
      <c r="G14" s="10">
        <f t="shared" si="3"/>
        <v>0</v>
      </c>
      <c r="H14" s="4">
        <v>0</v>
      </c>
      <c r="I14" s="5">
        <f t="shared" ref="I14:I18" si="5">G14*D14</f>
        <v>0</v>
      </c>
      <c r="J14" s="5">
        <f t="shared" si="4"/>
        <v>0</v>
      </c>
      <c r="K14">
        <v>0</v>
      </c>
      <c r="N14" s="83"/>
    </row>
    <row r="15" spans="1:16">
      <c r="A15" s="80" t="s">
        <v>205</v>
      </c>
      <c r="B15" s="4">
        <v>9</v>
      </c>
      <c r="C15" s="4">
        <v>17</v>
      </c>
      <c r="D15" s="4">
        <v>65</v>
      </c>
      <c r="E15" s="4">
        <v>1</v>
      </c>
      <c r="F15" s="4">
        <v>50</v>
      </c>
      <c r="G15" s="10">
        <f t="shared" si="3"/>
        <v>9.2833333333333332</v>
      </c>
      <c r="H15" s="4">
        <v>50</v>
      </c>
      <c r="I15" s="5">
        <f t="shared" si="5"/>
        <v>603.41666666666663</v>
      </c>
      <c r="J15" s="5">
        <f t="shared" si="4"/>
        <v>553.41666666666663</v>
      </c>
      <c r="K15">
        <v>32</v>
      </c>
      <c r="N15" s="83">
        <f>440+150</f>
        <v>590</v>
      </c>
    </row>
    <row r="16" spans="1:16">
      <c r="A16" s="80" t="s">
        <v>206</v>
      </c>
      <c r="B16" s="4">
        <v>9</v>
      </c>
      <c r="C16" s="4">
        <v>46</v>
      </c>
      <c r="D16" s="4">
        <v>55</v>
      </c>
      <c r="E16" s="4">
        <v>1</v>
      </c>
      <c r="F16" s="4">
        <v>50</v>
      </c>
      <c r="G16" s="10">
        <f t="shared" si="3"/>
        <v>9.7666666666666675</v>
      </c>
      <c r="H16" s="4">
        <v>50</v>
      </c>
      <c r="I16" s="5">
        <f t="shared" si="5"/>
        <v>537.16666666666674</v>
      </c>
      <c r="J16" s="5">
        <f t="shared" si="4"/>
        <v>487.16666666666674</v>
      </c>
      <c r="K16">
        <v>29</v>
      </c>
      <c r="N16" s="83">
        <f>550+150</f>
        <v>700</v>
      </c>
      <c r="P16" s="128" t="s">
        <v>207</v>
      </c>
    </row>
    <row r="17" spans="1:16">
      <c r="A17" s="80" t="s">
        <v>208</v>
      </c>
      <c r="B17" s="4">
        <v>10</v>
      </c>
      <c r="C17" s="4">
        <v>17</v>
      </c>
      <c r="D17" s="4">
        <v>55</v>
      </c>
      <c r="E17" s="4">
        <v>1</v>
      </c>
      <c r="F17" s="4">
        <v>50</v>
      </c>
      <c r="G17" s="10">
        <f t="shared" si="3"/>
        <v>10.283333333333333</v>
      </c>
      <c r="H17" s="4">
        <v>50</v>
      </c>
      <c r="I17" s="5">
        <f t="shared" si="5"/>
        <v>565.58333333333337</v>
      </c>
      <c r="J17" s="5">
        <f t="shared" si="4"/>
        <v>515.58333333333337</v>
      </c>
      <c r="K17">
        <v>30</v>
      </c>
      <c r="N17" s="83">
        <v>610</v>
      </c>
      <c r="P17" t="s">
        <v>27</v>
      </c>
    </row>
    <row r="18" spans="1:16" ht="16" thickBot="1">
      <c r="A18" s="80" t="s">
        <v>209</v>
      </c>
      <c r="B18" s="4">
        <v>9</v>
      </c>
      <c r="C18" s="4">
        <v>55</v>
      </c>
      <c r="D18" s="4">
        <v>45</v>
      </c>
      <c r="E18" s="4">
        <v>1</v>
      </c>
      <c r="F18" s="4">
        <v>50</v>
      </c>
      <c r="G18" s="10">
        <f t="shared" si="3"/>
        <v>9.9166666666666661</v>
      </c>
      <c r="H18" s="4">
        <v>50</v>
      </c>
      <c r="I18" s="5">
        <f t="shared" si="5"/>
        <v>446.25</v>
      </c>
      <c r="J18" s="5">
        <f t="shared" si="4"/>
        <v>396.25</v>
      </c>
      <c r="K18">
        <v>26</v>
      </c>
      <c r="N18" s="83">
        <v>770</v>
      </c>
    </row>
    <row r="19" spans="1:16" s="86" customFormat="1" ht="20" thickBot="1">
      <c r="A19" s="91" t="s">
        <v>14</v>
      </c>
      <c r="B19" s="8">
        <f>SUM(B20:B25)</f>
        <v>8</v>
      </c>
      <c r="C19" s="8">
        <f>SUM(C20:C25)</f>
        <v>42</v>
      </c>
      <c r="D19" s="8">
        <f>SUM(D20)</f>
        <v>45</v>
      </c>
      <c r="E19" s="8">
        <f>SUM(E20:E26)</f>
        <v>7</v>
      </c>
      <c r="F19" s="8">
        <f>SUM(F20:F25)</f>
        <v>300</v>
      </c>
      <c r="G19" s="93">
        <f t="shared" si="3"/>
        <v>8.6999999999999993</v>
      </c>
      <c r="H19" s="8">
        <v>0</v>
      </c>
      <c r="I19" s="9">
        <f>SUM(I20:I25)</f>
        <v>391.49999999999994</v>
      </c>
      <c r="J19" s="14">
        <f>SUM(J20:J26)</f>
        <v>341.49999999999994</v>
      </c>
      <c r="K19" s="8">
        <f>SUM(K20:K26)</f>
        <v>0</v>
      </c>
      <c r="L19" s="9">
        <v>0</v>
      </c>
      <c r="M19" s="96">
        <f>J19+L19</f>
        <v>341.49999999999994</v>
      </c>
      <c r="N19" s="99">
        <f>SUM(N20:N26)</f>
        <v>0</v>
      </c>
      <c r="O19" s="98">
        <v>0</v>
      </c>
    </row>
    <row r="20" spans="1:16">
      <c r="A20" s="6">
        <v>46062</v>
      </c>
      <c r="B20" s="4">
        <v>8</v>
      </c>
      <c r="C20" s="4">
        <v>42</v>
      </c>
      <c r="D20" s="4">
        <v>45</v>
      </c>
      <c r="E20" s="4">
        <v>1</v>
      </c>
      <c r="F20" s="4">
        <v>50</v>
      </c>
      <c r="G20" s="10">
        <f>B20+C20/60</f>
        <v>8.6999999999999993</v>
      </c>
      <c r="H20" s="4">
        <v>50</v>
      </c>
      <c r="I20" s="5">
        <f t="shared" ref="I20:I50" si="6">G20*D20</f>
        <v>391.49999999999994</v>
      </c>
      <c r="J20" s="5">
        <f t="shared" ref="J20:J58" si="7">I20-H20</f>
        <v>341.49999999999994</v>
      </c>
      <c r="K20">
        <v>0</v>
      </c>
      <c r="N20" s="51">
        <v>0</v>
      </c>
    </row>
    <row r="21" spans="1:16">
      <c r="A21" s="6">
        <v>46063</v>
      </c>
      <c r="B21" s="4">
        <v>0</v>
      </c>
      <c r="C21" s="4">
        <v>0</v>
      </c>
      <c r="D21" s="4">
        <v>45</v>
      </c>
      <c r="E21" s="4">
        <v>1</v>
      </c>
      <c r="F21" s="4">
        <v>50</v>
      </c>
      <c r="G21" s="10">
        <f t="shared" ref="G21:G26" si="8">B21+C21/60</f>
        <v>0</v>
      </c>
      <c r="H21" s="4">
        <v>0</v>
      </c>
      <c r="I21" s="5">
        <f t="shared" si="6"/>
        <v>0</v>
      </c>
      <c r="J21" s="5">
        <f t="shared" si="7"/>
        <v>0</v>
      </c>
      <c r="K21">
        <v>0</v>
      </c>
      <c r="N21" s="51">
        <v>0</v>
      </c>
    </row>
    <row r="22" spans="1:16">
      <c r="A22" s="6">
        <v>46064</v>
      </c>
      <c r="B22" s="4">
        <v>0</v>
      </c>
      <c r="C22" s="4">
        <v>0</v>
      </c>
      <c r="D22" s="4">
        <v>45</v>
      </c>
      <c r="E22" s="4">
        <v>1</v>
      </c>
      <c r="F22" s="4">
        <v>50</v>
      </c>
      <c r="G22" s="10">
        <f t="shared" si="8"/>
        <v>0</v>
      </c>
      <c r="H22" s="4">
        <v>0</v>
      </c>
      <c r="I22" s="5">
        <f t="shared" si="6"/>
        <v>0</v>
      </c>
      <c r="J22" s="5">
        <f t="shared" si="7"/>
        <v>0</v>
      </c>
      <c r="K22">
        <v>0</v>
      </c>
      <c r="N22" s="51">
        <v>0</v>
      </c>
    </row>
    <row r="23" spans="1:16">
      <c r="A23" s="6">
        <v>46065</v>
      </c>
      <c r="B23" s="4">
        <v>0</v>
      </c>
      <c r="C23" s="4">
        <v>0</v>
      </c>
      <c r="D23" s="4">
        <v>45</v>
      </c>
      <c r="E23" s="4">
        <v>1</v>
      </c>
      <c r="F23" s="4">
        <v>50</v>
      </c>
      <c r="G23" s="10">
        <f t="shared" si="8"/>
        <v>0</v>
      </c>
      <c r="H23" s="4">
        <v>0</v>
      </c>
      <c r="I23" s="5">
        <f t="shared" si="6"/>
        <v>0</v>
      </c>
      <c r="J23" s="5">
        <f t="shared" si="7"/>
        <v>0</v>
      </c>
      <c r="K23">
        <v>0</v>
      </c>
      <c r="N23" s="51">
        <v>0</v>
      </c>
    </row>
    <row r="24" spans="1:16">
      <c r="A24" s="6">
        <v>46066</v>
      </c>
      <c r="B24" s="4">
        <v>0</v>
      </c>
      <c r="C24" s="4">
        <v>0</v>
      </c>
      <c r="D24" s="4">
        <v>45</v>
      </c>
      <c r="E24" s="4">
        <v>1</v>
      </c>
      <c r="F24" s="4">
        <v>50</v>
      </c>
      <c r="G24" s="10">
        <f t="shared" si="8"/>
        <v>0</v>
      </c>
      <c r="H24" s="4">
        <v>0</v>
      </c>
      <c r="I24" s="5">
        <f t="shared" si="6"/>
        <v>0</v>
      </c>
      <c r="J24" s="5">
        <f t="shared" si="7"/>
        <v>0</v>
      </c>
      <c r="K24">
        <v>0</v>
      </c>
      <c r="N24" s="51">
        <v>0</v>
      </c>
    </row>
    <row r="25" spans="1:16">
      <c r="A25" s="6">
        <v>46067</v>
      </c>
      <c r="B25" s="4">
        <v>0</v>
      </c>
      <c r="C25" s="4">
        <v>0</v>
      </c>
      <c r="D25" s="4">
        <v>45</v>
      </c>
      <c r="E25" s="4">
        <v>1</v>
      </c>
      <c r="F25" s="4">
        <v>50</v>
      </c>
      <c r="G25" s="10">
        <f t="shared" si="8"/>
        <v>0</v>
      </c>
      <c r="H25" s="4">
        <v>0</v>
      </c>
      <c r="I25" s="5">
        <f t="shared" si="6"/>
        <v>0</v>
      </c>
      <c r="J25" s="5">
        <f t="shared" si="7"/>
        <v>0</v>
      </c>
      <c r="K25">
        <v>0</v>
      </c>
      <c r="N25" s="51">
        <v>0</v>
      </c>
    </row>
    <row r="26" spans="1:16" ht="16" thickBot="1">
      <c r="A26" s="6">
        <v>46068</v>
      </c>
      <c r="B26" s="4">
        <v>0</v>
      </c>
      <c r="C26" s="4">
        <v>0</v>
      </c>
      <c r="D26" s="4">
        <v>45</v>
      </c>
      <c r="E26" s="4">
        <v>1</v>
      </c>
      <c r="F26" s="4">
        <v>50</v>
      </c>
      <c r="G26" s="10">
        <f t="shared" si="8"/>
        <v>0</v>
      </c>
      <c r="H26" s="4">
        <v>0</v>
      </c>
      <c r="I26" s="5">
        <f t="shared" si="6"/>
        <v>0</v>
      </c>
      <c r="J26" s="5">
        <f t="shared" si="7"/>
        <v>0</v>
      </c>
      <c r="K26">
        <v>0</v>
      </c>
      <c r="N26" s="51">
        <v>0</v>
      </c>
    </row>
    <row r="27" spans="1:16" s="86" customFormat="1" ht="20" thickBot="1">
      <c r="A27" s="91" t="s">
        <v>15</v>
      </c>
      <c r="B27" s="8">
        <f>SUM(B28:B33)</f>
        <v>40</v>
      </c>
      <c r="C27" s="8">
        <f>SUM(C28:C33)</f>
        <v>134</v>
      </c>
      <c r="D27" s="8">
        <f>SUM(D28)</f>
        <v>45</v>
      </c>
      <c r="E27" s="8">
        <f>SUM(E28:E33)</f>
        <v>6</v>
      </c>
      <c r="F27" s="8">
        <f>SUM(F28:F33)</f>
        <v>300</v>
      </c>
      <c r="G27" s="93">
        <f>B27+C27/60</f>
        <v>42.233333333333334</v>
      </c>
      <c r="H27" s="8">
        <f>SUM(H28:H34)</f>
        <v>250</v>
      </c>
      <c r="I27" s="9">
        <f>SUM(I28:I34)</f>
        <v>2367</v>
      </c>
      <c r="J27" s="14">
        <f>SUM(J28:J34)</f>
        <v>2117</v>
      </c>
      <c r="K27" s="8">
        <f>SUM(K28:K34)</f>
        <v>133</v>
      </c>
      <c r="L27" s="9">
        <v>0</v>
      </c>
      <c r="M27" s="96">
        <f>J27+L27</f>
        <v>2117</v>
      </c>
      <c r="N27" s="130">
        <f>SUM(N28:N34)</f>
        <v>3260</v>
      </c>
      <c r="O27" s="98">
        <f>3319-N27</f>
        <v>59</v>
      </c>
    </row>
    <row r="28" spans="1:16">
      <c r="A28" s="6">
        <v>46062</v>
      </c>
      <c r="B28" s="4">
        <v>0</v>
      </c>
      <c r="C28" s="4">
        <v>0</v>
      </c>
      <c r="D28" s="4">
        <v>45</v>
      </c>
      <c r="E28" s="4">
        <v>1</v>
      </c>
      <c r="F28" s="4">
        <v>50</v>
      </c>
      <c r="G28" s="10">
        <f>B28+C28/60</f>
        <v>0</v>
      </c>
      <c r="H28" s="4">
        <v>0</v>
      </c>
      <c r="I28" s="5">
        <f>G28*D28</f>
        <v>0</v>
      </c>
      <c r="J28" s="5">
        <f>I28-H28</f>
        <v>0</v>
      </c>
      <c r="K28">
        <v>0</v>
      </c>
      <c r="N28" s="112"/>
    </row>
    <row r="29" spans="1:16">
      <c r="A29" s="80" t="s">
        <v>202</v>
      </c>
      <c r="B29" s="4">
        <v>10</v>
      </c>
      <c r="C29" s="4">
        <v>42</v>
      </c>
      <c r="D29" s="4">
        <v>45</v>
      </c>
      <c r="E29" s="4">
        <v>1</v>
      </c>
      <c r="F29" s="4">
        <v>50</v>
      </c>
      <c r="G29" s="10">
        <f t="shared" ref="G29:G33" si="9">B29+C29/60</f>
        <v>10.7</v>
      </c>
      <c r="H29" s="4">
        <v>50</v>
      </c>
      <c r="I29" s="5">
        <f>G29*D29</f>
        <v>481.49999999999994</v>
      </c>
      <c r="J29" s="5">
        <f>I29-H29</f>
        <v>431.49999999999994</v>
      </c>
      <c r="K29">
        <v>21</v>
      </c>
      <c r="N29" s="51">
        <v>0</v>
      </c>
    </row>
    <row r="30" spans="1:16">
      <c r="A30" s="6">
        <v>46064</v>
      </c>
      <c r="B30" s="4">
        <v>0</v>
      </c>
      <c r="C30" s="4">
        <v>0</v>
      </c>
      <c r="D30" s="4">
        <v>45</v>
      </c>
      <c r="E30" s="4">
        <v>1</v>
      </c>
      <c r="F30" s="4">
        <v>50</v>
      </c>
      <c r="G30" s="10">
        <f t="shared" si="9"/>
        <v>0</v>
      </c>
      <c r="H30" s="4">
        <v>0</v>
      </c>
      <c r="I30" s="5">
        <f t="shared" ref="I30:I33" si="10">G30*D30</f>
        <v>0</v>
      </c>
      <c r="J30" s="5">
        <f t="shared" ref="J30:J33" si="11">I30-H30</f>
        <v>0</v>
      </c>
      <c r="K30">
        <v>0</v>
      </c>
      <c r="N30" s="51">
        <v>0</v>
      </c>
    </row>
    <row r="31" spans="1:16">
      <c r="A31" s="80" t="s">
        <v>205</v>
      </c>
      <c r="B31" s="4">
        <v>10</v>
      </c>
      <c r="C31" s="4">
        <v>19</v>
      </c>
      <c r="D31" s="4">
        <v>45</v>
      </c>
      <c r="E31" s="4">
        <v>1</v>
      </c>
      <c r="F31" s="4">
        <v>50</v>
      </c>
      <c r="G31" s="10">
        <f t="shared" si="9"/>
        <v>10.316666666666666</v>
      </c>
      <c r="H31" s="4">
        <v>50</v>
      </c>
      <c r="I31" s="5">
        <f t="shared" si="10"/>
        <v>464.25</v>
      </c>
      <c r="J31" s="5">
        <f t="shared" si="11"/>
        <v>414.25</v>
      </c>
      <c r="K31">
        <v>24</v>
      </c>
      <c r="N31" s="51">
        <v>0</v>
      </c>
    </row>
    <row r="32" spans="1:16">
      <c r="A32" s="80" t="s">
        <v>206</v>
      </c>
      <c r="B32" s="4">
        <v>10</v>
      </c>
      <c r="C32" s="4">
        <v>32</v>
      </c>
      <c r="D32" s="4">
        <v>45</v>
      </c>
      <c r="E32" s="4">
        <v>1</v>
      </c>
      <c r="F32" s="4">
        <v>50</v>
      </c>
      <c r="G32" s="10">
        <f>B32+C32/60</f>
        <v>10.533333333333333</v>
      </c>
      <c r="H32" s="4">
        <v>50</v>
      </c>
      <c r="I32" s="5">
        <f t="shared" si="10"/>
        <v>474</v>
      </c>
      <c r="J32" s="5">
        <f t="shared" si="11"/>
        <v>424</v>
      </c>
      <c r="K32">
        <v>29</v>
      </c>
      <c r="N32" s="51">
        <v>0</v>
      </c>
    </row>
    <row r="33" spans="1:16">
      <c r="A33" s="80" t="s">
        <v>208</v>
      </c>
      <c r="B33" s="4">
        <v>10</v>
      </c>
      <c r="C33" s="4">
        <v>41</v>
      </c>
      <c r="D33" s="4">
        <v>45</v>
      </c>
      <c r="E33" s="4">
        <v>1</v>
      </c>
      <c r="F33" s="4">
        <v>50</v>
      </c>
      <c r="G33" s="10">
        <f t="shared" si="9"/>
        <v>10.683333333333334</v>
      </c>
      <c r="H33" s="4">
        <v>50</v>
      </c>
      <c r="I33" s="5">
        <f t="shared" si="10"/>
        <v>480.75</v>
      </c>
      <c r="J33" s="5">
        <f t="shared" si="11"/>
        <v>430.75</v>
      </c>
      <c r="K33">
        <v>33</v>
      </c>
      <c r="N33" s="112">
        <f>2530+580+150</f>
        <v>3260</v>
      </c>
    </row>
    <row r="34" spans="1:16" ht="16" thickBot="1">
      <c r="A34" s="80" t="s">
        <v>209</v>
      </c>
      <c r="B34" s="4">
        <v>10</v>
      </c>
      <c r="C34" s="4">
        <v>22</v>
      </c>
      <c r="D34" s="4">
        <v>45</v>
      </c>
      <c r="E34" s="4">
        <v>1</v>
      </c>
      <c r="F34" s="4">
        <v>50</v>
      </c>
      <c r="G34" s="10">
        <f>B34+C34/60</f>
        <v>10.366666666666667</v>
      </c>
      <c r="H34" s="4">
        <v>50</v>
      </c>
      <c r="I34" s="5">
        <f>G34*D34</f>
        <v>466.5</v>
      </c>
      <c r="J34" s="5">
        <f>I34-H34</f>
        <v>416.5</v>
      </c>
      <c r="K34">
        <v>26</v>
      </c>
      <c r="N34" s="51"/>
    </row>
    <row r="35" spans="1:16" s="54" customFormat="1" ht="20" thickBot="1">
      <c r="A35" s="72" t="s">
        <v>18</v>
      </c>
      <c r="B35" s="44">
        <f>SUM(B36:B42)</f>
        <v>50</v>
      </c>
      <c r="C35" s="44">
        <f>SUM(C36:C42)</f>
        <v>228</v>
      </c>
      <c r="D35" s="44">
        <f>SUM(D36)</f>
        <v>45</v>
      </c>
      <c r="E35" s="44">
        <f>SUM(E36:E42)</f>
        <v>6</v>
      </c>
      <c r="F35" s="44">
        <f>SUM(F36:F42)</f>
        <v>300</v>
      </c>
      <c r="G35" s="67">
        <f t="shared" si="3"/>
        <v>53.8</v>
      </c>
      <c r="H35" s="44">
        <f>SUM(H36:H42)</f>
        <v>300</v>
      </c>
      <c r="I35" s="46">
        <f>SUM(I36:I42)</f>
        <v>2613.6666666666665</v>
      </c>
      <c r="J35" s="47">
        <f>SUM(J36:J42)</f>
        <v>2313.6666666666665</v>
      </c>
      <c r="K35" s="44">
        <f>SUM(K36:K42)</f>
        <v>148</v>
      </c>
      <c r="L35" s="46">
        <v>0</v>
      </c>
      <c r="M35" s="69">
        <f>J35+L35</f>
        <v>2313.6666666666665</v>
      </c>
      <c r="N35" s="55">
        <f>SUM(N36:N42)</f>
        <v>3670</v>
      </c>
      <c r="O35" s="90">
        <f>3670-N35</f>
        <v>0</v>
      </c>
    </row>
    <row r="36" spans="1:16" ht="19.25" customHeight="1">
      <c r="A36" s="6">
        <v>46062</v>
      </c>
      <c r="B36" s="4">
        <v>9</v>
      </c>
      <c r="C36" s="4">
        <v>22</v>
      </c>
      <c r="D36" s="4">
        <v>45</v>
      </c>
      <c r="E36" s="4">
        <v>1</v>
      </c>
      <c r="F36" s="4">
        <v>50</v>
      </c>
      <c r="G36" s="10">
        <f>B36+C36/60</f>
        <v>9.3666666666666671</v>
      </c>
      <c r="H36" s="4">
        <v>50</v>
      </c>
      <c r="I36" s="5">
        <f t="shared" ref="I36:I42" si="12">G36*D36</f>
        <v>421.5</v>
      </c>
      <c r="J36" s="5">
        <f t="shared" ref="J36:J42" si="13">I36-H36</f>
        <v>371.5</v>
      </c>
      <c r="K36">
        <v>25</v>
      </c>
      <c r="N36" s="119">
        <v>150</v>
      </c>
      <c r="O36" s="49"/>
      <c r="P36" t="s">
        <v>210</v>
      </c>
    </row>
    <row r="37" spans="1:16" ht="16.25" customHeight="1">
      <c r="A37" s="6">
        <v>46063</v>
      </c>
      <c r="B37" s="4">
        <v>8</v>
      </c>
      <c r="C37" s="4">
        <v>37</v>
      </c>
      <c r="D37" s="4">
        <v>45</v>
      </c>
      <c r="E37" s="4">
        <v>1</v>
      </c>
      <c r="F37" s="4">
        <v>50</v>
      </c>
      <c r="G37" s="10">
        <f t="shared" ref="G37:G41" si="14">B37+C37/60</f>
        <v>8.6166666666666671</v>
      </c>
      <c r="H37" s="4">
        <v>50</v>
      </c>
      <c r="I37" s="5">
        <f t="shared" si="12"/>
        <v>387.75</v>
      </c>
      <c r="J37" s="5">
        <f t="shared" si="13"/>
        <v>337.75</v>
      </c>
      <c r="K37">
        <v>25</v>
      </c>
      <c r="N37" s="83">
        <f>150+600</f>
        <v>750</v>
      </c>
      <c r="O37" s="49"/>
      <c r="P37" t="s">
        <v>211</v>
      </c>
    </row>
    <row r="38" spans="1:16">
      <c r="A38" s="6">
        <v>46064</v>
      </c>
      <c r="B38" s="4">
        <v>9</v>
      </c>
      <c r="C38" s="4">
        <v>38</v>
      </c>
      <c r="D38" s="4">
        <v>65</v>
      </c>
      <c r="E38" s="4">
        <v>1</v>
      </c>
      <c r="F38" s="4">
        <v>50</v>
      </c>
      <c r="G38" s="10">
        <f t="shared" si="14"/>
        <v>9.6333333333333329</v>
      </c>
      <c r="H38" s="4">
        <v>50</v>
      </c>
      <c r="I38" s="5">
        <f t="shared" si="12"/>
        <v>626.16666666666663</v>
      </c>
      <c r="J38" s="5">
        <f t="shared" si="13"/>
        <v>576.16666666666663</v>
      </c>
      <c r="K38">
        <v>33</v>
      </c>
      <c r="N38" s="83">
        <f>320+150+150</f>
        <v>620</v>
      </c>
      <c r="P38" t="s">
        <v>212</v>
      </c>
    </row>
    <row r="39" spans="1:16">
      <c r="A39" s="6">
        <v>46065</v>
      </c>
      <c r="B39" s="4">
        <v>8</v>
      </c>
      <c r="C39" s="4">
        <v>47</v>
      </c>
      <c r="D39" s="4">
        <v>45</v>
      </c>
      <c r="E39" s="4">
        <v>1</v>
      </c>
      <c r="F39" s="4">
        <v>50</v>
      </c>
      <c r="G39" s="10">
        <f t="shared" si="14"/>
        <v>8.7833333333333332</v>
      </c>
      <c r="H39" s="4">
        <v>50</v>
      </c>
      <c r="I39" s="5">
        <f t="shared" si="12"/>
        <v>395.25</v>
      </c>
      <c r="J39" s="5">
        <f t="shared" si="13"/>
        <v>345.25</v>
      </c>
      <c r="K39">
        <v>24</v>
      </c>
      <c r="N39" s="83">
        <f>480+150</f>
        <v>630</v>
      </c>
      <c r="P39" t="s">
        <v>46</v>
      </c>
    </row>
    <row r="40" spans="1:16">
      <c r="A40" s="6">
        <v>46066</v>
      </c>
      <c r="B40" s="4">
        <v>8</v>
      </c>
      <c r="C40" s="4">
        <v>47</v>
      </c>
      <c r="D40" s="4">
        <v>45</v>
      </c>
      <c r="E40" s="4">
        <v>1</v>
      </c>
      <c r="F40" s="4">
        <v>50</v>
      </c>
      <c r="G40" s="10">
        <f t="shared" si="14"/>
        <v>8.7833333333333332</v>
      </c>
      <c r="H40" s="4">
        <v>50</v>
      </c>
      <c r="I40" s="5">
        <f t="shared" si="12"/>
        <v>395.25</v>
      </c>
      <c r="J40" s="5">
        <f t="shared" si="13"/>
        <v>345.25</v>
      </c>
      <c r="K40">
        <v>17</v>
      </c>
      <c r="N40" s="83">
        <f>480+150</f>
        <v>630</v>
      </c>
      <c r="P40" t="s">
        <v>213</v>
      </c>
    </row>
    <row r="41" spans="1:16">
      <c r="A41" s="6">
        <v>46067</v>
      </c>
      <c r="B41" s="4">
        <v>8</v>
      </c>
      <c r="C41" s="4">
        <v>37</v>
      </c>
      <c r="D41" s="4">
        <v>45</v>
      </c>
      <c r="E41" s="4">
        <v>1</v>
      </c>
      <c r="F41" s="4">
        <v>50</v>
      </c>
      <c r="G41" s="10">
        <f t="shared" si="14"/>
        <v>8.6166666666666671</v>
      </c>
      <c r="H41" s="4">
        <v>50</v>
      </c>
      <c r="I41" s="5">
        <f t="shared" si="12"/>
        <v>387.75</v>
      </c>
      <c r="J41" s="5">
        <f t="shared" si="13"/>
        <v>337.75</v>
      </c>
      <c r="K41">
        <v>24</v>
      </c>
      <c r="N41" s="83">
        <v>500</v>
      </c>
      <c r="P41" s="51"/>
    </row>
    <row r="42" spans="1:16" ht="16" thickBot="1">
      <c r="A42" s="6">
        <v>46068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10">
        <v>0</v>
      </c>
      <c r="H42" s="4">
        <v>0</v>
      </c>
      <c r="I42" s="5">
        <f t="shared" si="12"/>
        <v>0</v>
      </c>
      <c r="J42" s="5">
        <f t="shared" si="13"/>
        <v>0</v>
      </c>
      <c r="K42">
        <v>0</v>
      </c>
      <c r="L42" s="1"/>
      <c r="N42" s="83">
        <f>300+90</f>
        <v>390</v>
      </c>
      <c r="P42" t="s">
        <v>214</v>
      </c>
    </row>
    <row r="43" spans="1:16" s="86" customFormat="1" ht="20" thickBot="1">
      <c r="A43" s="91" t="s">
        <v>48</v>
      </c>
      <c r="B43" s="8">
        <f>SUM(B44:B50)</f>
        <v>55</v>
      </c>
      <c r="C43" s="8">
        <f>SUM(C44:C50)</f>
        <v>148</v>
      </c>
      <c r="D43" s="8">
        <f>SUM(D44)</f>
        <v>45</v>
      </c>
      <c r="E43" s="8">
        <f>SUM(E44:E50)</f>
        <v>7</v>
      </c>
      <c r="F43" s="8">
        <f>SUM(F44:F50)</f>
        <v>350</v>
      </c>
      <c r="G43" s="93">
        <f t="shared" si="3"/>
        <v>57.466666666666669</v>
      </c>
      <c r="H43" s="8">
        <f>SUM(H44:H50)</f>
        <v>350</v>
      </c>
      <c r="I43" s="100">
        <f>SUM(I44:I50)</f>
        <v>2756.8333333333335</v>
      </c>
      <c r="J43" s="101">
        <f>SUM(J44:J50)</f>
        <v>2406.833333333333</v>
      </c>
      <c r="K43" s="8">
        <f>SUM(K44:K50)</f>
        <v>163</v>
      </c>
      <c r="L43" s="104">
        <v>0</v>
      </c>
      <c r="M43" s="96">
        <f>J43+L43</f>
        <v>2406.833333333333</v>
      </c>
      <c r="N43" s="99">
        <f>SUM(N44:N50)</f>
        <v>4070</v>
      </c>
      <c r="O43" s="98">
        <f>4196-N43</f>
        <v>126</v>
      </c>
    </row>
    <row r="44" spans="1:16">
      <c r="A44" s="6">
        <v>46062</v>
      </c>
      <c r="B44" s="4">
        <v>7</v>
      </c>
      <c r="C44" s="4">
        <v>42</v>
      </c>
      <c r="D44" s="4">
        <v>45</v>
      </c>
      <c r="E44" s="4">
        <v>1</v>
      </c>
      <c r="F44" s="4">
        <v>50</v>
      </c>
      <c r="G44" s="10">
        <f t="shared" si="3"/>
        <v>7.7</v>
      </c>
      <c r="H44" s="4">
        <v>50</v>
      </c>
      <c r="I44" s="5">
        <f t="shared" si="6"/>
        <v>346.5</v>
      </c>
      <c r="J44" s="5">
        <f>I44-H44</f>
        <v>296.5</v>
      </c>
      <c r="K44">
        <v>22</v>
      </c>
      <c r="N44" s="81">
        <f>460+150</f>
        <v>610</v>
      </c>
      <c r="P44" t="s">
        <v>27</v>
      </c>
    </row>
    <row r="45" spans="1:16">
      <c r="A45" s="6">
        <v>46063</v>
      </c>
      <c r="B45" s="4">
        <v>7</v>
      </c>
      <c r="C45" s="4">
        <v>5</v>
      </c>
      <c r="D45" s="4">
        <v>45</v>
      </c>
      <c r="E45" s="4">
        <v>1</v>
      </c>
      <c r="F45" s="4">
        <v>50</v>
      </c>
      <c r="G45" s="10">
        <f t="shared" si="3"/>
        <v>7.083333333333333</v>
      </c>
      <c r="H45" s="4">
        <v>50</v>
      </c>
      <c r="I45" s="5">
        <f t="shared" si="6"/>
        <v>318.75</v>
      </c>
      <c r="J45" s="5">
        <f t="shared" ref="J45:J50" si="15">I45-H45</f>
        <v>268.75</v>
      </c>
      <c r="K45">
        <v>15</v>
      </c>
      <c r="N45" s="81">
        <f>100+100</f>
        <v>200</v>
      </c>
      <c r="P45" s="128" t="s">
        <v>215</v>
      </c>
    </row>
    <row r="46" spans="1:16">
      <c r="A46" s="6">
        <v>46064</v>
      </c>
      <c r="B46" s="4">
        <v>9</v>
      </c>
      <c r="C46" s="4">
        <v>7</v>
      </c>
      <c r="D46" s="4">
        <v>45</v>
      </c>
      <c r="E46" s="4">
        <v>1</v>
      </c>
      <c r="F46" s="4">
        <v>50</v>
      </c>
      <c r="G46" s="10">
        <f t="shared" si="3"/>
        <v>9.1166666666666671</v>
      </c>
      <c r="H46" s="4">
        <v>50</v>
      </c>
      <c r="I46" s="5">
        <f t="shared" si="6"/>
        <v>410.25</v>
      </c>
      <c r="J46" s="5">
        <f t="shared" si="15"/>
        <v>360.25</v>
      </c>
      <c r="K46">
        <v>26</v>
      </c>
      <c r="N46" s="81">
        <f>150+500</f>
        <v>650</v>
      </c>
      <c r="P46" t="s">
        <v>27</v>
      </c>
    </row>
    <row r="47" spans="1:16">
      <c r="A47" s="6">
        <v>46065</v>
      </c>
      <c r="B47" s="4">
        <v>9</v>
      </c>
      <c r="C47" s="4">
        <v>14</v>
      </c>
      <c r="D47" s="4">
        <v>45</v>
      </c>
      <c r="E47" s="4">
        <v>1</v>
      </c>
      <c r="F47" s="4">
        <v>50</v>
      </c>
      <c r="G47" s="10">
        <f t="shared" si="3"/>
        <v>9.2333333333333325</v>
      </c>
      <c r="H47" s="4">
        <v>50</v>
      </c>
      <c r="I47" s="5">
        <f t="shared" si="6"/>
        <v>415.49999999999994</v>
      </c>
      <c r="J47" s="5">
        <f t="shared" si="15"/>
        <v>365.49999999999994</v>
      </c>
      <c r="K47">
        <v>23</v>
      </c>
      <c r="N47" s="81">
        <v>450</v>
      </c>
    </row>
    <row r="48" spans="1:16">
      <c r="A48" s="6">
        <v>46066</v>
      </c>
      <c r="B48" s="4">
        <v>7</v>
      </c>
      <c r="C48" s="4">
        <v>15</v>
      </c>
      <c r="D48" s="4">
        <v>45</v>
      </c>
      <c r="E48" s="4">
        <v>1</v>
      </c>
      <c r="F48" s="4">
        <v>50</v>
      </c>
      <c r="G48" s="10">
        <f t="shared" si="3"/>
        <v>7.25</v>
      </c>
      <c r="H48" s="4">
        <v>50</v>
      </c>
      <c r="I48" s="5">
        <f t="shared" si="6"/>
        <v>326.25</v>
      </c>
      <c r="J48" s="5">
        <f t="shared" si="15"/>
        <v>276.25</v>
      </c>
      <c r="K48">
        <v>17</v>
      </c>
      <c r="N48" s="118">
        <v>0</v>
      </c>
      <c r="P48" s="128" t="s">
        <v>216</v>
      </c>
    </row>
    <row r="49" spans="1:17">
      <c r="A49" s="6">
        <v>46067</v>
      </c>
      <c r="B49" s="4">
        <v>8</v>
      </c>
      <c r="C49" s="4">
        <v>23</v>
      </c>
      <c r="D49" s="4">
        <v>55</v>
      </c>
      <c r="E49" s="4">
        <v>1</v>
      </c>
      <c r="F49" s="4">
        <v>50</v>
      </c>
      <c r="G49" s="10">
        <f t="shared" si="3"/>
        <v>8.3833333333333329</v>
      </c>
      <c r="H49" s="4">
        <v>50</v>
      </c>
      <c r="I49" s="5">
        <f t="shared" si="6"/>
        <v>461.08333333333331</v>
      </c>
      <c r="J49" s="5">
        <f t="shared" si="15"/>
        <v>411.08333333333331</v>
      </c>
      <c r="K49">
        <v>29</v>
      </c>
      <c r="N49" s="118">
        <v>0</v>
      </c>
    </row>
    <row r="50" spans="1:17" ht="16" thickBot="1">
      <c r="A50" s="6">
        <v>46068</v>
      </c>
      <c r="B50" s="4">
        <v>8</v>
      </c>
      <c r="C50" s="4">
        <v>42</v>
      </c>
      <c r="D50" s="4">
        <v>55</v>
      </c>
      <c r="E50" s="4">
        <v>1</v>
      </c>
      <c r="F50" s="4">
        <v>50</v>
      </c>
      <c r="G50" s="10">
        <f t="shared" si="3"/>
        <v>8.6999999999999993</v>
      </c>
      <c r="H50" s="4">
        <v>50</v>
      </c>
      <c r="I50" s="5">
        <f t="shared" si="6"/>
        <v>478.49999999999994</v>
      </c>
      <c r="J50" s="5">
        <f t="shared" si="15"/>
        <v>428.49999999999994</v>
      </c>
      <c r="K50">
        <v>31</v>
      </c>
      <c r="N50" s="81">
        <v>2160</v>
      </c>
    </row>
    <row r="51" spans="1:17" s="54" customFormat="1" ht="20" thickBot="1">
      <c r="A51" s="72" t="s">
        <v>50</v>
      </c>
      <c r="B51" s="44">
        <f>SUM(B52:B58)</f>
        <v>64</v>
      </c>
      <c r="C51" s="44">
        <f>SUM(C52:C58)</f>
        <v>200</v>
      </c>
      <c r="D51" s="44">
        <f>SUM(D52)</f>
        <v>65</v>
      </c>
      <c r="E51" s="44">
        <f>SUM(E52:E58)</f>
        <v>7</v>
      </c>
      <c r="F51" s="44">
        <f>SUM(F52:F58)</f>
        <v>350</v>
      </c>
      <c r="G51" s="67">
        <f t="shared" si="3"/>
        <v>67.333333333333329</v>
      </c>
      <c r="H51" s="44">
        <f>SUM(H52:H58)</f>
        <v>350</v>
      </c>
      <c r="I51" s="46">
        <f>SUM(I52:I58)</f>
        <v>4376.6666666666661</v>
      </c>
      <c r="J51" s="47">
        <f>SUM(J52:J58)</f>
        <v>4026.6666666666665</v>
      </c>
      <c r="K51" s="44">
        <f>SUM(K52:K58)</f>
        <v>259</v>
      </c>
      <c r="L51" s="46">
        <v>0</v>
      </c>
      <c r="M51" s="69">
        <f>J51</f>
        <v>4026.6666666666665</v>
      </c>
      <c r="N51" s="63">
        <f>SUM(N52:N58)</f>
        <v>7288</v>
      </c>
      <c r="O51" s="90">
        <f>7301-N51</f>
        <v>13</v>
      </c>
    </row>
    <row r="52" spans="1:17" ht="19">
      <c r="A52" s="6">
        <v>46062</v>
      </c>
      <c r="B52" s="4">
        <v>9</v>
      </c>
      <c r="C52" s="4">
        <v>47</v>
      </c>
      <c r="D52" s="4">
        <v>65</v>
      </c>
      <c r="E52" s="4">
        <v>1</v>
      </c>
      <c r="F52" s="4">
        <v>50</v>
      </c>
      <c r="G52" s="10">
        <f>B52+C52/60</f>
        <v>9.7833333333333332</v>
      </c>
      <c r="H52" s="4">
        <v>50</v>
      </c>
      <c r="I52" s="5">
        <f>G52*D52</f>
        <v>635.91666666666663</v>
      </c>
      <c r="J52" s="5">
        <f>I52-H52</f>
        <v>585.91666666666663</v>
      </c>
      <c r="K52">
        <v>35</v>
      </c>
      <c r="N52" s="83">
        <v>998</v>
      </c>
      <c r="O52" s="49"/>
      <c r="P52" t="s">
        <v>217</v>
      </c>
    </row>
    <row r="53" spans="1:17">
      <c r="A53" s="6">
        <v>46063</v>
      </c>
      <c r="B53" s="4">
        <v>10</v>
      </c>
      <c r="C53" s="4">
        <v>36</v>
      </c>
      <c r="D53" s="4">
        <v>65</v>
      </c>
      <c r="E53" s="4">
        <v>1</v>
      </c>
      <c r="F53" s="4">
        <v>50</v>
      </c>
      <c r="G53" s="10">
        <f t="shared" ref="G53:G58" si="16">B53+C53/60</f>
        <v>10.6</v>
      </c>
      <c r="H53" s="4">
        <v>50</v>
      </c>
      <c r="I53" s="5">
        <f t="shared" ref="I53:I58" si="17">G53*D53</f>
        <v>689</v>
      </c>
      <c r="J53" s="5">
        <f t="shared" si="7"/>
        <v>639</v>
      </c>
      <c r="K53">
        <v>39</v>
      </c>
      <c r="N53" s="83">
        <v>940</v>
      </c>
    </row>
    <row r="54" spans="1:17">
      <c r="A54" s="6">
        <v>46064</v>
      </c>
      <c r="B54" s="4">
        <v>9</v>
      </c>
      <c r="C54" s="4">
        <v>24</v>
      </c>
      <c r="D54" s="4">
        <v>65</v>
      </c>
      <c r="E54" s="4">
        <v>1</v>
      </c>
      <c r="F54" s="4">
        <v>50</v>
      </c>
      <c r="G54" s="10">
        <f t="shared" si="16"/>
        <v>9.4</v>
      </c>
      <c r="H54" s="4">
        <v>50</v>
      </c>
      <c r="I54" s="5">
        <f>G54*D54</f>
        <v>611</v>
      </c>
      <c r="J54" s="5">
        <f>I54-H54</f>
        <v>561</v>
      </c>
      <c r="K54">
        <v>35</v>
      </c>
      <c r="N54" s="83">
        <v>940</v>
      </c>
    </row>
    <row r="55" spans="1:17">
      <c r="A55" s="6">
        <v>46065</v>
      </c>
      <c r="B55" s="4">
        <v>8</v>
      </c>
      <c r="C55" s="4">
        <v>34</v>
      </c>
      <c r="D55" s="4">
        <v>65</v>
      </c>
      <c r="E55" s="4">
        <v>1</v>
      </c>
      <c r="F55" s="4">
        <v>50</v>
      </c>
      <c r="G55" s="10">
        <f t="shared" si="16"/>
        <v>8.5666666666666664</v>
      </c>
      <c r="H55" s="4">
        <v>50</v>
      </c>
      <c r="I55" s="5">
        <f>G55*D55</f>
        <v>556.83333333333337</v>
      </c>
      <c r="J55" s="5">
        <f>I55-H55</f>
        <v>506.83333333333337</v>
      </c>
      <c r="K55">
        <v>37</v>
      </c>
      <c r="N55" s="83">
        <v>790</v>
      </c>
    </row>
    <row r="56" spans="1:17">
      <c r="A56" s="6">
        <v>46066</v>
      </c>
      <c r="B56" s="4">
        <v>8</v>
      </c>
      <c r="C56" s="4">
        <v>0</v>
      </c>
      <c r="D56" s="4">
        <v>65</v>
      </c>
      <c r="E56" s="4">
        <v>1</v>
      </c>
      <c r="F56" s="4">
        <v>50</v>
      </c>
      <c r="G56" s="10">
        <f t="shared" si="16"/>
        <v>8</v>
      </c>
      <c r="H56" s="4">
        <v>50</v>
      </c>
      <c r="I56" s="5">
        <f t="shared" si="17"/>
        <v>520</v>
      </c>
      <c r="J56" s="5">
        <f t="shared" si="7"/>
        <v>470</v>
      </c>
      <c r="K56">
        <v>33</v>
      </c>
      <c r="N56" s="51">
        <v>150</v>
      </c>
      <c r="P56" t="s">
        <v>53</v>
      </c>
    </row>
    <row r="57" spans="1:17">
      <c r="A57" s="6">
        <v>46067</v>
      </c>
      <c r="B57" s="4">
        <v>9</v>
      </c>
      <c r="C57" s="4">
        <v>41</v>
      </c>
      <c r="D57" s="4">
        <v>65</v>
      </c>
      <c r="E57" s="4">
        <v>1</v>
      </c>
      <c r="F57" s="4">
        <v>50</v>
      </c>
      <c r="G57" s="10">
        <f t="shared" si="16"/>
        <v>9.6833333333333336</v>
      </c>
      <c r="H57" s="4">
        <v>50</v>
      </c>
      <c r="I57" s="5">
        <f>G57*D57</f>
        <v>629.41666666666663</v>
      </c>
      <c r="J57" s="5">
        <f>I57-H57</f>
        <v>579.41666666666663</v>
      </c>
      <c r="K57">
        <v>35</v>
      </c>
      <c r="N57" s="51"/>
    </row>
    <row r="58" spans="1:17" ht="16" thickBot="1">
      <c r="A58" s="6">
        <v>46068</v>
      </c>
      <c r="B58" s="4">
        <v>11</v>
      </c>
      <c r="C58" s="4">
        <v>18</v>
      </c>
      <c r="D58" s="4">
        <v>65</v>
      </c>
      <c r="E58" s="4">
        <v>1</v>
      </c>
      <c r="F58" s="4">
        <v>50</v>
      </c>
      <c r="G58" s="10">
        <f t="shared" si="16"/>
        <v>11.3</v>
      </c>
      <c r="H58" s="4">
        <v>50</v>
      </c>
      <c r="I58" s="5">
        <f t="shared" si="17"/>
        <v>734.5</v>
      </c>
      <c r="J58" s="5">
        <f t="shared" si="7"/>
        <v>684.5</v>
      </c>
      <c r="K58">
        <v>45</v>
      </c>
      <c r="N58" s="51">
        <f>3320+150</f>
        <v>3470</v>
      </c>
      <c r="P58" t="s">
        <v>53</v>
      </c>
    </row>
    <row r="59" spans="1:17" s="54" customFormat="1" ht="20" thickBot="1">
      <c r="A59" s="72" t="s">
        <v>218</v>
      </c>
      <c r="B59" s="44">
        <f>SUM(B60:B66)</f>
        <v>61</v>
      </c>
      <c r="C59" s="44">
        <f>SUM(C60:C66)</f>
        <v>149</v>
      </c>
      <c r="D59" s="44">
        <f>SUM(D60)</f>
        <v>65</v>
      </c>
      <c r="E59" s="44">
        <f>SUM(E60:E66)</f>
        <v>7</v>
      </c>
      <c r="F59" s="44">
        <f>SUM(F60:F66)</f>
        <v>350</v>
      </c>
      <c r="G59" s="67">
        <f t="shared" si="3"/>
        <v>63.483333333333334</v>
      </c>
      <c r="H59" s="44">
        <f>SUM(H60:H66)</f>
        <v>350</v>
      </c>
      <c r="I59" s="46">
        <f>SUM(I60:I66)</f>
        <v>3963.2499999999995</v>
      </c>
      <c r="J59" s="47">
        <f>SUM(J60:J66)</f>
        <v>3613.2499999999995</v>
      </c>
      <c r="K59" s="44">
        <f>SUM(K60:K66)</f>
        <v>232</v>
      </c>
      <c r="L59" s="46">
        <v>0</v>
      </c>
      <c r="M59" s="69">
        <f>J59</f>
        <v>3613.2499999999995</v>
      </c>
      <c r="N59" s="63">
        <f>SUM(N60:N66)</f>
        <v>6713</v>
      </c>
      <c r="O59" s="90">
        <f>6713-N59</f>
        <v>0</v>
      </c>
    </row>
    <row r="60" spans="1:17">
      <c r="A60" s="80" t="s">
        <v>219</v>
      </c>
      <c r="B60" s="4">
        <v>10</v>
      </c>
      <c r="C60" s="4">
        <v>15</v>
      </c>
      <c r="D60" s="4">
        <v>65</v>
      </c>
      <c r="E60" s="4">
        <v>1</v>
      </c>
      <c r="F60" s="4">
        <v>50</v>
      </c>
      <c r="G60" s="10">
        <f t="shared" si="3"/>
        <v>10.25</v>
      </c>
      <c r="H60" s="4">
        <v>50</v>
      </c>
      <c r="I60" s="5">
        <f t="shared" ref="I60:I66" si="18">G60*D60</f>
        <v>666.25</v>
      </c>
      <c r="J60" s="5">
        <f t="shared" ref="J60:J62" si="19">I60-H60</f>
        <v>616.25</v>
      </c>
      <c r="K60">
        <v>37</v>
      </c>
      <c r="N60" s="51">
        <v>200</v>
      </c>
      <c r="O60" s="51"/>
      <c r="P60" t="s">
        <v>53</v>
      </c>
    </row>
    <row r="61" spans="1:17">
      <c r="A61" s="80" t="s">
        <v>220</v>
      </c>
      <c r="B61" s="4">
        <v>8</v>
      </c>
      <c r="C61" s="4">
        <v>45</v>
      </c>
      <c r="D61" s="4">
        <v>65</v>
      </c>
      <c r="E61" s="4">
        <v>1</v>
      </c>
      <c r="F61" s="4">
        <v>50</v>
      </c>
      <c r="G61" s="10">
        <f t="shared" si="3"/>
        <v>8.75</v>
      </c>
      <c r="H61" s="4">
        <v>50</v>
      </c>
      <c r="I61" s="5">
        <f t="shared" si="18"/>
        <v>568.75</v>
      </c>
      <c r="J61" s="5">
        <f t="shared" si="19"/>
        <v>518.75</v>
      </c>
      <c r="K61">
        <v>33</v>
      </c>
      <c r="N61" s="83">
        <f>300+1300</f>
        <v>1600</v>
      </c>
      <c r="P61" t="s">
        <v>221</v>
      </c>
    </row>
    <row r="62" spans="1:17">
      <c r="A62" s="80" t="s">
        <v>222</v>
      </c>
      <c r="B62" s="4">
        <v>8</v>
      </c>
      <c r="C62" s="4">
        <v>18</v>
      </c>
      <c r="D62" s="4">
        <v>55</v>
      </c>
      <c r="E62" s="4">
        <v>1</v>
      </c>
      <c r="F62" s="4">
        <v>50</v>
      </c>
      <c r="G62" s="10">
        <f t="shared" si="3"/>
        <v>8.3000000000000007</v>
      </c>
      <c r="H62" s="4">
        <v>50</v>
      </c>
      <c r="I62" s="5">
        <f t="shared" si="18"/>
        <v>456.50000000000006</v>
      </c>
      <c r="J62" s="5">
        <f t="shared" si="19"/>
        <v>406.50000000000006</v>
      </c>
      <c r="K62">
        <v>28</v>
      </c>
      <c r="N62" s="51">
        <v>0</v>
      </c>
      <c r="Q62" t="s">
        <v>64</v>
      </c>
    </row>
    <row r="63" spans="1:17">
      <c r="A63" s="80" t="s">
        <v>223</v>
      </c>
      <c r="B63" s="4">
        <v>9</v>
      </c>
      <c r="C63" s="4">
        <v>17</v>
      </c>
      <c r="D63" s="4">
        <v>65</v>
      </c>
      <c r="E63" s="4">
        <v>1</v>
      </c>
      <c r="F63" s="4">
        <v>50</v>
      </c>
      <c r="G63" s="10">
        <f t="shared" si="3"/>
        <v>9.2833333333333332</v>
      </c>
      <c r="H63" s="4">
        <v>50</v>
      </c>
      <c r="I63" s="5">
        <f>G63*D63</f>
        <v>603.41666666666663</v>
      </c>
      <c r="J63" s="5">
        <f>I63-H63</f>
        <v>553.41666666666663</v>
      </c>
      <c r="K63">
        <v>40</v>
      </c>
      <c r="N63" s="83">
        <v>1000</v>
      </c>
    </row>
    <row r="64" spans="1:17">
      <c r="A64" s="80" t="s">
        <v>224</v>
      </c>
      <c r="B64" s="4">
        <v>10</v>
      </c>
      <c r="C64" s="4">
        <v>0</v>
      </c>
      <c r="D64" s="4">
        <v>65</v>
      </c>
      <c r="E64" s="4">
        <v>1</v>
      </c>
      <c r="F64" s="4">
        <v>50</v>
      </c>
      <c r="G64" s="10">
        <f t="shared" si="3"/>
        <v>10</v>
      </c>
      <c r="H64" s="4">
        <v>50</v>
      </c>
      <c r="I64" s="5">
        <f t="shared" si="18"/>
        <v>650</v>
      </c>
      <c r="J64" s="5">
        <f>I64-H64</f>
        <v>600</v>
      </c>
      <c r="K64">
        <v>32</v>
      </c>
      <c r="N64" s="82">
        <v>1500</v>
      </c>
      <c r="Q64" t="s">
        <v>64</v>
      </c>
    </row>
    <row r="65" spans="1:17">
      <c r="A65" s="80" t="s">
        <v>208</v>
      </c>
      <c r="B65" s="4">
        <v>8</v>
      </c>
      <c r="C65" s="4">
        <v>1</v>
      </c>
      <c r="D65" s="4">
        <v>55</v>
      </c>
      <c r="E65" s="4">
        <v>1</v>
      </c>
      <c r="F65" s="4">
        <v>50</v>
      </c>
      <c r="G65" s="10">
        <f t="shared" si="3"/>
        <v>8.0166666666666675</v>
      </c>
      <c r="H65" s="4">
        <v>50</v>
      </c>
      <c r="I65" s="5">
        <f t="shared" si="18"/>
        <v>440.91666666666669</v>
      </c>
      <c r="J65" s="5">
        <f>I65-H65</f>
        <v>390.91666666666669</v>
      </c>
      <c r="K65">
        <v>30</v>
      </c>
      <c r="N65" s="82">
        <v>1200</v>
      </c>
    </row>
    <row r="66" spans="1:17" ht="16" thickBot="1">
      <c r="A66" s="80" t="s">
        <v>225</v>
      </c>
      <c r="B66" s="4">
        <v>8</v>
      </c>
      <c r="C66" s="4">
        <v>53</v>
      </c>
      <c r="D66" s="4">
        <v>65</v>
      </c>
      <c r="E66" s="4">
        <v>1</v>
      </c>
      <c r="F66" s="4">
        <v>50</v>
      </c>
      <c r="G66" s="10">
        <f t="shared" si="3"/>
        <v>8.8833333333333329</v>
      </c>
      <c r="H66" s="4">
        <v>50</v>
      </c>
      <c r="I66" s="5">
        <f t="shared" si="18"/>
        <v>577.41666666666663</v>
      </c>
      <c r="J66" s="5">
        <f>I66-H66</f>
        <v>527.41666666666663</v>
      </c>
      <c r="K66">
        <v>32</v>
      </c>
      <c r="N66" s="51">
        <f>313+900</f>
        <v>1213</v>
      </c>
      <c r="P66" t="s">
        <v>226</v>
      </c>
    </row>
    <row r="67" spans="1:17" s="54" customFormat="1" ht="20" thickBot="1">
      <c r="A67" s="72" t="s">
        <v>70</v>
      </c>
      <c r="B67" s="44">
        <f>SUM(B68:B74)</f>
        <v>6</v>
      </c>
      <c r="C67" s="44">
        <f>SUM(C68:C74)</f>
        <v>41</v>
      </c>
      <c r="D67" s="44">
        <f>SUM(D68)</f>
        <v>45</v>
      </c>
      <c r="E67" s="44">
        <f>SUM(E68:E74)</f>
        <v>1</v>
      </c>
      <c r="F67" s="44">
        <f>SUM(F68:F74)</f>
        <v>300</v>
      </c>
      <c r="G67" s="67">
        <f t="shared" si="3"/>
        <v>6.6833333333333336</v>
      </c>
      <c r="H67" s="44">
        <f>SUM(H68:H74)</f>
        <v>50</v>
      </c>
      <c r="I67" s="46">
        <f>SUM(I68:I71)</f>
        <v>300.75</v>
      </c>
      <c r="J67" s="47">
        <f>SUM(J68:J71)</f>
        <v>250.75</v>
      </c>
      <c r="K67" s="44">
        <f>SUM(K68:K74)</f>
        <v>18</v>
      </c>
      <c r="L67" s="46">
        <v>0</v>
      </c>
      <c r="M67" s="69">
        <f>J67</f>
        <v>250.75</v>
      </c>
      <c r="N67" s="63">
        <f>SUM(N68:N71)</f>
        <v>0</v>
      </c>
      <c r="O67" s="90">
        <f>505-N67</f>
        <v>505</v>
      </c>
    </row>
    <row r="68" spans="1:17">
      <c r="A68" s="6">
        <v>46062</v>
      </c>
      <c r="B68" s="4">
        <v>6</v>
      </c>
      <c r="C68" s="4">
        <v>41</v>
      </c>
      <c r="D68" s="4">
        <v>45</v>
      </c>
      <c r="E68" s="4">
        <v>1</v>
      </c>
      <c r="F68" s="4">
        <v>50</v>
      </c>
      <c r="G68" s="10">
        <f>B68+C68/60</f>
        <v>6.6833333333333336</v>
      </c>
      <c r="H68" s="4">
        <v>50</v>
      </c>
      <c r="I68" s="5">
        <f t="shared" ref="I68:I73" si="20">G68*D68</f>
        <v>300.75</v>
      </c>
      <c r="J68" s="5">
        <f>I68-H68</f>
        <v>250.75</v>
      </c>
      <c r="K68">
        <v>18</v>
      </c>
      <c r="N68" s="119">
        <v>0</v>
      </c>
      <c r="O68" s="51"/>
      <c r="P68" t="s">
        <v>227</v>
      </c>
    </row>
    <row r="69" spans="1:17">
      <c r="A69" s="6">
        <v>46063</v>
      </c>
      <c r="B69" s="4">
        <v>0</v>
      </c>
      <c r="C69" s="4">
        <v>0</v>
      </c>
      <c r="D69" s="4">
        <v>45</v>
      </c>
      <c r="E69" s="4">
        <v>0</v>
      </c>
      <c r="F69" s="4">
        <v>0</v>
      </c>
      <c r="G69" s="10">
        <v>0</v>
      </c>
      <c r="H69" s="4">
        <v>0</v>
      </c>
      <c r="I69" s="5">
        <v>0</v>
      </c>
      <c r="J69" s="5">
        <v>0</v>
      </c>
      <c r="K69">
        <v>0</v>
      </c>
      <c r="N69" s="119"/>
    </row>
    <row r="70" spans="1:17">
      <c r="A70" s="6">
        <v>46064</v>
      </c>
      <c r="B70" s="4">
        <v>0</v>
      </c>
      <c r="C70" s="4">
        <v>0</v>
      </c>
      <c r="D70" s="4">
        <v>45</v>
      </c>
      <c r="E70" s="4">
        <v>0</v>
      </c>
      <c r="F70" s="4">
        <v>50</v>
      </c>
      <c r="G70" s="10">
        <f t="shared" ref="G70:G71" si="21">B70+C70/60</f>
        <v>0</v>
      </c>
      <c r="H70" s="4">
        <v>0</v>
      </c>
      <c r="I70" s="5">
        <f t="shared" si="20"/>
        <v>0</v>
      </c>
      <c r="J70" s="5">
        <v>0</v>
      </c>
      <c r="K70">
        <v>0</v>
      </c>
      <c r="N70" s="119">
        <v>0</v>
      </c>
      <c r="Q70" t="s">
        <v>64</v>
      </c>
    </row>
    <row r="71" spans="1:17">
      <c r="A71" s="6">
        <v>46065</v>
      </c>
      <c r="B71" s="4">
        <v>0</v>
      </c>
      <c r="C71" s="4">
        <v>0</v>
      </c>
      <c r="D71" s="4">
        <v>45</v>
      </c>
      <c r="E71" s="4">
        <v>0</v>
      </c>
      <c r="F71" s="4">
        <v>50</v>
      </c>
      <c r="G71" s="10">
        <f t="shared" si="21"/>
        <v>0</v>
      </c>
      <c r="H71" s="4">
        <v>0</v>
      </c>
      <c r="I71" s="5">
        <f t="shared" si="20"/>
        <v>0</v>
      </c>
      <c r="J71" s="5">
        <v>0</v>
      </c>
      <c r="K71">
        <v>0</v>
      </c>
      <c r="N71" s="82"/>
    </row>
    <row r="72" spans="1:17">
      <c r="A72" s="6">
        <v>46066</v>
      </c>
      <c r="B72" s="4">
        <v>0</v>
      </c>
      <c r="C72" s="4">
        <v>0</v>
      </c>
      <c r="D72" s="4">
        <v>45</v>
      </c>
      <c r="E72" s="4">
        <v>0</v>
      </c>
      <c r="F72" s="4">
        <v>50</v>
      </c>
      <c r="G72" s="10">
        <f>B72+C72/60</f>
        <v>0</v>
      </c>
      <c r="H72" s="4">
        <v>0</v>
      </c>
      <c r="I72" s="5">
        <f t="shared" si="20"/>
        <v>0</v>
      </c>
      <c r="J72" s="5">
        <f>I72-H72</f>
        <v>0</v>
      </c>
      <c r="K72">
        <v>0</v>
      </c>
      <c r="N72" s="119">
        <v>0</v>
      </c>
    </row>
    <row r="73" spans="1:17">
      <c r="A73" s="6">
        <v>46067</v>
      </c>
      <c r="B73" s="4">
        <v>0</v>
      </c>
      <c r="C73" s="4">
        <v>0</v>
      </c>
      <c r="D73" s="4">
        <v>45</v>
      </c>
      <c r="E73" s="4">
        <v>0</v>
      </c>
      <c r="F73" s="4">
        <v>50</v>
      </c>
      <c r="G73" s="10">
        <f>B73+C73/60</f>
        <v>0</v>
      </c>
      <c r="H73" s="4">
        <v>0</v>
      </c>
      <c r="I73" s="5">
        <f t="shared" si="20"/>
        <v>0</v>
      </c>
      <c r="J73" s="5">
        <v>0</v>
      </c>
      <c r="K73">
        <v>0</v>
      </c>
      <c r="N73" s="119">
        <v>0</v>
      </c>
    </row>
    <row r="74" spans="1:17" ht="16" thickBot="1">
      <c r="A74" s="6">
        <v>46068</v>
      </c>
      <c r="B74" s="4">
        <v>0</v>
      </c>
      <c r="C74" s="4">
        <v>0</v>
      </c>
      <c r="D74" s="4">
        <v>45</v>
      </c>
      <c r="E74" s="4">
        <v>0</v>
      </c>
      <c r="F74" s="4">
        <v>50</v>
      </c>
      <c r="G74" s="10">
        <v>0</v>
      </c>
      <c r="H74" s="4">
        <v>0</v>
      </c>
      <c r="I74" s="5">
        <v>0</v>
      </c>
      <c r="J74" s="5">
        <v>0</v>
      </c>
      <c r="K74">
        <v>0</v>
      </c>
      <c r="N74" s="119">
        <v>0</v>
      </c>
    </row>
    <row r="75" spans="1:17" s="86" customFormat="1" ht="20" thickBot="1">
      <c r="A75" s="91" t="s">
        <v>74</v>
      </c>
      <c r="B75" s="8">
        <f>SUM(B76:B82)</f>
        <v>49</v>
      </c>
      <c r="C75" s="8">
        <f>SUM(C76:C82)</f>
        <v>122</v>
      </c>
      <c r="D75" s="8">
        <f>SUM(D76)</f>
        <v>45</v>
      </c>
      <c r="E75" s="8">
        <f>SUM(E76:E82)</f>
        <v>7</v>
      </c>
      <c r="F75" s="8">
        <f>SUM(F76:F82)</f>
        <v>350</v>
      </c>
      <c r="G75" s="93">
        <f t="shared" ref="G75" si="22">B75+C75/60</f>
        <v>51.033333333333331</v>
      </c>
      <c r="H75" s="8">
        <f>SUM(H76:H82)</f>
        <v>300</v>
      </c>
      <c r="I75" s="9">
        <f>SUM(I76:I82)</f>
        <v>2296.5</v>
      </c>
      <c r="J75" s="14">
        <f>SUM(J76:J82)</f>
        <v>1996.5</v>
      </c>
      <c r="K75" s="8">
        <f>SUM(K76:K82)</f>
        <v>106</v>
      </c>
      <c r="L75" s="9">
        <v>0</v>
      </c>
      <c r="M75" s="96">
        <f>J75</f>
        <v>1996.5</v>
      </c>
      <c r="N75" s="129">
        <f>SUM(N76:N82)</f>
        <v>1620</v>
      </c>
      <c r="O75" s="98">
        <f>1623-N75</f>
        <v>3</v>
      </c>
    </row>
    <row r="76" spans="1:17">
      <c r="A76" s="6">
        <v>46062</v>
      </c>
      <c r="B76" s="4">
        <v>8</v>
      </c>
      <c r="C76" s="4">
        <v>38</v>
      </c>
      <c r="D76" s="4">
        <v>45</v>
      </c>
      <c r="E76" s="4">
        <v>1</v>
      </c>
      <c r="F76" s="4">
        <v>50</v>
      </c>
      <c r="G76" s="10">
        <f>B76+C76/60</f>
        <v>8.6333333333333329</v>
      </c>
      <c r="H76" s="7">
        <v>50</v>
      </c>
      <c r="I76" s="5">
        <f t="shared" ref="I76:I82" si="23">G76*D76</f>
        <v>388.5</v>
      </c>
      <c r="J76" s="5">
        <f>I76-H76</f>
        <v>338.5</v>
      </c>
      <c r="K76">
        <v>25</v>
      </c>
      <c r="N76" s="82">
        <f>200+180</f>
        <v>380</v>
      </c>
      <c r="O76" s="51"/>
      <c r="P76" t="s">
        <v>228</v>
      </c>
    </row>
    <row r="77" spans="1:17">
      <c r="A77" s="6">
        <v>46063</v>
      </c>
      <c r="B77" s="4">
        <v>10</v>
      </c>
      <c r="C77" s="4">
        <v>17</v>
      </c>
      <c r="D77" s="4">
        <v>45</v>
      </c>
      <c r="E77" s="4">
        <v>1</v>
      </c>
      <c r="F77" s="4">
        <v>50</v>
      </c>
      <c r="G77" s="10">
        <f t="shared" ref="G77:G79" si="24">B77+C77/60</f>
        <v>10.283333333333333</v>
      </c>
      <c r="H77" s="4">
        <v>50</v>
      </c>
      <c r="I77" s="5">
        <f t="shared" si="23"/>
        <v>462.75</v>
      </c>
      <c r="J77" s="5">
        <f>I77-H77</f>
        <v>412.75</v>
      </c>
      <c r="K77">
        <v>23</v>
      </c>
      <c r="N77" s="119">
        <v>120</v>
      </c>
    </row>
    <row r="78" spans="1:17">
      <c r="A78" s="6">
        <v>46064</v>
      </c>
      <c r="B78" s="4">
        <v>10</v>
      </c>
      <c r="C78" s="4">
        <v>0</v>
      </c>
      <c r="D78" s="4">
        <v>45</v>
      </c>
      <c r="E78" s="4">
        <v>1</v>
      </c>
      <c r="F78" s="4">
        <v>50</v>
      </c>
      <c r="G78" s="10">
        <f t="shared" si="24"/>
        <v>10</v>
      </c>
      <c r="H78" s="4">
        <v>50</v>
      </c>
      <c r="I78" s="5">
        <f t="shared" si="23"/>
        <v>450</v>
      </c>
      <c r="J78" s="5">
        <f t="shared" ref="J78:J82" si="25">I78-H78</f>
        <v>400</v>
      </c>
      <c r="K78">
        <v>6</v>
      </c>
      <c r="N78" s="119">
        <v>0</v>
      </c>
      <c r="P78" t="s">
        <v>229</v>
      </c>
      <c r="Q78" t="s">
        <v>64</v>
      </c>
    </row>
    <row r="79" spans="1:17">
      <c r="A79" s="6">
        <v>46065</v>
      </c>
      <c r="B79" s="4">
        <v>9</v>
      </c>
      <c r="C79" s="4">
        <v>15</v>
      </c>
      <c r="D79" s="4">
        <v>45</v>
      </c>
      <c r="E79" s="4">
        <v>1</v>
      </c>
      <c r="F79" s="4">
        <v>50</v>
      </c>
      <c r="G79" s="10">
        <f t="shared" si="24"/>
        <v>9.25</v>
      </c>
      <c r="H79" s="4">
        <v>50</v>
      </c>
      <c r="I79" s="5">
        <f t="shared" si="23"/>
        <v>416.25</v>
      </c>
      <c r="J79" s="5">
        <f t="shared" si="25"/>
        <v>366.25</v>
      </c>
      <c r="K79">
        <v>22</v>
      </c>
      <c r="N79" s="82">
        <v>770</v>
      </c>
    </row>
    <row r="80" spans="1:17">
      <c r="A80" s="6">
        <v>46066</v>
      </c>
      <c r="B80" s="4">
        <v>7</v>
      </c>
      <c r="C80" s="4">
        <v>45</v>
      </c>
      <c r="D80" s="4">
        <v>45</v>
      </c>
      <c r="E80" s="4">
        <v>1</v>
      </c>
      <c r="F80" s="4">
        <v>50</v>
      </c>
      <c r="G80" s="10">
        <f>B80+C80/60</f>
        <v>7.75</v>
      </c>
      <c r="H80" s="4">
        <v>50</v>
      </c>
      <c r="I80" s="5">
        <f t="shared" si="23"/>
        <v>348.75</v>
      </c>
      <c r="J80" s="5">
        <f t="shared" si="25"/>
        <v>298.75</v>
      </c>
      <c r="K80">
        <v>16</v>
      </c>
      <c r="N80" s="119">
        <v>0</v>
      </c>
      <c r="P80" t="s">
        <v>230</v>
      </c>
    </row>
    <row r="81" spans="1:17">
      <c r="A81" s="6">
        <v>46067</v>
      </c>
      <c r="B81" s="4">
        <v>5</v>
      </c>
      <c r="C81" s="4">
        <v>7</v>
      </c>
      <c r="D81" s="4">
        <v>45</v>
      </c>
      <c r="E81" s="4">
        <v>1</v>
      </c>
      <c r="F81" s="4">
        <v>50</v>
      </c>
      <c r="G81" s="10">
        <f>B81+C81/60</f>
        <v>5.1166666666666663</v>
      </c>
      <c r="H81" s="4">
        <v>50</v>
      </c>
      <c r="I81" s="5">
        <f t="shared" si="23"/>
        <v>230.24999999999997</v>
      </c>
      <c r="J81" s="5">
        <f t="shared" si="25"/>
        <v>180.24999999999997</v>
      </c>
      <c r="K81">
        <v>14</v>
      </c>
      <c r="N81" s="119">
        <v>0</v>
      </c>
      <c r="P81" t="s">
        <v>231</v>
      </c>
    </row>
    <row r="82" spans="1:17" ht="16" thickBot="1">
      <c r="A82" s="6">
        <v>46068</v>
      </c>
      <c r="B82" s="4">
        <v>0</v>
      </c>
      <c r="C82" s="4">
        <v>0</v>
      </c>
      <c r="D82" s="4">
        <v>45</v>
      </c>
      <c r="E82" s="4">
        <v>1</v>
      </c>
      <c r="F82" s="4">
        <v>50</v>
      </c>
      <c r="G82" s="10">
        <v>0</v>
      </c>
      <c r="H82" s="4">
        <v>0</v>
      </c>
      <c r="I82" s="5">
        <f t="shared" si="23"/>
        <v>0</v>
      </c>
      <c r="J82" s="5">
        <f t="shared" si="25"/>
        <v>0</v>
      </c>
      <c r="K82">
        <v>0</v>
      </c>
      <c r="N82" s="82">
        <v>350</v>
      </c>
    </row>
    <row r="83" spans="1:17" ht="20" thickBot="1">
      <c r="A83" s="91" t="s">
        <v>76</v>
      </c>
      <c r="B83" s="8">
        <f>SUM(B84:B90)</f>
        <v>55</v>
      </c>
      <c r="C83" s="8">
        <f>SUM(C84:C90)</f>
        <v>162</v>
      </c>
      <c r="D83" s="8">
        <f>SUM(D84)</f>
        <v>45</v>
      </c>
      <c r="E83" s="8">
        <f>SUM(E84:E90)</f>
        <v>7</v>
      </c>
      <c r="F83" s="8">
        <f>SUM(F84:F90)</f>
        <v>350</v>
      </c>
      <c r="G83" s="93">
        <f t="shared" ref="G83:G107" si="26">B83+C83/60</f>
        <v>57.7</v>
      </c>
      <c r="H83" s="8">
        <f>SUM(H84:H90)</f>
        <v>300</v>
      </c>
      <c r="I83" s="9">
        <f>SUM(I84:I90)</f>
        <v>3086.1666666666665</v>
      </c>
      <c r="J83" s="14">
        <f>SUM(J84:J90)</f>
        <v>2786.1666666666665</v>
      </c>
      <c r="K83" s="8">
        <f>SUM(K84:K90)</f>
        <v>168</v>
      </c>
      <c r="L83" s="9">
        <v>0</v>
      </c>
      <c r="M83" s="96">
        <f>J83</f>
        <v>2786.1666666666665</v>
      </c>
      <c r="N83" s="129">
        <f>SUM(N84:N90)</f>
        <v>1720</v>
      </c>
      <c r="O83" s="98">
        <f>4305-N83</f>
        <v>2585</v>
      </c>
      <c r="P83" s="86"/>
      <c r="Q83" s="86"/>
    </row>
    <row r="84" spans="1:17">
      <c r="A84" s="6">
        <v>46062</v>
      </c>
      <c r="B84" s="4">
        <v>0</v>
      </c>
      <c r="C84" s="4">
        <v>0</v>
      </c>
      <c r="D84" s="4">
        <v>45</v>
      </c>
      <c r="E84" s="4">
        <v>1</v>
      </c>
      <c r="F84" s="4">
        <v>50</v>
      </c>
      <c r="G84" s="10">
        <f t="shared" si="26"/>
        <v>0</v>
      </c>
      <c r="H84" s="7">
        <v>0</v>
      </c>
      <c r="I84" s="5">
        <f t="shared" ref="I84:I90" si="27">G84*D84</f>
        <v>0</v>
      </c>
      <c r="J84" s="5">
        <f t="shared" ref="J84:J90" si="28">I84-H84</f>
        <v>0</v>
      </c>
      <c r="K84">
        <v>0</v>
      </c>
      <c r="N84" s="119">
        <v>0</v>
      </c>
      <c r="O84" s="51"/>
      <c r="P84" s="115"/>
    </row>
    <row r="85" spans="1:17">
      <c r="A85" s="6">
        <v>46063</v>
      </c>
      <c r="B85" s="4">
        <v>10</v>
      </c>
      <c r="C85" s="4">
        <v>44</v>
      </c>
      <c r="D85" s="4">
        <v>55</v>
      </c>
      <c r="E85" s="4">
        <v>1</v>
      </c>
      <c r="F85" s="4">
        <v>50</v>
      </c>
      <c r="G85" s="10">
        <f t="shared" si="26"/>
        <v>10.733333333333333</v>
      </c>
      <c r="H85" s="4">
        <v>50</v>
      </c>
      <c r="I85" s="5">
        <f t="shared" si="27"/>
        <v>590.33333333333326</v>
      </c>
      <c r="J85" s="5">
        <f t="shared" si="28"/>
        <v>540.33333333333326</v>
      </c>
      <c r="K85">
        <v>31</v>
      </c>
      <c r="N85" s="119">
        <v>0</v>
      </c>
    </row>
    <row r="86" spans="1:17">
      <c r="A86" s="6">
        <v>46064</v>
      </c>
      <c r="B86" s="4">
        <v>9</v>
      </c>
      <c r="C86" s="4">
        <v>7</v>
      </c>
      <c r="D86" s="4">
        <v>55</v>
      </c>
      <c r="E86" s="4">
        <v>1</v>
      </c>
      <c r="F86" s="4">
        <v>50</v>
      </c>
      <c r="G86" s="10">
        <f t="shared" si="26"/>
        <v>9.1166666666666671</v>
      </c>
      <c r="H86" s="4">
        <v>50</v>
      </c>
      <c r="I86" s="5">
        <f t="shared" si="27"/>
        <v>501.41666666666669</v>
      </c>
      <c r="J86" s="5">
        <f t="shared" si="28"/>
        <v>451.41666666666669</v>
      </c>
      <c r="K86">
        <v>27</v>
      </c>
      <c r="N86" s="83">
        <f>220+150</f>
        <v>370</v>
      </c>
      <c r="P86" t="s">
        <v>27</v>
      </c>
      <c r="Q86" t="s">
        <v>64</v>
      </c>
    </row>
    <row r="87" spans="1:17">
      <c r="A87" s="6">
        <v>46065</v>
      </c>
      <c r="B87" s="4">
        <v>8</v>
      </c>
      <c r="C87" s="4">
        <v>44</v>
      </c>
      <c r="D87" s="4">
        <v>45</v>
      </c>
      <c r="E87" s="4">
        <v>1</v>
      </c>
      <c r="F87" s="4">
        <v>50</v>
      </c>
      <c r="G87" s="10">
        <f t="shared" si="26"/>
        <v>8.7333333333333325</v>
      </c>
      <c r="H87" s="4">
        <v>50</v>
      </c>
      <c r="I87" s="5">
        <f t="shared" si="27"/>
        <v>392.99999999999994</v>
      </c>
      <c r="J87" s="5">
        <f t="shared" si="28"/>
        <v>342.99999999999994</v>
      </c>
      <c r="K87">
        <v>23</v>
      </c>
      <c r="N87" s="119">
        <v>0</v>
      </c>
    </row>
    <row r="88" spans="1:17">
      <c r="A88" s="6">
        <v>46066</v>
      </c>
      <c r="B88" s="4">
        <v>10</v>
      </c>
      <c r="C88" s="4">
        <v>15</v>
      </c>
      <c r="D88" s="4">
        <v>55</v>
      </c>
      <c r="E88" s="4">
        <v>1</v>
      </c>
      <c r="F88" s="4">
        <v>50</v>
      </c>
      <c r="G88" s="10">
        <f t="shared" si="26"/>
        <v>10.25</v>
      </c>
      <c r="H88" s="4">
        <v>50</v>
      </c>
      <c r="I88" s="5">
        <f t="shared" si="27"/>
        <v>563.75</v>
      </c>
      <c r="J88" s="5">
        <f t="shared" si="28"/>
        <v>513.75</v>
      </c>
      <c r="K88">
        <v>27</v>
      </c>
      <c r="N88" s="119">
        <v>0</v>
      </c>
    </row>
    <row r="89" spans="1:17">
      <c r="A89" s="6">
        <v>46067</v>
      </c>
      <c r="B89" s="4">
        <v>9</v>
      </c>
      <c r="C89" s="4">
        <v>25</v>
      </c>
      <c r="D89" s="4">
        <v>55</v>
      </c>
      <c r="E89" s="4">
        <v>1</v>
      </c>
      <c r="F89" s="4">
        <v>50</v>
      </c>
      <c r="G89" s="10">
        <f t="shared" si="26"/>
        <v>9.4166666666666661</v>
      </c>
      <c r="H89" s="4">
        <v>50</v>
      </c>
      <c r="I89" s="5">
        <f t="shared" si="27"/>
        <v>517.91666666666663</v>
      </c>
      <c r="J89" s="5">
        <f t="shared" si="28"/>
        <v>467.91666666666663</v>
      </c>
      <c r="K89">
        <v>30</v>
      </c>
      <c r="N89" s="119">
        <f>150</f>
        <v>150</v>
      </c>
    </row>
    <row r="90" spans="1:17" ht="16" thickBot="1">
      <c r="A90" s="6">
        <v>46068</v>
      </c>
      <c r="B90" s="4">
        <v>9</v>
      </c>
      <c r="C90" s="4">
        <v>27</v>
      </c>
      <c r="D90" s="4">
        <v>55</v>
      </c>
      <c r="E90" s="4">
        <v>1</v>
      </c>
      <c r="F90" s="4">
        <v>50</v>
      </c>
      <c r="G90" s="10">
        <f t="shared" si="26"/>
        <v>9.4499999999999993</v>
      </c>
      <c r="H90" s="4">
        <v>50</v>
      </c>
      <c r="I90" s="5">
        <f t="shared" si="27"/>
        <v>519.75</v>
      </c>
      <c r="J90" s="5">
        <f t="shared" si="28"/>
        <v>469.75</v>
      </c>
      <c r="K90">
        <v>30</v>
      </c>
      <c r="N90" s="119">
        <v>1200</v>
      </c>
    </row>
    <row r="91" spans="1:17" ht="20" thickBot="1">
      <c r="A91" s="91" t="s">
        <v>78</v>
      </c>
      <c r="B91" s="8">
        <f>SUM(B92:B98)</f>
        <v>44</v>
      </c>
      <c r="C91" s="8">
        <f>SUM(C92:C98)</f>
        <v>190</v>
      </c>
      <c r="D91" s="8">
        <v>45</v>
      </c>
      <c r="E91" s="8">
        <f>SUM(E92:E98)</f>
        <v>7</v>
      </c>
      <c r="F91" s="8">
        <f>SUM(F92:F98)</f>
        <v>350</v>
      </c>
      <c r="G91" s="93">
        <f t="shared" si="26"/>
        <v>47.166666666666664</v>
      </c>
      <c r="H91" s="8">
        <f>SUM(H92:H98)</f>
        <v>300</v>
      </c>
      <c r="I91" s="9">
        <f>SUM(I92:I98)</f>
        <v>2582.5</v>
      </c>
      <c r="J91" s="14">
        <f>SUM(J92:J98)</f>
        <v>2282.5</v>
      </c>
      <c r="K91" s="8">
        <f>SUM(K92:K98)</f>
        <v>152</v>
      </c>
      <c r="L91" s="9">
        <v>0</v>
      </c>
      <c r="M91" s="96">
        <f>J91</f>
        <v>2282.5</v>
      </c>
      <c r="N91" s="102">
        <f>SUM(N92:N98)</f>
        <v>1000</v>
      </c>
      <c r="O91" s="98">
        <f>4279-N91</f>
        <v>3279</v>
      </c>
      <c r="P91" s="86"/>
      <c r="Q91" s="86"/>
    </row>
    <row r="92" spans="1:17">
      <c r="A92" s="80" t="s">
        <v>201</v>
      </c>
      <c r="B92" s="4">
        <v>8</v>
      </c>
      <c r="C92" s="4">
        <v>59</v>
      </c>
      <c r="D92" s="4">
        <v>55</v>
      </c>
      <c r="E92" s="4">
        <v>1</v>
      </c>
      <c r="F92" s="4">
        <v>50</v>
      </c>
      <c r="G92" s="10">
        <f t="shared" si="26"/>
        <v>8.9833333333333325</v>
      </c>
      <c r="H92" s="4">
        <v>50</v>
      </c>
      <c r="I92" s="5">
        <f t="shared" ref="I92:I98" si="29">G92*D92</f>
        <v>494.08333333333331</v>
      </c>
      <c r="J92" s="5">
        <f t="shared" ref="J92:J98" si="30">I92-H92</f>
        <v>444.08333333333331</v>
      </c>
      <c r="K92">
        <v>30</v>
      </c>
      <c r="N92" s="119">
        <v>0</v>
      </c>
      <c r="O92" s="51"/>
    </row>
    <row r="93" spans="1:17">
      <c r="A93" s="80" t="s">
        <v>202</v>
      </c>
      <c r="B93" s="4">
        <v>9</v>
      </c>
      <c r="C93" s="4">
        <v>10</v>
      </c>
      <c r="D93" s="4">
        <v>55</v>
      </c>
      <c r="E93" s="4">
        <v>1</v>
      </c>
      <c r="F93" s="4">
        <v>50</v>
      </c>
      <c r="G93" s="10">
        <f t="shared" si="26"/>
        <v>9.1666666666666661</v>
      </c>
      <c r="H93" s="4">
        <v>50</v>
      </c>
      <c r="I93" s="5">
        <f t="shared" si="29"/>
        <v>504.16666666666663</v>
      </c>
      <c r="J93" s="5">
        <f t="shared" si="30"/>
        <v>454.16666666666663</v>
      </c>
      <c r="K93">
        <v>28</v>
      </c>
      <c r="N93" s="119">
        <v>0</v>
      </c>
    </row>
    <row r="94" spans="1:17">
      <c r="A94" s="80" t="s">
        <v>232</v>
      </c>
      <c r="B94" s="4">
        <v>8</v>
      </c>
      <c r="C94" s="4">
        <v>27</v>
      </c>
      <c r="D94" s="4">
        <v>55</v>
      </c>
      <c r="E94" s="4">
        <v>1</v>
      </c>
      <c r="F94" s="4">
        <v>50</v>
      </c>
      <c r="G94" s="10">
        <f t="shared" si="26"/>
        <v>8.4499999999999993</v>
      </c>
      <c r="H94" s="4">
        <v>50</v>
      </c>
      <c r="I94" s="5">
        <f t="shared" si="29"/>
        <v>464.74999999999994</v>
      </c>
      <c r="J94" s="5">
        <f t="shared" si="30"/>
        <v>414.74999999999994</v>
      </c>
      <c r="K94">
        <v>30</v>
      </c>
      <c r="N94" s="82">
        <v>1000</v>
      </c>
      <c r="Q94" t="s">
        <v>64</v>
      </c>
    </row>
    <row r="95" spans="1:17">
      <c r="A95" s="80" t="s">
        <v>205</v>
      </c>
      <c r="B95" s="4">
        <v>9</v>
      </c>
      <c r="C95" s="4">
        <v>19</v>
      </c>
      <c r="D95" s="4">
        <v>45</v>
      </c>
      <c r="E95" s="4">
        <v>1</v>
      </c>
      <c r="F95" s="4">
        <v>50</v>
      </c>
      <c r="G95" s="10">
        <f t="shared" si="26"/>
        <v>9.3166666666666664</v>
      </c>
      <c r="H95" s="4">
        <v>50</v>
      </c>
      <c r="I95" s="5">
        <f t="shared" si="29"/>
        <v>419.25</v>
      </c>
      <c r="J95" s="5">
        <f t="shared" si="30"/>
        <v>369.25</v>
      </c>
      <c r="K95">
        <v>26</v>
      </c>
      <c r="N95" s="119">
        <v>0</v>
      </c>
    </row>
    <row r="96" spans="1:17">
      <c r="A96" s="80" t="s">
        <v>206</v>
      </c>
      <c r="B96" s="4">
        <v>0</v>
      </c>
      <c r="C96" s="4">
        <v>0</v>
      </c>
      <c r="D96" s="4">
        <v>45</v>
      </c>
      <c r="E96" s="4">
        <v>1</v>
      </c>
      <c r="F96" s="4">
        <v>50</v>
      </c>
      <c r="G96" s="10">
        <f t="shared" si="26"/>
        <v>0</v>
      </c>
      <c r="H96" s="4">
        <v>0</v>
      </c>
      <c r="I96" s="5">
        <f t="shared" si="29"/>
        <v>0</v>
      </c>
      <c r="J96" s="5">
        <f t="shared" si="30"/>
        <v>0</v>
      </c>
      <c r="K96">
        <v>0</v>
      </c>
      <c r="N96" s="119">
        <v>0</v>
      </c>
    </row>
    <row r="97" spans="1:17">
      <c r="A97" s="80" t="s">
        <v>208</v>
      </c>
      <c r="B97" s="4">
        <v>9</v>
      </c>
      <c r="C97" s="4">
        <v>42</v>
      </c>
      <c r="D97" s="4">
        <v>65</v>
      </c>
      <c r="E97" s="4">
        <v>1</v>
      </c>
      <c r="F97" s="4">
        <v>50</v>
      </c>
      <c r="G97" s="10">
        <f t="shared" si="26"/>
        <v>9.6999999999999993</v>
      </c>
      <c r="H97" s="4">
        <v>50</v>
      </c>
      <c r="I97" s="5">
        <f t="shared" si="29"/>
        <v>630.5</v>
      </c>
      <c r="J97" s="5">
        <f t="shared" si="30"/>
        <v>580.5</v>
      </c>
      <c r="K97">
        <v>32</v>
      </c>
      <c r="N97" s="119">
        <v>0</v>
      </c>
    </row>
    <row r="98" spans="1:17" ht="16" thickBot="1">
      <c r="A98" s="6">
        <v>46068</v>
      </c>
      <c r="B98" s="4">
        <v>1</v>
      </c>
      <c r="C98" s="4">
        <v>33</v>
      </c>
      <c r="D98" s="4">
        <v>45</v>
      </c>
      <c r="E98" s="4">
        <v>1</v>
      </c>
      <c r="F98" s="4">
        <v>50</v>
      </c>
      <c r="G98" s="10">
        <f t="shared" si="26"/>
        <v>1.55</v>
      </c>
      <c r="H98" s="4">
        <v>50</v>
      </c>
      <c r="I98" s="5">
        <f t="shared" si="29"/>
        <v>69.75</v>
      </c>
      <c r="J98" s="5">
        <f t="shared" si="30"/>
        <v>19.75</v>
      </c>
      <c r="K98">
        <v>6</v>
      </c>
      <c r="N98" s="119">
        <v>0</v>
      </c>
    </row>
    <row r="99" spans="1:17" s="54" customFormat="1" ht="20" thickBot="1">
      <c r="A99" s="72" t="s">
        <v>81</v>
      </c>
      <c r="B99" s="44">
        <f>SUM(B100:B106)</f>
        <v>67</v>
      </c>
      <c r="C99" s="44">
        <f>SUM(C100:C106)</f>
        <v>182</v>
      </c>
      <c r="D99" s="44">
        <v>45</v>
      </c>
      <c r="E99" s="44">
        <f>SUM(E100:E106)</f>
        <v>7</v>
      </c>
      <c r="F99" s="44">
        <f>SUM(F100:F106)</f>
        <v>350</v>
      </c>
      <c r="G99" s="67">
        <f t="shared" si="26"/>
        <v>70.033333333333331</v>
      </c>
      <c r="H99" s="44">
        <f>SUM(H100:H106)</f>
        <v>350</v>
      </c>
      <c r="I99" s="47">
        <f>SUM(I100:I106)</f>
        <v>3652.5</v>
      </c>
      <c r="J99" s="47">
        <f>SUM(J100:J106)</f>
        <v>3302.5</v>
      </c>
      <c r="K99" s="44">
        <f>SUM(K100:K106)</f>
        <v>190</v>
      </c>
      <c r="L99" s="46">
        <v>0</v>
      </c>
      <c r="M99" s="69">
        <f>J99</f>
        <v>3302.5</v>
      </c>
      <c r="N99" s="55">
        <f>SUM(N100:N106)</f>
        <v>4704</v>
      </c>
      <c r="O99" s="90">
        <f>4704-N99</f>
        <v>0</v>
      </c>
    </row>
    <row r="100" spans="1:17">
      <c r="A100" s="80" t="s">
        <v>233</v>
      </c>
      <c r="B100" s="4">
        <v>9</v>
      </c>
      <c r="C100" s="4">
        <v>2</v>
      </c>
      <c r="D100" s="4">
        <v>55</v>
      </c>
      <c r="E100" s="4">
        <v>1</v>
      </c>
      <c r="F100" s="4">
        <v>50</v>
      </c>
      <c r="G100" s="10">
        <f t="shared" si="26"/>
        <v>9.0333333333333332</v>
      </c>
      <c r="H100" s="4">
        <v>50</v>
      </c>
      <c r="I100" s="5">
        <f t="shared" ref="I100:I106" si="31">G100*D100</f>
        <v>496.83333333333331</v>
      </c>
      <c r="J100" s="5">
        <f t="shared" ref="J100:J106" si="32">I100-H100</f>
        <v>446.83333333333331</v>
      </c>
      <c r="K100">
        <v>27</v>
      </c>
      <c r="N100" s="119">
        <f>200+360</f>
        <v>560</v>
      </c>
      <c r="O100" s="51"/>
      <c r="P100" t="s">
        <v>234</v>
      </c>
    </row>
    <row r="101" spans="1:17">
      <c r="A101" s="80" t="s">
        <v>235</v>
      </c>
      <c r="B101" s="4">
        <v>10</v>
      </c>
      <c r="C101" s="4">
        <v>55</v>
      </c>
      <c r="D101" s="4">
        <v>55</v>
      </c>
      <c r="E101" s="4">
        <v>1</v>
      </c>
      <c r="F101" s="4">
        <v>50</v>
      </c>
      <c r="G101" s="10">
        <f t="shared" si="26"/>
        <v>10.916666666666666</v>
      </c>
      <c r="H101" s="4">
        <v>50</v>
      </c>
      <c r="I101" s="5">
        <f t="shared" si="31"/>
        <v>600.41666666666663</v>
      </c>
      <c r="J101" s="5">
        <f t="shared" si="32"/>
        <v>550.41666666666663</v>
      </c>
      <c r="K101">
        <v>30</v>
      </c>
      <c r="N101" s="119">
        <v>244</v>
      </c>
      <c r="P101" t="s">
        <v>181</v>
      </c>
    </row>
    <row r="102" spans="1:17">
      <c r="A102" s="80" t="s">
        <v>222</v>
      </c>
      <c r="B102" s="4">
        <v>9</v>
      </c>
      <c r="C102" s="4">
        <v>53</v>
      </c>
      <c r="D102" s="4">
        <v>45</v>
      </c>
      <c r="E102" s="4">
        <v>1</v>
      </c>
      <c r="F102" s="4">
        <v>50</v>
      </c>
      <c r="G102" s="10">
        <f t="shared" si="26"/>
        <v>9.8833333333333329</v>
      </c>
      <c r="H102" s="4">
        <v>50</v>
      </c>
      <c r="I102" s="5">
        <f t="shared" si="31"/>
        <v>444.75</v>
      </c>
      <c r="J102" s="5">
        <f t="shared" si="32"/>
        <v>394.75</v>
      </c>
      <c r="K102">
        <v>26</v>
      </c>
      <c r="N102" s="119">
        <f>200+600</f>
        <v>800</v>
      </c>
      <c r="P102" t="s">
        <v>61</v>
      </c>
      <c r="Q102" t="s">
        <v>64</v>
      </c>
    </row>
    <row r="103" spans="1:17">
      <c r="A103" s="80" t="s">
        <v>236</v>
      </c>
      <c r="B103" s="4">
        <v>10</v>
      </c>
      <c r="C103" s="4">
        <v>48</v>
      </c>
      <c r="D103" s="4">
        <v>55</v>
      </c>
      <c r="E103" s="4">
        <v>1</v>
      </c>
      <c r="F103" s="4">
        <v>50</v>
      </c>
      <c r="G103" s="10">
        <f t="shared" si="26"/>
        <v>10.8</v>
      </c>
      <c r="H103" s="4">
        <v>50</v>
      </c>
      <c r="I103" s="5">
        <f t="shared" si="31"/>
        <v>594</v>
      </c>
      <c r="J103" s="5">
        <f t="shared" si="32"/>
        <v>544</v>
      </c>
      <c r="K103">
        <v>28</v>
      </c>
      <c r="N103" s="82">
        <f>690+200+350</f>
        <v>1240</v>
      </c>
      <c r="P103" t="s">
        <v>237</v>
      </c>
    </row>
    <row r="104" spans="1:17">
      <c r="A104" s="6" t="s">
        <v>238</v>
      </c>
      <c r="B104" s="4">
        <v>10</v>
      </c>
      <c r="C104" s="4">
        <v>19</v>
      </c>
      <c r="D104" s="4">
        <v>55</v>
      </c>
      <c r="E104" s="4">
        <v>1</v>
      </c>
      <c r="F104" s="4">
        <v>50</v>
      </c>
      <c r="G104" s="10">
        <f t="shared" si="26"/>
        <v>10.316666666666666</v>
      </c>
      <c r="H104" s="4">
        <v>50</v>
      </c>
      <c r="I104" s="5">
        <f t="shared" si="31"/>
        <v>567.41666666666663</v>
      </c>
      <c r="J104" s="5">
        <f t="shared" si="32"/>
        <v>517.41666666666663</v>
      </c>
      <c r="K104">
        <v>27</v>
      </c>
      <c r="N104" s="119">
        <f>470+100</f>
        <v>570</v>
      </c>
      <c r="P104" t="s">
        <v>239</v>
      </c>
    </row>
    <row r="105" spans="1:17">
      <c r="A105" s="6" t="s">
        <v>240</v>
      </c>
      <c r="B105" s="4">
        <v>9</v>
      </c>
      <c r="C105" s="4">
        <v>2</v>
      </c>
      <c r="D105" s="4">
        <v>55</v>
      </c>
      <c r="E105" s="4">
        <v>1</v>
      </c>
      <c r="F105" s="4">
        <v>50</v>
      </c>
      <c r="G105" s="10">
        <f t="shared" si="26"/>
        <v>9.0333333333333332</v>
      </c>
      <c r="H105" s="4">
        <v>50</v>
      </c>
      <c r="I105" s="5">
        <f t="shared" si="31"/>
        <v>496.83333333333331</v>
      </c>
      <c r="J105" s="5">
        <f t="shared" si="32"/>
        <v>446.83333333333331</v>
      </c>
      <c r="K105">
        <v>28</v>
      </c>
      <c r="N105" s="119">
        <v>200</v>
      </c>
      <c r="P105" t="s">
        <v>53</v>
      </c>
    </row>
    <row r="106" spans="1:17" ht="16" thickBot="1">
      <c r="A106" s="6" t="s">
        <v>241</v>
      </c>
      <c r="B106" s="4">
        <v>10</v>
      </c>
      <c r="C106" s="4">
        <v>3</v>
      </c>
      <c r="D106" s="4">
        <v>45</v>
      </c>
      <c r="E106" s="4">
        <v>1</v>
      </c>
      <c r="F106" s="4">
        <v>50</v>
      </c>
      <c r="G106" s="10">
        <f t="shared" si="26"/>
        <v>10.050000000000001</v>
      </c>
      <c r="H106" s="4">
        <v>50</v>
      </c>
      <c r="I106" s="5">
        <f t="shared" si="31"/>
        <v>452.25000000000006</v>
      </c>
      <c r="J106" s="5">
        <f t="shared" si="32"/>
        <v>402.25000000000006</v>
      </c>
      <c r="K106">
        <v>24</v>
      </c>
      <c r="N106" s="119">
        <f>750+200+140</f>
        <v>1090</v>
      </c>
      <c r="P106" t="s">
        <v>84</v>
      </c>
    </row>
    <row r="107" spans="1:17" s="86" customFormat="1" ht="20" thickBot="1">
      <c r="A107" s="91" t="s">
        <v>90</v>
      </c>
      <c r="B107" s="8">
        <f>SUM(B108:B114)</f>
        <v>59</v>
      </c>
      <c r="C107" s="8">
        <f>SUM(C108:C114)</f>
        <v>224</v>
      </c>
      <c r="D107" s="8">
        <f>SUM(D108)</f>
        <v>45</v>
      </c>
      <c r="E107" s="8">
        <f>SUM(E108:E114)</f>
        <v>6</v>
      </c>
      <c r="F107" s="8">
        <f>SUM(F108:F113)</f>
        <v>300</v>
      </c>
      <c r="G107" s="93">
        <f t="shared" si="26"/>
        <v>62.733333333333334</v>
      </c>
      <c r="H107" s="8">
        <f>SUM(H108:H113)</f>
        <v>250</v>
      </c>
      <c r="I107" s="9">
        <f>SUM(I108:I113)</f>
        <v>2871.75</v>
      </c>
      <c r="J107" s="14">
        <f>SUM(J108:J113)</f>
        <v>2621.75</v>
      </c>
      <c r="K107" s="8">
        <f>SUM(K108:K114)</f>
        <v>210</v>
      </c>
      <c r="L107" s="9">
        <v>0</v>
      </c>
      <c r="M107" s="96">
        <f>J107</f>
        <v>2621.75</v>
      </c>
      <c r="N107" s="129">
        <f>SUM(N108:N113)</f>
        <v>5130</v>
      </c>
      <c r="O107" s="98">
        <f>5441-N107</f>
        <v>311</v>
      </c>
    </row>
    <row r="108" spans="1:17">
      <c r="A108" s="80" t="s">
        <v>242</v>
      </c>
      <c r="B108" s="7">
        <v>0</v>
      </c>
      <c r="C108" s="7">
        <v>0</v>
      </c>
      <c r="D108" s="4">
        <v>45</v>
      </c>
      <c r="E108" s="4">
        <v>1</v>
      </c>
      <c r="F108" s="4">
        <v>50</v>
      </c>
      <c r="G108" s="10">
        <f>B108+C108/60</f>
        <v>0</v>
      </c>
      <c r="H108" s="7">
        <v>0</v>
      </c>
      <c r="I108" s="5">
        <f t="shared" ref="I108:I113" si="33">G108*D108</f>
        <v>0</v>
      </c>
      <c r="J108" s="5">
        <f>I108-H108</f>
        <v>0</v>
      </c>
      <c r="K108">
        <v>0</v>
      </c>
      <c r="N108" s="119">
        <v>0</v>
      </c>
      <c r="O108" s="51"/>
    </row>
    <row r="109" spans="1:17">
      <c r="A109" s="80" t="s">
        <v>202</v>
      </c>
      <c r="B109" s="4">
        <v>9</v>
      </c>
      <c r="C109" s="4">
        <v>56</v>
      </c>
      <c r="D109" s="4">
        <v>65</v>
      </c>
      <c r="E109" s="4">
        <v>1</v>
      </c>
      <c r="F109" s="4">
        <v>50</v>
      </c>
      <c r="G109" s="10">
        <f t="shared" ref="G109:G111" si="34">B109+C109/60</f>
        <v>9.9333333333333336</v>
      </c>
      <c r="H109" s="4">
        <v>50</v>
      </c>
      <c r="I109" s="5">
        <f t="shared" si="33"/>
        <v>645.66666666666663</v>
      </c>
      <c r="J109" s="5">
        <f>I109-H109</f>
        <v>595.66666666666663</v>
      </c>
      <c r="K109">
        <v>40</v>
      </c>
      <c r="N109" s="82">
        <v>800</v>
      </c>
    </row>
    <row r="110" spans="1:17">
      <c r="A110" s="80" t="s">
        <v>243</v>
      </c>
      <c r="B110" s="4">
        <v>10</v>
      </c>
      <c r="C110" s="4">
        <v>17</v>
      </c>
      <c r="D110" s="4">
        <v>65</v>
      </c>
      <c r="E110" s="4">
        <v>1</v>
      </c>
      <c r="F110" s="4">
        <v>50</v>
      </c>
      <c r="G110" s="10">
        <f t="shared" si="34"/>
        <v>10.283333333333333</v>
      </c>
      <c r="H110" s="4">
        <v>50</v>
      </c>
      <c r="I110" s="5">
        <f t="shared" si="33"/>
        <v>668.41666666666663</v>
      </c>
      <c r="J110" s="5">
        <f t="shared" ref="J110:J113" si="35">I110-H110</f>
        <v>618.41666666666663</v>
      </c>
      <c r="K110">
        <v>40</v>
      </c>
      <c r="N110" s="119">
        <v>0</v>
      </c>
      <c r="Q110" t="s">
        <v>64</v>
      </c>
    </row>
    <row r="111" spans="1:17">
      <c r="A111" s="80" t="s">
        <v>205</v>
      </c>
      <c r="B111" s="4">
        <v>8</v>
      </c>
      <c r="C111" s="4">
        <v>2</v>
      </c>
      <c r="D111" s="4">
        <v>55</v>
      </c>
      <c r="E111" s="4">
        <v>1</v>
      </c>
      <c r="F111" s="4">
        <v>50</v>
      </c>
      <c r="G111" s="10">
        <f t="shared" si="34"/>
        <v>8.0333333333333332</v>
      </c>
      <c r="H111" s="4">
        <v>50</v>
      </c>
      <c r="I111" s="5">
        <f t="shared" si="33"/>
        <v>441.83333333333331</v>
      </c>
      <c r="J111" s="5">
        <f t="shared" si="35"/>
        <v>391.83333333333331</v>
      </c>
      <c r="K111">
        <v>31</v>
      </c>
      <c r="N111" s="83">
        <v>830</v>
      </c>
    </row>
    <row r="112" spans="1:17">
      <c r="A112" s="80" t="s">
        <v>206</v>
      </c>
      <c r="B112" s="4">
        <v>8</v>
      </c>
      <c r="C112" s="4">
        <v>12</v>
      </c>
      <c r="D112" s="4">
        <v>65</v>
      </c>
      <c r="E112" s="4">
        <v>1</v>
      </c>
      <c r="F112" s="4">
        <v>50</v>
      </c>
      <c r="G112" s="10">
        <f t="shared" ref="G112:G121" si="36">B112+C112/60</f>
        <v>8.1999999999999993</v>
      </c>
      <c r="H112" s="4">
        <v>50</v>
      </c>
      <c r="I112" s="5">
        <f t="shared" si="33"/>
        <v>533</v>
      </c>
      <c r="J112" s="5">
        <f t="shared" si="35"/>
        <v>483</v>
      </c>
      <c r="K112">
        <v>37</v>
      </c>
      <c r="N112" s="119">
        <v>0</v>
      </c>
    </row>
    <row r="113" spans="1:17" ht="16" thickBot="1">
      <c r="A113" s="80" t="s">
        <v>244</v>
      </c>
      <c r="B113" s="4">
        <v>8</v>
      </c>
      <c r="C113" s="4">
        <v>58</v>
      </c>
      <c r="D113" s="4">
        <v>65</v>
      </c>
      <c r="E113" s="4">
        <v>1</v>
      </c>
      <c r="F113" s="4">
        <v>50</v>
      </c>
      <c r="G113" s="10">
        <f t="shared" si="36"/>
        <v>8.9666666666666668</v>
      </c>
      <c r="H113" s="4">
        <v>50</v>
      </c>
      <c r="I113" s="5">
        <f t="shared" si="33"/>
        <v>582.83333333333337</v>
      </c>
      <c r="J113" s="5">
        <f t="shared" si="35"/>
        <v>532.83333333333337</v>
      </c>
      <c r="K113">
        <v>36</v>
      </c>
      <c r="N113" s="119">
        <f>2300+1200</f>
        <v>3500</v>
      </c>
    </row>
    <row r="114" spans="1:17" s="86" customFormat="1" ht="20" thickBot="1">
      <c r="A114" s="91" t="s">
        <v>245</v>
      </c>
      <c r="B114" s="8">
        <f>SUM(B115:B121)</f>
        <v>16</v>
      </c>
      <c r="C114" s="8">
        <f t="shared" ref="C114:F114" si="37">SUM(C115:C121)</f>
        <v>79</v>
      </c>
      <c r="D114" s="126">
        <f>SUM(D115)</f>
        <v>45</v>
      </c>
      <c r="E114" s="126">
        <f t="shared" si="37"/>
        <v>0</v>
      </c>
      <c r="F114" s="126">
        <f t="shared" si="37"/>
        <v>350</v>
      </c>
      <c r="G114" s="123">
        <f t="shared" si="36"/>
        <v>17.316666666666666</v>
      </c>
      <c r="H114" s="8">
        <f>SUM(H115:H121)</f>
        <v>100</v>
      </c>
      <c r="I114" s="14">
        <f>SUM(I115:I121)</f>
        <v>779.25</v>
      </c>
      <c r="J114" s="14">
        <f>SUM(J115:J121)</f>
        <v>679.25</v>
      </c>
      <c r="K114" s="8">
        <f>SUM(K115:K121)</f>
        <v>26</v>
      </c>
      <c r="L114" s="9">
        <v>0</v>
      </c>
      <c r="M114" s="96">
        <f>J114</f>
        <v>679.25</v>
      </c>
      <c r="N114" s="102">
        <f>SUM(N115:N121)</f>
        <v>660</v>
      </c>
      <c r="O114" s="98">
        <f>815-N114</f>
        <v>155</v>
      </c>
    </row>
    <row r="115" spans="1:17">
      <c r="A115" s="80" t="s">
        <v>233</v>
      </c>
      <c r="B115" s="7">
        <v>8</v>
      </c>
      <c r="C115" s="7">
        <v>59</v>
      </c>
      <c r="D115" s="4">
        <v>45</v>
      </c>
      <c r="E115" s="4">
        <v>0</v>
      </c>
      <c r="F115" s="4">
        <v>50</v>
      </c>
      <c r="G115" s="10">
        <f t="shared" si="36"/>
        <v>8.9833333333333325</v>
      </c>
      <c r="H115" s="4">
        <v>50</v>
      </c>
      <c r="I115" s="5">
        <f>G115*D115</f>
        <v>404.24999999999994</v>
      </c>
      <c r="J115" s="5">
        <f t="shared" ref="J115:J121" si="38">I115-H115</f>
        <v>354.24999999999994</v>
      </c>
      <c r="K115">
        <v>14</v>
      </c>
      <c r="N115" s="119">
        <v>150</v>
      </c>
      <c r="O115" s="51"/>
    </row>
    <row r="116" spans="1:17">
      <c r="A116" s="80" t="s">
        <v>202</v>
      </c>
      <c r="B116" s="4">
        <v>8</v>
      </c>
      <c r="C116" s="4">
        <v>20</v>
      </c>
      <c r="D116" s="4">
        <v>45</v>
      </c>
      <c r="E116" s="4">
        <v>0</v>
      </c>
      <c r="F116" s="4">
        <v>50</v>
      </c>
      <c r="G116" s="10">
        <f t="shared" si="36"/>
        <v>8.3333333333333339</v>
      </c>
      <c r="H116" s="4">
        <v>50</v>
      </c>
      <c r="I116" s="5">
        <f>G116*D116</f>
        <v>375</v>
      </c>
      <c r="J116" s="5">
        <f t="shared" si="38"/>
        <v>325</v>
      </c>
      <c r="K116">
        <v>12</v>
      </c>
      <c r="N116" s="119">
        <v>510</v>
      </c>
    </row>
    <row r="117" spans="1:17">
      <c r="A117" s="6">
        <v>46064</v>
      </c>
      <c r="B117" s="4">
        <v>0</v>
      </c>
      <c r="C117" s="4">
        <v>0</v>
      </c>
      <c r="D117" s="4">
        <v>45</v>
      </c>
      <c r="E117" s="4">
        <v>0</v>
      </c>
      <c r="F117" s="4">
        <v>50</v>
      </c>
      <c r="G117" s="10">
        <f t="shared" si="36"/>
        <v>0</v>
      </c>
      <c r="H117" s="4">
        <v>0</v>
      </c>
      <c r="I117" s="5">
        <v>0</v>
      </c>
      <c r="J117" s="5">
        <f t="shared" si="38"/>
        <v>0</v>
      </c>
      <c r="K117">
        <v>0</v>
      </c>
      <c r="N117" s="119">
        <v>0</v>
      </c>
      <c r="Q117" t="s">
        <v>64</v>
      </c>
    </row>
    <row r="118" spans="1:17">
      <c r="A118" s="6">
        <v>46065</v>
      </c>
      <c r="B118" s="4">
        <v>0</v>
      </c>
      <c r="C118" s="4">
        <v>0</v>
      </c>
      <c r="D118" s="4">
        <v>45</v>
      </c>
      <c r="E118" s="4">
        <v>0</v>
      </c>
      <c r="F118" s="4">
        <v>50</v>
      </c>
      <c r="G118" s="10">
        <f t="shared" si="36"/>
        <v>0</v>
      </c>
      <c r="H118" s="4">
        <v>0</v>
      </c>
      <c r="I118" s="5">
        <f>G118*D118</f>
        <v>0</v>
      </c>
      <c r="J118" s="5">
        <f t="shared" si="38"/>
        <v>0</v>
      </c>
      <c r="K118">
        <v>0</v>
      </c>
      <c r="N118" s="119">
        <v>0</v>
      </c>
    </row>
    <row r="119" spans="1:17">
      <c r="A119" s="6">
        <v>46066</v>
      </c>
      <c r="B119" s="4">
        <v>0</v>
      </c>
      <c r="C119" s="4">
        <v>0</v>
      </c>
      <c r="D119" s="4">
        <v>45</v>
      </c>
      <c r="E119" s="4">
        <v>0</v>
      </c>
      <c r="F119" s="4">
        <v>50</v>
      </c>
      <c r="G119" s="10">
        <f t="shared" si="36"/>
        <v>0</v>
      </c>
      <c r="H119" s="4">
        <v>0</v>
      </c>
      <c r="I119" s="5">
        <f>G119*D119</f>
        <v>0</v>
      </c>
      <c r="J119" s="5">
        <f t="shared" si="38"/>
        <v>0</v>
      </c>
      <c r="K119">
        <v>0</v>
      </c>
      <c r="N119" s="119">
        <v>0</v>
      </c>
    </row>
    <row r="120" spans="1:17">
      <c r="A120" s="6">
        <v>46067</v>
      </c>
      <c r="B120" s="4">
        <v>0</v>
      </c>
      <c r="C120" s="4">
        <v>0</v>
      </c>
      <c r="D120" s="4">
        <v>45</v>
      </c>
      <c r="E120" s="4">
        <v>0</v>
      </c>
      <c r="F120" s="4">
        <v>50</v>
      </c>
      <c r="G120" s="10">
        <f t="shared" si="36"/>
        <v>0</v>
      </c>
      <c r="H120" s="4">
        <v>0</v>
      </c>
      <c r="I120" s="5">
        <f>G120*D120</f>
        <v>0</v>
      </c>
      <c r="J120" s="5">
        <f t="shared" si="38"/>
        <v>0</v>
      </c>
      <c r="K120">
        <v>0</v>
      </c>
      <c r="N120" s="119">
        <v>0</v>
      </c>
    </row>
    <row r="121" spans="1:17" ht="16" thickBot="1">
      <c r="A121" s="6">
        <v>46068</v>
      </c>
      <c r="B121" s="4">
        <v>0</v>
      </c>
      <c r="C121" s="4">
        <v>0</v>
      </c>
      <c r="D121" s="4">
        <v>45</v>
      </c>
      <c r="E121" s="4">
        <v>0</v>
      </c>
      <c r="F121" s="4">
        <v>50</v>
      </c>
      <c r="G121" s="10">
        <f t="shared" si="36"/>
        <v>0</v>
      </c>
      <c r="H121" s="4">
        <v>0</v>
      </c>
      <c r="I121" s="5">
        <f>G121*D121</f>
        <v>0</v>
      </c>
      <c r="J121" s="5">
        <f t="shared" si="38"/>
        <v>0</v>
      </c>
      <c r="K121">
        <v>0</v>
      </c>
      <c r="N121" s="119">
        <v>0</v>
      </c>
    </row>
    <row r="122" spans="1:17" s="54" customFormat="1" ht="20" thickBot="1">
      <c r="A122" s="72" t="s">
        <v>246</v>
      </c>
      <c r="B122" s="44">
        <f>SUM(B123:B129)</f>
        <v>64</v>
      </c>
      <c r="C122" s="44">
        <f>SUM(C123:C129)</f>
        <v>151</v>
      </c>
      <c r="D122" s="44">
        <f>SUM(D123)</f>
        <v>45</v>
      </c>
      <c r="E122" s="44">
        <f>SUM(E123:E129)</f>
        <v>6</v>
      </c>
      <c r="F122" s="44">
        <f>SUM(F123:F128)</f>
        <v>300</v>
      </c>
      <c r="G122" s="67">
        <f t="shared" ref="G122" si="39">B122+C122/60</f>
        <v>66.516666666666666</v>
      </c>
      <c r="H122" s="44">
        <f>SUM(H123:H128)</f>
        <v>250</v>
      </c>
      <c r="I122" s="46">
        <f>SUM(I123:I128)</f>
        <v>1811.25</v>
      </c>
      <c r="J122" s="47">
        <f>SUM(J123:J128)</f>
        <v>1561.25</v>
      </c>
      <c r="K122" s="44">
        <f>SUM(K123:K129)</f>
        <v>138</v>
      </c>
      <c r="L122" s="46">
        <v>0</v>
      </c>
      <c r="M122" s="69">
        <f>J122</f>
        <v>1561.25</v>
      </c>
      <c r="N122" s="63">
        <f>SUM(N123:N128)</f>
        <v>3659</v>
      </c>
      <c r="O122" s="90">
        <f>3671-N122</f>
        <v>12</v>
      </c>
    </row>
    <row r="123" spans="1:17">
      <c r="A123" s="80" t="s">
        <v>247</v>
      </c>
      <c r="B123" s="7">
        <v>0</v>
      </c>
      <c r="C123" s="7">
        <v>0</v>
      </c>
      <c r="D123" s="4">
        <v>45</v>
      </c>
      <c r="E123" s="4">
        <v>1</v>
      </c>
      <c r="F123" s="4">
        <v>50</v>
      </c>
      <c r="G123" s="10">
        <f>B123+C123/60</f>
        <v>0</v>
      </c>
      <c r="H123" s="7">
        <v>0</v>
      </c>
      <c r="I123" s="5">
        <f t="shared" ref="I123:I128" si="40">G123*D123</f>
        <v>0</v>
      </c>
      <c r="J123" s="5">
        <f>I123-H123</f>
        <v>0</v>
      </c>
      <c r="K123">
        <v>0</v>
      </c>
      <c r="N123" s="119">
        <v>0</v>
      </c>
      <c r="O123" s="51"/>
    </row>
    <row r="124" spans="1:17">
      <c r="A124" s="80" t="s">
        <v>220</v>
      </c>
      <c r="B124" s="4">
        <v>10</v>
      </c>
      <c r="C124" s="4">
        <v>14</v>
      </c>
      <c r="D124" s="4">
        <v>45</v>
      </c>
      <c r="E124" s="4">
        <v>1</v>
      </c>
      <c r="F124" s="4">
        <v>50</v>
      </c>
      <c r="G124" s="10">
        <f t="shared" ref="G124:G126" si="41">B124+C124/60</f>
        <v>10.233333333333333</v>
      </c>
      <c r="H124" s="4">
        <v>50</v>
      </c>
      <c r="I124" s="5">
        <f t="shared" si="40"/>
        <v>460.49999999999994</v>
      </c>
      <c r="J124" s="5">
        <f>I124-H124</f>
        <v>410.49999999999994</v>
      </c>
      <c r="K124">
        <v>21</v>
      </c>
      <c r="N124" s="119">
        <v>200</v>
      </c>
      <c r="P124" t="s">
        <v>53</v>
      </c>
    </row>
    <row r="125" spans="1:17">
      <c r="A125" s="80" t="s">
        <v>232</v>
      </c>
      <c r="B125" s="4">
        <v>7</v>
      </c>
      <c r="C125" s="4">
        <v>7</v>
      </c>
      <c r="D125" s="4">
        <v>45</v>
      </c>
      <c r="E125" s="4">
        <v>1</v>
      </c>
      <c r="F125" s="4">
        <v>50</v>
      </c>
      <c r="G125" s="10">
        <f t="shared" si="41"/>
        <v>7.1166666666666663</v>
      </c>
      <c r="H125" s="4">
        <v>50</v>
      </c>
      <c r="I125" s="5">
        <f t="shared" si="40"/>
        <v>320.25</v>
      </c>
      <c r="J125" s="5">
        <f t="shared" ref="J125:J128" si="42">I125-H125</f>
        <v>270.25</v>
      </c>
      <c r="K125">
        <v>11</v>
      </c>
      <c r="N125" s="119">
        <f>660+150</f>
        <v>810</v>
      </c>
      <c r="P125" t="s">
        <v>248</v>
      </c>
      <c r="Q125" t="s">
        <v>64</v>
      </c>
    </row>
    <row r="126" spans="1:17">
      <c r="A126" s="80" t="s">
        <v>249</v>
      </c>
      <c r="B126" s="4">
        <v>10</v>
      </c>
      <c r="C126" s="4">
        <v>3</v>
      </c>
      <c r="D126" s="4">
        <v>45</v>
      </c>
      <c r="E126" s="4">
        <v>1</v>
      </c>
      <c r="F126" s="4">
        <v>50</v>
      </c>
      <c r="G126" s="10">
        <f t="shared" si="41"/>
        <v>10.050000000000001</v>
      </c>
      <c r="H126" s="4">
        <v>50</v>
      </c>
      <c r="I126" s="5">
        <f t="shared" si="40"/>
        <v>452.25000000000006</v>
      </c>
      <c r="J126" s="5">
        <f t="shared" si="42"/>
        <v>402.25000000000006</v>
      </c>
      <c r="K126">
        <v>21</v>
      </c>
      <c r="N126" s="82">
        <f>150+364+275</f>
        <v>789</v>
      </c>
      <c r="P126" t="s">
        <v>250</v>
      </c>
    </row>
    <row r="127" spans="1:17">
      <c r="A127" s="80" t="s">
        <v>251</v>
      </c>
      <c r="B127" s="4">
        <v>10</v>
      </c>
      <c r="C127" s="4">
        <v>26</v>
      </c>
      <c r="D127" s="4">
        <v>45</v>
      </c>
      <c r="E127" s="4">
        <v>1</v>
      </c>
      <c r="F127" s="4">
        <v>50</v>
      </c>
      <c r="G127" s="10">
        <f t="shared" ref="G127:G152" si="43">B127+C127/60</f>
        <v>10.433333333333334</v>
      </c>
      <c r="H127" s="4">
        <v>50</v>
      </c>
      <c r="I127" s="5">
        <f t="shared" si="40"/>
        <v>469.5</v>
      </c>
      <c r="J127" s="5">
        <f t="shared" si="42"/>
        <v>419.5</v>
      </c>
      <c r="K127">
        <v>21</v>
      </c>
      <c r="N127" s="119">
        <v>200</v>
      </c>
      <c r="P127" t="s">
        <v>89</v>
      </c>
    </row>
    <row r="128" spans="1:17" ht="16" thickBot="1">
      <c r="A128" s="80" t="s">
        <v>252</v>
      </c>
      <c r="B128" s="4">
        <v>2</v>
      </c>
      <c r="C128" s="4">
        <v>25</v>
      </c>
      <c r="D128" s="4">
        <v>45</v>
      </c>
      <c r="E128" s="4">
        <v>1</v>
      </c>
      <c r="F128" s="4">
        <v>50</v>
      </c>
      <c r="G128" s="10">
        <f t="shared" si="43"/>
        <v>2.4166666666666665</v>
      </c>
      <c r="H128" s="4">
        <v>50</v>
      </c>
      <c r="I128" s="5">
        <f t="shared" si="40"/>
        <v>108.75</v>
      </c>
      <c r="J128" s="5">
        <f t="shared" si="42"/>
        <v>58.75</v>
      </c>
      <c r="K128">
        <v>6</v>
      </c>
      <c r="N128" s="119">
        <f>1320+200+140</f>
        <v>1660</v>
      </c>
      <c r="P128" t="s">
        <v>253</v>
      </c>
    </row>
    <row r="129" spans="1:17" ht="20" thickBot="1">
      <c r="A129" s="72" t="s">
        <v>254</v>
      </c>
      <c r="B129" s="44">
        <f>SUM(B130:B136)</f>
        <v>25</v>
      </c>
      <c r="C129" s="44">
        <f t="shared" ref="C129" si="44">SUM(C130:C136)</f>
        <v>76</v>
      </c>
      <c r="D129" s="117">
        <f>SUM(D130)</f>
        <v>45</v>
      </c>
      <c r="E129" s="117">
        <f t="shared" ref="E129" si="45">SUM(E130:E136)</f>
        <v>0</v>
      </c>
      <c r="F129" s="117">
        <f t="shared" ref="F129" si="46">SUM(F130:F136)</f>
        <v>350</v>
      </c>
      <c r="G129" s="120">
        <f t="shared" si="43"/>
        <v>26.266666666666666</v>
      </c>
      <c r="H129" s="44">
        <f>SUM(H130:H136)</f>
        <v>150</v>
      </c>
      <c r="I129" s="47">
        <f>SUM(I130:I136)</f>
        <v>1182</v>
      </c>
      <c r="J129" s="47">
        <f>SUM(J130:J136)</f>
        <v>1032</v>
      </c>
      <c r="K129" s="44">
        <f>SUM(K130:K136)</f>
        <v>58</v>
      </c>
      <c r="L129" s="46">
        <v>0</v>
      </c>
      <c r="M129" s="69">
        <f>J129</f>
        <v>1032</v>
      </c>
      <c r="N129" s="63">
        <f>SUM(N130:N136)</f>
        <v>1867</v>
      </c>
      <c r="O129" s="90">
        <f>1866-N129</f>
        <v>-1</v>
      </c>
      <c r="P129" s="54"/>
      <c r="Q129" s="54"/>
    </row>
    <row r="130" spans="1:17">
      <c r="A130" s="6">
        <v>46062</v>
      </c>
      <c r="B130" s="7">
        <v>0</v>
      </c>
      <c r="C130" s="7">
        <v>0</v>
      </c>
      <c r="D130" s="4">
        <v>45</v>
      </c>
      <c r="E130" s="4">
        <v>0</v>
      </c>
      <c r="F130" s="4">
        <v>50</v>
      </c>
      <c r="G130" s="10">
        <f t="shared" si="43"/>
        <v>0</v>
      </c>
      <c r="H130" s="4">
        <v>0</v>
      </c>
      <c r="I130" s="5">
        <f>G130*D130</f>
        <v>0</v>
      </c>
      <c r="J130" s="5">
        <f t="shared" ref="J130:J136" si="47">I130-H130</f>
        <v>0</v>
      </c>
      <c r="K130">
        <v>0</v>
      </c>
      <c r="N130" s="119">
        <v>0</v>
      </c>
      <c r="O130" s="51"/>
    </row>
    <row r="131" spans="1:17">
      <c r="A131" s="6">
        <v>46063</v>
      </c>
      <c r="B131" s="4">
        <v>0</v>
      </c>
      <c r="C131" s="4">
        <v>0</v>
      </c>
      <c r="D131" s="4">
        <v>45</v>
      </c>
      <c r="E131" s="4">
        <v>0</v>
      </c>
      <c r="F131" s="4">
        <v>50</v>
      </c>
      <c r="G131" s="10">
        <f t="shared" si="43"/>
        <v>0</v>
      </c>
      <c r="H131" s="4">
        <v>0</v>
      </c>
      <c r="I131" s="5">
        <f>G131*D131</f>
        <v>0</v>
      </c>
      <c r="J131" s="5">
        <f t="shared" si="47"/>
        <v>0</v>
      </c>
      <c r="K131">
        <v>0</v>
      </c>
      <c r="N131" s="119">
        <v>0</v>
      </c>
    </row>
    <row r="132" spans="1:17">
      <c r="A132" s="6">
        <v>46064</v>
      </c>
      <c r="B132" s="4">
        <v>0</v>
      </c>
      <c r="C132" s="4">
        <v>0</v>
      </c>
      <c r="D132" s="4">
        <v>45</v>
      </c>
      <c r="E132" s="4">
        <v>0</v>
      </c>
      <c r="F132" s="4">
        <v>50</v>
      </c>
      <c r="G132" s="10">
        <f t="shared" si="43"/>
        <v>0</v>
      </c>
      <c r="H132" s="4">
        <v>0</v>
      </c>
      <c r="I132" s="5">
        <v>0</v>
      </c>
      <c r="J132" s="5">
        <f t="shared" si="47"/>
        <v>0</v>
      </c>
      <c r="K132">
        <v>0</v>
      </c>
      <c r="N132" s="119">
        <v>0</v>
      </c>
      <c r="Q132" t="s">
        <v>64</v>
      </c>
    </row>
    <row r="133" spans="1:17">
      <c r="A133" s="6">
        <v>46065</v>
      </c>
      <c r="B133" s="4">
        <v>0</v>
      </c>
      <c r="C133" s="4">
        <v>0</v>
      </c>
      <c r="D133" s="4">
        <v>45</v>
      </c>
      <c r="E133" s="4">
        <v>0</v>
      </c>
      <c r="F133" s="4">
        <v>50</v>
      </c>
      <c r="G133" s="10">
        <f t="shared" si="43"/>
        <v>0</v>
      </c>
      <c r="H133" s="4">
        <v>0</v>
      </c>
      <c r="I133" s="5">
        <f>G133*D133</f>
        <v>0</v>
      </c>
      <c r="J133" s="5">
        <f t="shared" si="47"/>
        <v>0</v>
      </c>
      <c r="K133">
        <v>0</v>
      </c>
      <c r="N133" s="119"/>
    </row>
    <row r="134" spans="1:17">
      <c r="A134" s="6">
        <v>46066</v>
      </c>
      <c r="B134" s="4">
        <v>8</v>
      </c>
      <c r="C134" s="4">
        <v>26</v>
      </c>
      <c r="D134" s="4">
        <v>45</v>
      </c>
      <c r="E134" s="4">
        <v>0</v>
      </c>
      <c r="F134" s="4">
        <v>50</v>
      </c>
      <c r="G134" s="10">
        <f t="shared" si="43"/>
        <v>8.4333333333333336</v>
      </c>
      <c r="H134" s="4">
        <v>50</v>
      </c>
      <c r="I134" s="5">
        <f>G134*D134</f>
        <v>379.5</v>
      </c>
      <c r="J134" s="5">
        <f t="shared" si="47"/>
        <v>329.5</v>
      </c>
      <c r="K134">
        <v>12</v>
      </c>
      <c r="N134" s="119">
        <v>686</v>
      </c>
    </row>
    <row r="135" spans="1:17">
      <c r="A135" s="6">
        <v>46067</v>
      </c>
      <c r="B135" s="4">
        <v>9</v>
      </c>
      <c r="C135" s="4">
        <v>9</v>
      </c>
      <c r="D135" s="4">
        <v>45</v>
      </c>
      <c r="E135" s="4">
        <v>0</v>
      </c>
      <c r="F135" s="4">
        <v>50</v>
      </c>
      <c r="G135" s="10">
        <f t="shared" si="43"/>
        <v>9.15</v>
      </c>
      <c r="H135" s="4">
        <v>50</v>
      </c>
      <c r="I135" s="5">
        <f>G135*D135</f>
        <v>411.75</v>
      </c>
      <c r="J135" s="5">
        <f t="shared" si="47"/>
        <v>361.75</v>
      </c>
      <c r="K135">
        <v>24</v>
      </c>
      <c r="N135" s="119">
        <v>534</v>
      </c>
    </row>
    <row r="136" spans="1:17" ht="16" thickBot="1">
      <c r="A136" s="6">
        <v>46068</v>
      </c>
      <c r="B136" s="4">
        <v>8</v>
      </c>
      <c r="C136" s="4">
        <v>41</v>
      </c>
      <c r="D136" s="4">
        <v>45</v>
      </c>
      <c r="E136" s="4">
        <v>0</v>
      </c>
      <c r="F136" s="4">
        <v>50</v>
      </c>
      <c r="G136" s="10">
        <f t="shared" si="43"/>
        <v>8.6833333333333336</v>
      </c>
      <c r="H136" s="4">
        <v>50</v>
      </c>
      <c r="I136" s="5">
        <f>G136*D136</f>
        <v>390.75</v>
      </c>
      <c r="J136" s="5">
        <f t="shared" si="47"/>
        <v>340.75</v>
      </c>
      <c r="K136">
        <v>22</v>
      </c>
      <c r="N136" s="119">
        <v>647</v>
      </c>
    </row>
    <row r="137" spans="1:17" s="86" customFormat="1" ht="20" thickBot="1">
      <c r="A137" s="91" t="s">
        <v>255</v>
      </c>
      <c r="B137" s="8">
        <f>SUM(B138:B144)</f>
        <v>39</v>
      </c>
      <c r="C137" s="8">
        <f t="shared" ref="C137" si="48">SUM(C138:C144)</f>
        <v>108</v>
      </c>
      <c r="D137" s="126">
        <f>SUM(D138)</f>
        <v>45</v>
      </c>
      <c r="E137" s="126">
        <f t="shared" ref="E137:F137" si="49">SUM(E138:E144)</f>
        <v>0</v>
      </c>
      <c r="F137" s="126">
        <f t="shared" si="49"/>
        <v>350</v>
      </c>
      <c r="G137" s="123">
        <f t="shared" ref="G137:G144" si="50">B137+C137/60</f>
        <v>40.799999999999997</v>
      </c>
      <c r="H137" s="8">
        <f>SUM(H138:H144)</f>
        <v>200</v>
      </c>
      <c r="I137" s="14">
        <f>SUM(I138:I144)</f>
        <v>1386</v>
      </c>
      <c r="J137" s="14">
        <f>SUM(J138:J144)</f>
        <v>1186</v>
      </c>
      <c r="K137" s="8">
        <f>SUM(K138:K144)</f>
        <v>67</v>
      </c>
      <c r="L137" s="9">
        <v>0</v>
      </c>
      <c r="M137" s="96">
        <f>J137</f>
        <v>1186</v>
      </c>
      <c r="N137" s="129">
        <f>SUM(N138:N144)</f>
        <v>2488</v>
      </c>
      <c r="O137" s="98">
        <f>2488-N137</f>
        <v>0</v>
      </c>
    </row>
    <row r="138" spans="1:17">
      <c r="A138" s="6">
        <v>46062</v>
      </c>
      <c r="B138" s="7">
        <v>0</v>
      </c>
      <c r="C138" s="7">
        <v>0</v>
      </c>
      <c r="D138" s="4">
        <v>45</v>
      </c>
      <c r="E138" s="4">
        <v>0</v>
      </c>
      <c r="F138" s="4">
        <v>50</v>
      </c>
      <c r="G138" s="10">
        <f t="shared" si="50"/>
        <v>0</v>
      </c>
      <c r="H138" s="4">
        <v>0</v>
      </c>
      <c r="I138" s="5">
        <f>G138*D138</f>
        <v>0</v>
      </c>
      <c r="J138" s="5">
        <f t="shared" ref="J138:J144" si="51">I138-H138</f>
        <v>0</v>
      </c>
      <c r="N138" s="119"/>
      <c r="O138" s="51"/>
    </row>
    <row r="139" spans="1:17">
      <c r="A139" s="80" t="s">
        <v>202</v>
      </c>
      <c r="B139" s="4">
        <v>10</v>
      </c>
      <c r="C139" s="4">
        <v>51</v>
      </c>
      <c r="D139" s="4">
        <v>45</v>
      </c>
      <c r="E139" s="4">
        <v>0</v>
      </c>
      <c r="F139" s="4">
        <v>50</v>
      </c>
      <c r="G139" s="10">
        <f t="shared" si="50"/>
        <v>10.85</v>
      </c>
      <c r="H139" s="4">
        <v>50</v>
      </c>
      <c r="I139" s="5">
        <f>G139*D139</f>
        <v>488.25</v>
      </c>
      <c r="J139" s="5">
        <f t="shared" si="51"/>
        <v>438.25</v>
      </c>
      <c r="K139">
        <v>17</v>
      </c>
      <c r="N139" s="119">
        <v>410</v>
      </c>
    </row>
    <row r="140" spans="1:17">
      <c r="A140" s="80" t="s">
        <v>232</v>
      </c>
      <c r="B140" s="4">
        <v>10</v>
      </c>
      <c r="C140" s="4">
        <v>0</v>
      </c>
      <c r="D140" s="4">
        <v>45</v>
      </c>
      <c r="E140" s="4">
        <v>0</v>
      </c>
      <c r="F140" s="4">
        <v>50</v>
      </c>
      <c r="G140" s="10">
        <f t="shared" si="50"/>
        <v>10</v>
      </c>
      <c r="H140" s="4">
        <v>50</v>
      </c>
      <c r="I140" s="5">
        <v>0</v>
      </c>
      <c r="J140" s="5">
        <f t="shared" si="51"/>
        <v>-50</v>
      </c>
      <c r="K140">
        <v>15</v>
      </c>
      <c r="N140" s="119"/>
      <c r="Q140" t="s">
        <v>64</v>
      </c>
    </row>
    <row r="141" spans="1:17">
      <c r="A141" s="80" t="s">
        <v>256</v>
      </c>
      <c r="B141" s="4">
        <v>0</v>
      </c>
      <c r="C141" s="4">
        <v>0</v>
      </c>
      <c r="D141" s="4">
        <v>45</v>
      </c>
      <c r="E141" s="4">
        <v>0</v>
      </c>
      <c r="F141" s="4">
        <v>50</v>
      </c>
      <c r="G141" s="10">
        <f t="shared" si="50"/>
        <v>0</v>
      </c>
      <c r="H141" s="4"/>
      <c r="I141" s="5">
        <f>G141*D141</f>
        <v>0</v>
      </c>
      <c r="J141" s="5"/>
      <c r="N141" s="119"/>
    </row>
    <row r="142" spans="1:17">
      <c r="A142" s="80" t="s">
        <v>206</v>
      </c>
      <c r="B142" s="4">
        <v>9</v>
      </c>
      <c r="C142" s="4">
        <v>30</v>
      </c>
      <c r="D142" s="4">
        <v>45</v>
      </c>
      <c r="E142" s="4">
        <v>0</v>
      </c>
      <c r="F142" s="4">
        <v>50</v>
      </c>
      <c r="G142" s="10">
        <f t="shared" si="50"/>
        <v>9.5</v>
      </c>
      <c r="H142" s="4">
        <v>50</v>
      </c>
      <c r="I142" s="5">
        <f>G142*D142</f>
        <v>427.5</v>
      </c>
      <c r="J142" s="5">
        <f t="shared" si="51"/>
        <v>377.5</v>
      </c>
      <c r="K142">
        <v>15</v>
      </c>
      <c r="N142" s="119">
        <v>780</v>
      </c>
      <c r="P142" t="s">
        <v>257</v>
      </c>
    </row>
    <row r="143" spans="1:17">
      <c r="A143" s="80" t="s">
        <v>208</v>
      </c>
      <c r="B143" s="4">
        <v>10</v>
      </c>
      <c r="C143" s="4">
        <v>27</v>
      </c>
      <c r="D143" s="4">
        <v>45</v>
      </c>
      <c r="E143" s="4">
        <v>0</v>
      </c>
      <c r="F143" s="4">
        <v>50</v>
      </c>
      <c r="G143" s="10">
        <f t="shared" si="50"/>
        <v>10.45</v>
      </c>
      <c r="H143" s="4">
        <v>50</v>
      </c>
      <c r="I143" s="5">
        <f>G143*D143</f>
        <v>470.24999999999994</v>
      </c>
      <c r="J143" s="5">
        <f t="shared" si="51"/>
        <v>420.24999999999994</v>
      </c>
      <c r="K143">
        <v>20</v>
      </c>
      <c r="N143" s="82">
        <f>678+620</f>
        <v>1298</v>
      </c>
    </row>
    <row r="144" spans="1:17" ht="16" thickBot="1">
      <c r="A144" s="6">
        <v>46068</v>
      </c>
      <c r="B144" s="4">
        <v>0</v>
      </c>
      <c r="C144" s="4">
        <v>0</v>
      </c>
      <c r="D144" s="4">
        <v>45</v>
      </c>
      <c r="E144" s="4">
        <v>0</v>
      </c>
      <c r="F144" s="4">
        <v>50</v>
      </c>
      <c r="G144" s="10">
        <f t="shared" si="50"/>
        <v>0</v>
      </c>
      <c r="H144" s="4">
        <v>0</v>
      </c>
      <c r="I144" s="5">
        <f>G144*D144</f>
        <v>0</v>
      </c>
      <c r="J144" s="5">
        <f t="shared" si="51"/>
        <v>0</v>
      </c>
      <c r="K144">
        <v>0</v>
      </c>
      <c r="N144" s="119"/>
    </row>
    <row r="145" spans="1:17" ht="20" thickBot="1">
      <c r="A145" s="72" t="s">
        <v>258</v>
      </c>
      <c r="B145" s="44">
        <f>SUM(B146:B152)</f>
        <v>44</v>
      </c>
      <c r="C145" s="44">
        <f t="shared" ref="C145" si="52">SUM(C146:C152)</f>
        <v>161</v>
      </c>
      <c r="D145" s="117">
        <f>SUM(D146)</f>
        <v>0</v>
      </c>
      <c r="E145" s="117">
        <f t="shared" ref="E145" si="53">SUM(E146:E152)</f>
        <v>0</v>
      </c>
      <c r="F145" s="117">
        <f t="shared" ref="F145" si="54">SUM(F146:F152)</f>
        <v>300</v>
      </c>
      <c r="G145" s="120">
        <f t="shared" si="43"/>
        <v>46.68333333333333</v>
      </c>
      <c r="H145" s="44">
        <f>SUM(H146:H152)</f>
        <v>250</v>
      </c>
      <c r="I145" s="47">
        <f>SUM(I146:I152)</f>
        <v>2100.75</v>
      </c>
      <c r="J145" s="47">
        <f>SUM(J146:J152)</f>
        <v>1900.75</v>
      </c>
      <c r="K145" s="44">
        <f>SUM(K146:K152)</f>
        <v>70</v>
      </c>
      <c r="L145" s="46">
        <v>0</v>
      </c>
      <c r="M145" s="69">
        <f>J145</f>
        <v>1900.75</v>
      </c>
      <c r="N145" s="63">
        <f>SUM(N146:N152)</f>
        <v>2650</v>
      </c>
      <c r="O145" s="90">
        <f>2654-N145</f>
        <v>4</v>
      </c>
      <c r="P145" s="54"/>
      <c r="Q145" s="54"/>
    </row>
    <row r="146" spans="1:17">
      <c r="A146" s="6">
        <v>46062</v>
      </c>
      <c r="B146" s="7">
        <v>0</v>
      </c>
      <c r="C146" s="7">
        <v>0</v>
      </c>
      <c r="D146" s="4">
        <v>0</v>
      </c>
      <c r="E146" s="4">
        <v>0</v>
      </c>
      <c r="F146" s="4">
        <v>50</v>
      </c>
      <c r="G146" s="10">
        <f t="shared" si="43"/>
        <v>0</v>
      </c>
      <c r="H146" s="4">
        <v>0</v>
      </c>
      <c r="I146" s="5">
        <f t="shared" ref="I146:I152" si="55">G146*D146</f>
        <v>0</v>
      </c>
      <c r="J146" s="5">
        <f t="shared" ref="J146:J152" si="56">I146-H146</f>
        <v>0</v>
      </c>
      <c r="K146">
        <v>0</v>
      </c>
      <c r="N146" s="51">
        <v>0</v>
      </c>
      <c r="O146" s="51"/>
    </row>
    <row r="147" spans="1:17">
      <c r="A147" s="6">
        <v>46063</v>
      </c>
      <c r="B147" s="4">
        <v>6</v>
      </c>
      <c r="C147" s="4">
        <v>46</v>
      </c>
      <c r="D147" s="4">
        <v>45</v>
      </c>
      <c r="E147" s="4">
        <v>0</v>
      </c>
      <c r="F147" s="4">
        <v>50</v>
      </c>
      <c r="G147" s="10">
        <f t="shared" si="43"/>
        <v>6.7666666666666666</v>
      </c>
      <c r="H147" s="4">
        <v>50</v>
      </c>
      <c r="I147" s="5">
        <f t="shared" si="55"/>
        <v>304.5</v>
      </c>
      <c r="J147" s="5">
        <f t="shared" si="56"/>
        <v>254.5</v>
      </c>
      <c r="K147">
        <v>5</v>
      </c>
      <c r="N147" s="51">
        <v>0</v>
      </c>
    </row>
    <row r="148" spans="1:17">
      <c r="A148" s="6">
        <v>46064</v>
      </c>
      <c r="B148" s="4">
        <v>9</v>
      </c>
      <c r="C148" s="4">
        <v>2</v>
      </c>
      <c r="D148" s="4">
        <v>45</v>
      </c>
      <c r="E148" s="4">
        <v>0</v>
      </c>
      <c r="F148" s="4">
        <v>50</v>
      </c>
      <c r="G148" s="10">
        <f t="shared" si="43"/>
        <v>9.0333333333333332</v>
      </c>
      <c r="H148" s="4">
        <v>50</v>
      </c>
      <c r="I148" s="5">
        <f t="shared" si="55"/>
        <v>406.5</v>
      </c>
      <c r="J148" s="5">
        <f t="shared" si="56"/>
        <v>356.5</v>
      </c>
      <c r="K148">
        <v>16</v>
      </c>
      <c r="N148" s="51">
        <v>1800</v>
      </c>
      <c r="Q148" t="s">
        <v>64</v>
      </c>
    </row>
    <row r="149" spans="1:17">
      <c r="A149" s="6">
        <v>46065</v>
      </c>
      <c r="B149" s="4">
        <v>10</v>
      </c>
      <c r="C149" s="4">
        <v>28</v>
      </c>
      <c r="D149" s="4">
        <v>45</v>
      </c>
      <c r="E149" s="4">
        <v>0</v>
      </c>
      <c r="F149" s="4">
        <v>50</v>
      </c>
      <c r="G149" s="10">
        <f t="shared" si="43"/>
        <v>10.466666666666667</v>
      </c>
      <c r="H149" s="4">
        <v>50</v>
      </c>
      <c r="I149" s="5">
        <f t="shared" si="55"/>
        <v>471</v>
      </c>
      <c r="J149" s="5">
        <f t="shared" si="56"/>
        <v>421</v>
      </c>
      <c r="K149">
        <v>16</v>
      </c>
      <c r="N149" s="51">
        <f>50+150</f>
        <v>200</v>
      </c>
      <c r="P149" t="s">
        <v>259</v>
      </c>
    </row>
    <row r="150" spans="1:17">
      <c r="A150" s="6">
        <v>46066</v>
      </c>
      <c r="B150" s="4">
        <v>10</v>
      </c>
      <c r="C150" s="4">
        <v>35</v>
      </c>
      <c r="D150" s="4">
        <v>45</v>
      </c>
      <c r="E150" s="4">
        <v>0</v>
      </c>
      <c r="F150" s="4">
        <v>50</v>
      </c>
      <c r="G150" s="10">
        <f t="shared" si="43"/>
        <v>10.583333333333334</v>
      </c>
      <c r="H150" s="4">
        <v>0</v>
      </c>
      <c r="I150" s="5">
        <f t="shared" si="55"/>
        <v>476.25</v>
      </c>
      <c r="J150" s="5">
        <f t="shared" si="56"/>
        <v>476.25</v>
      </c>
      <c r="K150">
        <v>19</v>
      </c>
      <c r="N150" s="51">
        <v>650</v>
      </c>
      <c r="P150" t="s">
        <v>260</v>
      </c>
    </row>
    <row r="151" spans="1:17">
      <c r="A151" s="6">
        <v>46067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10">
        <v>0</v>
      </c>
      <c r="H151" s="4">
        <v>50</v>
      </c>
      <c r="I151" s="5">
        <v>0</v>
      </c>
      <c r="J151" s="5">
        <v>0</v>
      </c>
      <c r="K151">
        <v>0</v>
      </c>
      <c r="N151" s="51">
        <v>0</v>
      </c>
    </row>
    <row r="152" spans="1:17">
      <c r="A152" s="6">
        <v>46068</v>
      </c>
      <c r="B152" s="4">
        <v>9</v>
      </c>
      <c r="C152" s="4">
        <v>50</v>
      </c>
      <c r="D152" s="4">
        <v>45</v>
      </c>
      <c r="E152" s="4">
        <v>0</v>
      </c>
      <c r="F152" s="4">
        <v>50</v>
      </c>
      <c r="G152" s="10">
        <f t="shared" si="43"/>
        <v>9.8333333333333339</v>
      </c>
      <c r="H152" s="4">
        <v>50</v>
      </c>
      <c r="I152" s="5">
        <f t="shared" si="55"/>
        <v>442.5</v>
      </c>
      <c r="J152" s="5">
        <f t="shared" si="56"/>
        <v>392.5</v>
      </c>
      <c r="K152">
        <v>14</v>
      </c>
      <c r="N152" s="51">
        <v>0</v>
      </c>
      <c r="P152" t="s">
        <v>261</v>
      </c>
    </row>
    <row r="153" spans="1:17" ht="33" customHeight="1" thickBot="1">
      <c r="A153" t="s">
        <v>17</v>
      </c>
      <c r="H153" s="121">
        <f t="shared" ref="H153:N153" si="57">H19+H27+H35+H43+H51+H59+H67+H75+H83+H91+H99+H107+H114+H11+H3+H122+H129+H145</f>
        <v>4350</v>
      </c>
      <c r="I153" s="121">
        <f t="shared" si="57"/>
        <v>41289.166666666664</v>
      </c>
      <c r="J153" s="121">
        <f t="shared" si="57"/>
        <v>36939.166666666672</v>
      </c>
      <c r="K153" s="122">
        <f t="shared" si="57"/>
        <v>2308</v>
      </c>
      <c r="L153" s="121">
        <f t="shared" si="57"/>
        <v>0</v>
      </c>
      <c r="M153" s="121">
        <f t="shared" si="57"/>
        <v>36939.166666666672</v>
      </c>
      <c r="N153" s="121">
        <f t="shared" si="57"/>
        <v>53191</v>
      </c>
      <c r="O153" s="121">
        <f>O145+O137+O129+O122+O114+O107+O99+O91+O83+O75+O67+O59+O51+O43+O35+O27+O19+O11+O3</f>
        <v>7129</v>
      </c>
    </row>
    <row r="154" spans="1:17" ht="16" thickTop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71C9-4CFA-8842-A6B4-0533C01C1A6A}">
  <dimension ref="A1:Z197"/>
  <sheetViews>
    <sheetView workbookViewId="0">
      <pane xSplit="1" ySplit="1" topLeftCell="O179" activePane="bottomRight" state="frozen"/>
      <selection pane="topRight" activeCell="B1" sqref="B1"/>
      <selection pane="bottomLeft" activeCell="A2" sqref="A2"/>
      <selection pane="bottomRight" activeCell="O197" sqref="O197"/>
    </sheetView>
  </sheetViews>
  <sheetFormatPr baseColWidth="10" defaultColWidth="8.6640625" defaultRowHeight="15"/>
  <cols>
    <col min="1" max="1" width="21" customWidth="1"/>
    <col min="3" max="3" width="13.33203125" customWidth="1"/>
    <col min="4" max="4" width="17.6640625" customWidth="1"/>
    <col min="6" max="6" width="16.6640625" customWidth="1"/>
    <col min="7" max="7" width="19" customWidth="1"/>
    <col min="8" max="8" width="20.33203125" customWidth="1"/>
    <col min="9" max="9" width="22.6640625" customWidth="1"/>
    <col min="10" max="10" width="18.5" customWidth="1"/>
    <col min="11" max="11" width="6.5" bestFit="1" customWidth="1"/>
    <col min="12" max="12" width="11.6640625" bestFit="1" customWidth="1"/>
    <col min="13" max="13" width="17" bestFit="1" customWidth="1"/>
    <col min="14" max="14" width="30.33203125" customWidth="1"/>
    <col min="15" max="15" width="22.6640625" bestFit="1" customWidth="1"/>
    <col min="16" max="16" width="175.5" customWidth="1"/>
  </cols>
  <sheetData>
    <row r="1" spans="1:16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6" ht="20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6" s="54" customFormat="1" ht="20" thickBot="1">
      <c r="A3" s="72" t="s">
        <v>10</v>
      </c>
      <c r="B3" s="44">
        <f>SUM(B4:B10)</f>
        <v>32</v>
      </c>
      <c r="C3" s="44">
        <f>SUM(C4:C10)</f>
        <v>149</v>
      </c>
      <c r="D3" s="44">
        <f>SUM(D4)</f>
        <v>45</v>
      </c>
      <c r="E3" s="44">
        <f>SUM(E4:E10)</f>
        <v>4</v>
      </c>
      <c r="F3" s="44">
        <f>SUM(F4:F10)</f>
        <v>300</v>
      </c>
      <c r="G3" s="67">
        <f t="shared" ref="G3" si="0">B3+C3/60</f>
        <v>34.483333333333334</v>
      </c>
      <c r="H3" s="44">
        <f>SUM(H4:H10)</f>
        <v>200</v>
      </c>
      <c r="I3" s="46">
        <f>SUM(I4:I10)</f>
        <v>1918.5833333333335</v>
      </c>
      <c r="J3" s="47">
        <f>SUM(J4:J10)</f>
        <v>1718.5833333333335</v>
      </c>
      <c r="K3" s="44">
        <f>SUM(K4:K10)</f>
        <v>142</v>
      </c>
      <c r="L3" s="46">
        <v>0</v>
      </c>
      <c r="M3" s="69">
        <f>J3+L3</f>
        <v>1718.5833333333335</v>
      </c>
      <c r="N3" s="52">
        <f>SUM(N4:N10)</f>
        <v>2390</v>
      </c>
      <c r="O3" s="90">
        <f>2189-N3</f>
        <v>-201</v>
      </c>
    </row>
    <row r="4" spans="1:16">
      <c r="A4" s="6">
        <v>46069</v>
      </c>
      <c r="B4" s="4">
        <v>0</v>
      </c>
      <c r="C4" s="4">
        <v>0</v>
      </c>
      <c r="D4" s="4">
        <v>45</v>
      </c>
      <c r="E4" s="4">
        <v>0</v>
      </c>
      <c r="F4" s="4">
        <v>50</v>
      </c>
      <c r="G4" s="10">
        <v>0</v>
      </c>
      <c r="H4" s="4">
        <v>0</v>
      </c>
      <c r="I4" s="5">
        <v>0</v>
      </c>
      <c r="J4" s="5">
        <f>I4-H4</f>
        <v>0</v>
      </c>
      <c r="K4">
        <v>0</v>
      </c>
      <c r="N4" s="51">
        <v>0</v>
      </c>
    </row>
    <row r="5" spans="1:16">
      <c r="A5" s="80" t="s">
        <v>262</v>
      </c>
      <c r="B5" s="4">
        <v>8</v>
      </c>
      <c r="C5" s="4">
        <v>48</v>
      </c>
      <c r="D5" s="4">
        <v>55</v>
      </c>
      <c r="E5" s="4">
        <v>1</v>
      </c>
      <c r="F5" s="4">
        <v>50</v>
      </c>
      <c r="G5" s="10">
        <f t="shared" ref="G5:G10" si="1">B5+C5/60</f>
        <v>8.8000000000000007</v>
      </c>
      <c r="H5" s="4">
        <v>50</v>
      </c>
      <c r="I5" s="5">
        <f t="shared" ref="I5:I10" si="2">G5*D5</f>
        <v>484.00000000000006</v>
      </c>
      <c r="J5" s="5">
        <f>I5-H5</f>
        <v>434.00000000000006</v>
      </c>
      <c r="K5">
        <v>27</v>
      </c>
      <c r="N5" s="51">
        <f>200+150</f>
        <v>350</v>
      </c>
      <c r="P5" t="s">
        <v>263</v>
      </c>
    </row>
    <row r="6" spans="1:16">
      <c r="A6" s="80" t="s">
        <v>264</v>
      </c>
      <c r="B6" s="4">
        <v>7</v>
      </c>
      <c r="C6" s="4">
        <v>19</v>
      </c>
      <c r="D6" s="4">
        <v>45</v>
      </c>
      <c r="E6" s="4">
        <v>1</v>
      </c>
      <c r="F6" s="4">
        <v>50</v>
      </c>
      <c r="G6" s="10">
        <f t="shared" si="1"/>
        <v>7.3166666666666664</v>
      </c>
      <c r="H6" s="4">
        <v>50</v>
      </c>
      <c r="I6" s="5">
        <f t="shared" si="2"/>
        <v>329.25</v>
      </c>
      <c r="J6" s="5">
        <f>I6-H6</f>
        <v>279.25</v>
      </c>
      <c r="K6">
        <v>24</v>
      </c>
      <c r="N6" s="51"/>
      <c r="P6" t="s">
        <v>265</v>
      </c>
    </row>
    <row r="7" spans="1:16">
      <c r="A7" s="80" t="s">
        <v>266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10">
        <v>0</v>
      </c>
      <c r="H7" s="4">
        <v>0</v>
      </c>
      <c r="I7" s="5">
        <v>0</v>
      </c>
      <c r="J7" s="5">
        <v>0</v>
      </c>
      <c r="K7">
        <v>26</v>
      </c>
      <c r="N7" s="51">
        <v>0</v>
      </c>
    </row>
    <row r="8" spans="1:16">
      <c r="A8" s="80" t="s">
        <v>267</v>
      </c>
      <c r="B8" s="4">
        <v>9</v>
      </c>
      <c r="C8" s="4">
        <v>31</v>
      </c>
      <c r="D8" s="4">
        <v>65</v>
      </c>
      <c r="E8" s="4">
        <v>1</v>
      </c>
      <c r="F8" s="4">
        <v>50</v>
      </c>
      <c r="G8" s="10">
        <f t="shared" si="1"/>
        <v>9.5166666666666675</v>
      </c>
      <c r="H8" s="4">
        <v>50</v>
      </c>
      <c r="I8" s="5">
        <f t="shared" si="2"/>
        <v>618.58333333333337</v>
      </c>
      <c r="J8" s="5">
        <f>I8-H8</f>
        <v>568.58333333333337</v>
      </c>
      <c r="K8">
        <v>34</v>
      </c>
      <c r="N8" s="51">
        <v>0</v>
      </c>
      <c r="P8" t="s">
        <v>268</v>
      </c>
    </row>
    <row r="9" spans="1:16">
      <c r="A9" s="80" t="s">
        <v>269</v>
      </c>
      <c r="B9" s="4">
        <v>8</v>
      </c>
      <c r="C9" s="4">
        <v>51</v>
      </c>
      <c r="D9" s="4">
        <v>55</v>
      </c>
      <c r="E9" s="4">
        <v>1</v>
      </c>
      <c r="F9" s="4">
        <v>50</v>
      </c>
      <c r="G9" s="10">
        <f t="shared" si="1"/>
        <v>8.85</v>
      </c>
      <c r="H9" s="4">
        <v>50</v>
      </c>
      <c r="I9" s="5">
        <f t="shared" si="2"/>
        <v>486.75</v>
      </c>
      <c r="J9" s="5">
        <f>I9-H9</f>
        <v>436.75</v>
      </c>
      <c r="K9">
        <v>31</v>
      </c>
      <c r="N9" s="51">
        <v>0</v>
      </c>
    </row>
    <row r="10" spans="1:16" ht="16" thickBot="1">
      <c r="A10" s="6">
        <v>46075</v>
      </c>
      <c r="B10" s="4">
        <v>0</v>
      </c>
      <c r="C10" s="4">
        <v>0</v>
      </c>
      <c r="D10" s="4">
        <v>45</v>
      </c>
      <c r="E10" s="4">
        <v>0</v>
      </c>
      <c r="F10" s="4">
        <v>50</v>
      </c>
      <c r="G10" s="10">
        <f t="shared" si="1"/>
        <v>0</v>
      </c>
      <c r="H10" s="4">
        <v>0</v>
      </c>
      <c r="I10" s="5">
        <f t="shared" si="2"/>
        <v>0</v>
      </c>
      <c r="J10" s="88">
        <v>0</v>
      </c>
      <c r="K10">
        <v>0</v>
      </c>
      <c r="N10" s="51">
        <v>2040</v>
      </c>
    </row>
    <row r="11" spans="1:16" s="86" customFormat="1" ht="20" thickBot="1">
      <c r="A11" s="91" t="s">
        <v>11</v>
      </c>
      <c r="B11" s="92">
        <f>SUM(B12:B18)</f>
        <v>53</v>
      </c>
      <c r="C11" s="92">
        <f>SUM(C12:C18)</f>
        <v>197</v>
      </c>
      <c r="D11" s="92">
        <f>SUM(D12)</f>
        <v>45</v>
      </c>
      <c r="E11" s="92">
        <f>SUM(E12:E18)</f>
        <v>6</v>
      </c>
      <c r="F11" s="92">
        <f>SUM(F12:F18)</f>
        <v>350</v>
      </c>
      <c r="G11" s="93">
        <f>B11+C11/60</f>
        <v>56.283333333333331</v>
      </c>
      <c r="H11" s="92">
        <f>SUM(H12:H18)</f>
        <v>300</v>
      </c>
      <c r="I11" s="94">
        <f>SUM(I12:I18)</f>
        <v>2933.5833333333335</v>
      </c>
      <c r="J11" s="95">
        <f>SUM(J12:J18)</f>
        <v>2633.5833333333335</v>
      </c>
      <c r="K11" s="8">
        <f>SUM(K12:K18)</f>
        <v>161</v>
      </c>
      <c r="L11" s="9">
        <v>0</v>
      </c>
      <c r="M11" s="96">
        <f>J11+L11</f>
        <v>2633.5833333333335</v>
      </c>
      <c r="N11" s="97">
        <f>SUM(N12:N18)</f>
        <v>3280</v>
      </c>
      <c r="O11" s="98">
        <f>3274-N11</f>
        <v>-6</v>
      </c>
    </row>
    <row r="12" spans="1:16">
      <c r="A12" s="80">
        <v>46069</v>
      </c>
      <c r="B12" s="4">
        <v>0</v>
      </c>
      <c r="C12" s="4">
        <v>0</v>
      </c>
      <c r="D12" s="4">
        <v>45</v>
      </c>
      <c r="E12" s="4">
        <v>0</v>
      </c>
      <c r="F12" s="4">
        <v>50</v>
      </c>
      <c r="G12" s="10">
        <f>B12+C12/60</f>
        <v>0</v>
      </c>
      <c r="H12" s="4">
        <v>0</v>
      </c>
      <c r="I12" s="5">
        <f>G12*D12</f>
        <v>0</v>
      </c>
      <c r="J12" s="5">
        <f>I12-H12</f>
        <v>0</v>
      </c>
      <c r="K12">
        <v>0</v>
      </c>
      <c r="M12" t="s">
        <v>26</v>
      </c>
      <c r="N12" s="83">
        <v>0</v>
      </c>
    </row>
    <row r="13" spans="1:16">
      <c r="A13" s="80" t="s">
        <v>262</v>
      </c>
      <c r="B13" s="4">
        <v>7</v>
      </c>
      <c r="C13" s="4">
        <v>47</v>
      </c>
      <c r="D13" s="4">
        <v>45</v>
      </c>
      <c r="E13" s="4">
        <v>1</v>
      </c>
      <c r="F13" s="4">
        <v>50</v>
      </c>
      <c r="G13" s="10">
        <f t="shared" ref="G13:G66" si="3">B13+C13/60</f>
        <v>7.7833333333333332</v>
      </c>
      <c r="H13" s="4">
        <v>50</v>
      </c>
      <c r="I13" s="5">
        <f>G13*D13</f>
        <v>350.25</v>
      </c>
      <c r="J13" s="5">
        <f t="shared" ref="J13:J18" si="4">I13-H13</f>
        <v>300.25</v>
      </c>
      <c r="K13">
        <v>21</v>
      </c>
      <c r="N13" s="83">
        <f>100+370</f>
        <v>470</v>
      </c>
      <c r="P13" s="128" t="s">
        <v>270</v>
      </c>
    </row>
    <row r="14" spans="1:16">
      <c r="A14" s="80" t="s">
        <v>264</v>
      </c>
      <c r="B14" s="4">
        <v>9</v>
      </c>
      <c r="C14" s="4">
        <v>48</v>
      </c>
      <c r="D14" s="4">
        <v>45</v>
      </c>
      <c r="E14" s="4">
        <v>1</v>
      </c>
      <c r="F14" s="4">
        <v>50</v>
      </c>
      <c r="G14" s="10">
        <f t="shared" si="3"/>
        <v>9.8000000000000007</v>
      </c>
      <c r="H14" s="4">
        <v>50</v>
      </c>
      <c r="I14" s="5">
        <f t="shared" ref="I14:I18" si="5">G14*D14</f>
        <v>441.00000000000006</v>
      </c>
      <c r="J14" s="5">
        <f>I14-H14</f>
        <v>391.00000000000006</v>
      </c>
      <c r="K14">
        <v>25</v>
      </c>
      <c r="N14" s="83">
        <v>390</v>
      </c>
      <c r="P14" t="s">
        <v>271</v>
      </c>
    </row>
    <row r="15" spans="1:16">
      <c r="A15" s="80" t="s">
        <v>272</v>
      </c>
      <c r="B15" s="4">
        <v>9</v>
      </c>
      <c r="C15" s="4">
        <v>26</v>
      </c>
      <c r="D15" s="4">
        <v>55</v>
      </c>
      <c r="E15" s="4">
        <v>1</v>
      </c>
      <c r="F15" s="4">
        <v>50</v>
      </c>
      <c r="G15" s="10">
        <f t="shared" si="3"/>
        <v>9.4333333333333336</v>
      </c>
      <c r="H15" s="4">
        <v>50</v>
      </c>
      <c r="I15" s="5">
        <f t="shared" si="5"/>
        <v>518.83333333333337</v>
      </c>
      <c r="J15" s="5">
        <f t="shared" ref="J15:J16" si="6">I15-H15</f>
        <v>468.83333333333337</v>
      </c>
      <c r="K15">
        <v>30</v>
      </c>
      <c r="N15" s="82">
        <v>510</v>
      </c>
    </row>
    <row r="16" spans="1:16">
      <c r="A16" s="80" t="s">
        <v>267</v>
      </c>
      <c r="B16" s="4">
        <v>9</v>
      </c>
      <c r="C16" s="4">
        <v>45</v>
      </c>
      <c r="D16" s="4">
        <v>55</v>
      </c>
      <c r="E16" s="4">
        <v>1</v>
      </c>
      <c r="F16" s="4">
        <v>50</v>
      </c>
      <c r="G16" s="10">
        <f t="shared" si="3"/>
        <v>9.75</v>
      </c>
      <c r="H16" s="4">
        <v>50</v>
      </c>
      <c r="I16" s="5">
        <f t="shared" si="5"/>
        <v>536.25</v>
      </c>
      <c r="J16" s="5">
        <f t="shared" si="6"/>
        <v>486.25</v>
      </c>
      <c r="K16">
        <v>29</v>
      </c>
      <c r="N16" s="82">
        <v>510</v>
      </c>
    </row>
    <row r="17" spans="1:16">
      <c r="A17" s="80" t="s">
        <v>273</v>
      </c>
      <c r="B17" s="4">
        <v>10</v>
      </c>
      <c r="C17" s="4">
        <v>27</v>
      </c>
      <c r="D17" s="4">
        <v>65</v>
      </c>
      <c r="E17" s="4">
        <v>1</v>
      </c>
      <c r="F17" s="4">
        <v>50</v>
      </c>
      <c r="G17" s="10">
        <f t="shared" si="3"/>
        <v>10.45</v>
      </c>
      <c r="H17" s="4">
        <v>50</v>
      </c>
      <c r="I17" s="5">
        <f t="shared" si="5"/>
        <v>679.25</v>
      </c>
      <c r="J17" s="5">
        <f t="shared" si="4"/>
        <v>629.25</v>
      </c>
      <c r="K17">
        <v>34</v>
      </c>
      <c r="N17" s="83">
        <v>0</v>
      </c>
    </row>
    <row r="18" spans="1:16" ht="16" thickBot="1">
      <c r="A18" s="80" t="s">
        <v>274</v>
      </c>
      <c r="B18" s="4">
        <v>9</v>
      </c>
      <c r="C18" s="4">
        <v>4</v>
      </c>
      <c r="D18" s="4">
        <v>45</v>
      </c>
      <c r="E18" s="4">
        <v>1</v>
      </c>
      <c r="F18" s="4">
        <v>50</v>
      </c>
      <c r="G18" s="10">
        <f t="shared" si="3"/>
        <v>9.0666666666666664</v>
      </c>
      <c r="H18" s="4">
        <v>50</v>
      </c>
      <c r="I18" s="5">
        <f t="shared" si="5"/>
        <v>408</v>
      </c>
      <c r="J18" s="5">
        <f t="shared" si="4"/>
        <v>358</v>
      </c>
      <c r="K18">
        <v>22</v>
      </c>
      <c r="N18" s="82">
        <f>150+800+450</f>
        <v>1400</v>
      </c>
    </row>
    <row r="19" spans="1:16" s="86" customFormat="1" ht="20" thickBot="1">
      <c r="A19" s="91" t="s">
        <v>275</v>
      </c>
      <c r="B19" s="8">
        <f>SUM(B20:B26)</f>
        <v>36</v>
      </c>
      <c r="C19" s="8">
        <f>SUM(C20:C26)</f>
        <v>104</v>
      </c>
      <c r="D19" s="8">
        <f>SUM(D20)</f>
        <v>45</v>
      </c>
      <c r="E19" s="8">
        <f>SUM(E20:E26)</f>
        <v>5</v>
      </c>
      <c r="F19" s="8">
        <f>SUM(F20:F25)</f>
        <v>300</v>
      </c>
      <c r="G19" s="93">
        <f t="shared" si="3"/>
        <v>37.733333333333334</v>
      </c>
      <c r="H19" s="8">
        <f>SUM(H20:H26)</f>
        <v>250</v>
      </c>
      <c r="I19" s="9">
        <f>SUM(I20:I25)</f>
        <v>1698</v>
      </c>
      <c r="J19" s="14">
        <f>SUM(J20:J26)</f>
        <v>1448</v>
      </c>
      <c r="K19" s="8">
        <f>SUM(K20:K26)</f>
        <v>45</v>
      </c>
      <c r="L19" s="9">
        <v>0</v>
      </c>
      <c r="M19" s="96">
        <f>J19+L19</f>
        <v>1448</v>
      </c>
      <c r="N19" s="99">
        <f>SUM(N20:N26)</f>
        <v>843</v>
      </c>
      <c r="O19" s="98">
        <f>1654-N19</f>
        <v>811</v>
      </c>
    </row>
    <row r="20" spans="1:16">
      <c r="A20" s="80" t="s">
        <v>276</v>
      </c>
      <c r="B20" s="4">
        <v>0</v>
      </c>
      <c r="C20" s="4">
        <v>0</v>
      </c>
      <c r="D20" s="4">
        <v>45</v>
      </c>
      <c r="E20" s="4">
        <v>0</v>
      </c>
      <c r="F20" s="4">
        <v>50</v>
      </c>
      <c r="G20" s="10">
        <f>B20+C20/60</f>
        <v>0</v>
      </c>
      <c r="H20" s="4">
        <v>0</v>
      </c>
      <c r="I20" s="5">
        <f t="shared" ref="I20:I49" si="7">G20*D20</f>
        <v>0</v>
      </c>
      <c r="J20" s="5">
        <f t="shared" ref="J20:J57" si="8">I20-H20</f>
        <v>0</v>
      </c>
      <c r="K20">
        <v>0</v>
      </c>
      <c r="N20" s="51">
        <v>0</v>
      </c>
    </row>
    <row r="21" spans="1:16">
      <c r="A21" s="80" t="s">
        <v>262</v>
      </c>
      <c r="B21" s="4">
        <v>4</v>
      </c>
      <c r="C21" s="4">
        <v>4</v>
      </c>
      <c r="D21" s="4">
        <v>45</v>
      </c>
      <c r="E21" s="4">
        <v>1</v>
      </c>
      <c r="F21" s="4">
        <v>50</v>
      </c>
      <c r="G21" s="10">
        <f t="shared" ref="G21:G26" si="9">B21+C21/60</f>
        <v>4.0666666666666664</v>
      </c>
      <c r="H21" s="4">
        <v>50</v>
      </c>
      <c r="I21" s="5">
        <f t="shared" si="7"/>
        <v>183</v>
      </c>
      <c r="J21" s="5">
        <f t="shared" si="8"/>
        <v>133</v>
      </c>
      <c r="K21">
        <v>8</v>
      </c>
      <c r="N21" s="83">
        <v>328</v>
      </c>
      <c r="P21" t="s">
        <v>277</v>
      </c>
    </row>
    <row r="22" spans="1:16">
      <c r="A22" s="80" t="s">
        <v>264</v>
      </c>
      <c r="B22" s="4">
        <v>7</v>
      </c>
      <c r="C22" s="4">
        <v>7</v>
      </c>
      <c r="D22" s="4">
        <v>45</v>
      </c>
      <c r="E22" s="4">
        <v>1</v>
      </c>
      <c r="F22" s="4">
        <v>50</v>
      </c>
      <c r="G22" s="10">
        <f t="shared" si="9"/>
        <v>7.1166666666666663</v>
      </c>
      <c r="H22" s="4">
        <v>50</v>
      </c>
      <c r="I22" s="5">
        <f t="shared" si="7"/>
        <v>320.25</v>
      </c>
      <c r="J22" s="5">
        <f t="shared" si="8"/>
        <v>270.25</v>
      </c>
      <c r="K22">
        <v>9</v>
      </c>
      <c r="N22" s="83">
        <v>349</v>
      </c>
      <c r="P22" s="115" t="s">
        <v>278</v>
      </c>
    </row>
    <row r="23" spans="1:16">
      <c r="A23" s="80" t="s">
        <v>272</v>
      </c>
      <c r="B23" s="4">
        <v>8</v>
      </c>
      <c r="C23" s="4">
        <v>41</v>
      </c>
      <c r="D23" s="4">
        <v>45</v>
      </c>
      <c r="E23" s="4">
        <v>1</v>
      </c>
      <c r="F23" s="4">
        <v>50</v>
      </c>
      <c r="G23" s="10">
        <f t="shared" si="9"/>
        <v>8.6833333333333336</v>
      </c>
      <c r="H23" s="4">
        <v>50</v>
      </c>
      <c r="I23" s="5">
        <f t="shared" si="7"/>
        <v>390.75</v>
      </c>
      <c r="J23" s="5">
        <f t="shared" si="8"/>
        <v>340.75</v>
      </c>
      <c r="K23">
        <v>8</v>
      </c>
      <c r="N23" s="83">
        <v>166</v>
      </c>
    </row>
    <row r="24" spans="1:16">
      <c r="A24" s="80" t="s">
        <v>267</v>
      </c>
      <c r="B24" s="4">
        <v>9</v>
      </c>
      <c r="C24" s="4">
        <v>22</v>
      </c>
      <c r="D24" s="4">
        <v>45</v>
      </c>
      <c r="E24" s="4">
        <v>1</v>
      </c>
      <c r="F24" s="4">
        <v>50</v>
      </c>
      <c r="G24" s="10">
        <f t="shared" si="9"/>
        <v>9.3666666666666671</v>
      </c>
      <c r="H24" s="4">
        <v>50</v>
      </c>
      <c r="I24" s="5">
        <f t="shared" si="7"/>
        <v>421.5</v>
      </c>
      <c r="J24" s="5">
        <f t="shared" si="8"/>
        <v>371.5</v>
      </c>
      <c r="K24">
        <v>9</v>
      </c>
      <c r="N24" s="51">
        <v>0</v>
      </c>
    </row>
    <row r="25" spans="1:16">
      <c r="A25" s="80" t="s">
        <v>269</v>
      </c>
      <c r="B25" s="4">
        <v>8</v>
      </c>
      <c r="C25" s="4">
        <v>30</v>
      </c>
      <c r="D25" s="4">
        <v>45</v>
      </c>
      <c r="E25" s="4">
        <v>1</v>
      </c>
      <c r="F25" s="4">
        <v>50</v>
      </c>
      <c r="G25" s="10">
        <f t="shared" si="9"/>
        <v>8.5</v>
      </c>
      <c r="H25" s="4">
        <v>50</v>
      </c>
      <c r="I25" s="5">
        <f t="shared" si="7"/>
        <v>382.5</v>
      </c>
      <c r="J25" s="5">
        <f t="shared" si="8"/>
        <v>332.5</v>
      </c>
      <c r="K25">
        <v>11</v>
      </c>
      <c r="N25" s="51">
        <v>0</v>
      </c>
    </row>
    <row r="26" spans="1:16" ht="16" thickBot="1">
      <c r="A26" s="80" t="s">
        <v>274</v>
      </c>
      <c r="B26" s="4">
        <v>0</v>
      </c>
      <c r="C26" s="4">
        <v>0</v>
      </c>
      <c r="D26" s="4">
        <v>45</v>
      </c>
      <c r="E26" s="4">
        <v>0</v>
      </c>
      <c r="F26" s="4">
        <v>50</v>
      </c>
      <c r="G26" s="10">
        <f t="shared" si="9"/>
        <v>0</v>
      </c>
      <c r="H26" s="4">
        <v>0</v>
      </c>
      <c r="I26" s="5">
        <f t="shared" si="7"/>
        <v>0</v>
      </c>
      <c r="J26" s="5">
        <f t="shared" si="8"/>
        <v>0</v>
      </c>
      <c r="K26">
        <v>0</v>
      </c>
      <c r="N26" s="51">
        <v>0</v>
      </c>
    </row>
    <row r="27" spans="1:16" s="86" customFormat="1" ht="20" thickBot="1">
      <c r="A27" s="91" t="s">
        <v>15</v>
      </c>
      <c r="B27" s="8">
        <f>SUM(B28:B33)</f>
        <v>43</v>
      </c>
      <c r="C27" s="8">
        <f>SUM(C28:C33)</f>
        <v>112</v>
      </c>
      <c r="D27" s="8">
        <f>SUM(D28)</f>
        <v>45</v>
      </c>
      <c r="E27" s="8">
        <f>SUM(E28:E33)</f>
        <v>5</v>
      </c>
      <c r="F27" s="8">
        <f>SUM(F28:F33)</f>
        <v>300</v>
      </c>
      <c r="G27" s="93">
        <f>B27+C27/60</f>
        <v>44.866666666666667</v>
      </c>
      <c r="H27" s="8">
        <f>SUM(H28:H33)</f>
        <v>250</v>
      </c>
      <c r="I27" s="9">
        <f>SUM(I28:I33)</f>
        <v>2122.833333333333</v>
      </c>
      <c r="J27" s="14">
        <f>SUM(J28:J33)</f>
        <v>1872.8333333333333</v>
      </c>
      <c r="K27" s="8">
        <f>SUM(K28:K33)</f>
        <v>125</v>
      </c>
      <c r="L27" s="9">
        <v>0</v>
      </c>
      <c r="M27" s="96">
        <f>J27+L27</f>
        <v>1872.8333333333333</v>
      </c>
      <c r="N27" s="99">
        <f>SUM(N28:N33)</f>
        <v>3480</v>
      </c>
      <c r="O27" s="98">
        <f>3487-N27</f>
        <v>7</v>
      </c>
    </row>
    <row r="28" spans="1:16">
      <c r="A28" s="80" t="s">
        <v>279</v>
      </c>
      <c r="B28" s="4">
        <v>0</v>
      </c>
      <c r="C28" s="4">
        <v>0</v>
      </c>
      <c r="D28" s="4">
        <v>45</v>
      </c>
      <c r="E28" s="4">
        <v>0</v>
      </c>
      <c r="F28" s="4">
        <v>50</v>
      </c>
      <c r="G28" s="10">
        <f>B28+C28/60</f>
        <v>0</v>
      </c>
      <c r="H28" s="4">
        <v>0</v>
      </c>
      <c r="I28" s="5">
        <f>G28*D28</f>
        <v>0</v>
      </c>
      <c r="J28" s="5">
        <f>I28-H28</f>
        <v>0</v>
      </c>
      <c r="K28">
        <v>0</v>
      </c>
      <c r="N28" s="51">
        <v>150</v>
      </c>
      <c r="P28" t="s">
        <v>280</v>
      </c>
    </row>
    <row r="29" spans="1:16">
      <c r="A29" s="80" t="s">
        <v>262</v>
      </c>
      <c r="B29" s="4">
        <v>7</v>
      </c>
      <c r="C29" s="4">
        <v>2</v>
      </c>
      <c r="D29" s="4">
        <v>45</v>
      </c>
      <c r="E29" s="4">
        <v>1</v>
      </c>
      <c r="F29" s="4">
        <v>50</v>
      </c>
      <c r="G29" s="10">
        <f t="shared" ref="G29:G33" si="10">B29+C29/60</f>
        <v>7.0333333333333332</v>
      </c>
      <c r="H29" s="4">
        <v>50</v>
      </c>
      <c r="I29" s="5">
        <f>G29*D29</f>
        <v>316.5</v>
      </c>
      <c r="J29" s="5">
        <f>I29-H29</f>
        <v>266.5</v>
      </c>
      <c r="K29">
        <v>24</v>
      </c>
      <c r="N29" s="51">
        <f>100+200</f>
        <v>300</v>
      </c>
      <c r="P29" s="115" t="s">
        <v>281</v>
      </c>
    </row>
    <row r="30" spans="1:16">
      <c r="A30" s="80" t="s">
        <v>264</v>
      </c>
      <c r="B30" s="4">
        <v>7</v>
      </c>
      <c r="C30" s="4">
        <v>23</v>
      </c>
      <c r="D30" s="4">
        <v>45</v>
      </c>
      <c r="E30" s="4">
        <v>1</v>
      </c>
      <c r="F30" s="4">
        <v>50</v>
      </c>
      <c r="G30" s="10">
        <f t="shared" si="10"/>
        <v>7.3833333333333337</v>
      </c>
      <c r="H30" s="4">
        <v>50</v>
      </c>
      <c r="I30" s="5">
        <f t="shared" ref="I30:I33" si="11">G30*D30</f>
        <v>332.25</v>
      </c>
      <c r="J30" s="5">
        <f t="shared" ref="J30:J33" si="12">I30-H30</f>
        <v>282.25</v>
      </c>
      <c r="K30">
        <v>25</v>
      </c>
      <c r="N30" s="51"/>
      <c r="P30" s="128" t="s">
        <v>282</v>
      </c>
    </row>
    <row r="31" spans="1:16">
      <c r="A31" s="80" t="s">
        <v>267</v>
      </c>
      <c r="B31" s="4">
        <v>9</v>
      </c>
      <c r="C31" s="4">
        <v>38</v>
      </c>
      <c r="D31" s="4">
        <v>45</v>
      </c>
      <c r="E31" s="4">
        <v>1</v>
      </c>
      <c r="F31" s="4">
        <v>50</v>
      </c>
      <c r="G31" s="10">
        <f t="shared" si="10"/>
        <v>9.6333333333333329</v>
      </c>
      <c r="H31" s="4">
        <v>50</v>
      </c>
      <c r="I31" s="5">
        <f t="shared" si="11"/>
        <v>433.5</v>
      </c>
      <c r="J31" s="5">
        <f t="shared" si="12"/>
        <v>383.5</v>
      </c>
      <c r="K31">
        <v>22</v>
      </c>
      <c r="N31" s="82">
        <v>1500</v>
      </c>
    </row>
    <row r="32" spans="1:16">
      <c r="A32" s="80" t="s">
        <v>269</v>
      </c>
      <c r="B32" s="4">
        <v>10</v>
      </c>
      <c r="C32" s="4">
        <v>23</v>
      </c>
      <c r="D32" s="4">
        <v>55</v>
      </c>
      <c r="E32" s="4">
        <v>1</v>
      </c>
      <c r="F32" s="4">
        <v>50</v>
      </c>
      <c r="G32" s="10">
        <f t="shared" si="10"/>
        <v>10.383333333333333</v>
      </c>
      <c r="H32" s="4">
        <v>50</v>
      </c>
      <c r="I32" s="5">
        <f t="shared" si="11"/>
        <v>571.08333333333326</v>
      </c>
      <c r="J32" s="5">
        <f t="shared" si="12"/>
        <v>521.08333333333326</v>
      </c>
      <c r="K32">
        <v>29</v>
      </c>
      <c r="N32" s="51">
        <v>100</v>
      </c>
      <c r="P32" t="s">
        <v>283</v>
      </c>
    </row>
    <row r="33" spans="1:16" ht="16" thickBot="1">
      <c r="A33" s="80" t="s">
        <v>274</v>
      </c>
      <c r="B33" s="4">
        <v>10</v>
      </c>
      <c r="C33" s="4">
        <v>26</v>
      </c>
      <c r="D33" s="4">
        <v>45</v>
      </c>
      <c r="E33" s="4">
        <v>1</v>
      </c>
      <c r="F33" s="4">
        <v>50</v>
      </c>
      <c r="G33" s="10">
        <f t="shared" si="10"/>
        <v>10.433333333333334</v>
      </c>
      <c r="H33" s="4">
        <v>50</v>
      </c>
      <c r="I33" s="5">
        <f t="shared" si="11"/>
        <v>469.5</v>
      </c>
      <c r="J33" s="5">
        <f t="shared" si="12"/>
        <v>419.5</v>
      </c>
      <c r="K33">
        <v>25</v>
      </c>
      <c r="N33" s="51">
        <f>100+30+1300</f>
        <v>1430</v>
      </c>
      <c r="P33" t="s">
        <v>77</v>
      </c>
    </row>
    <row r="34" spans="1:16" s="54" customFormat="1" ht="20" thickBot="1">
      <c r="A34" s="72" t="s">
        <v>18</v>
      </c>
      <c r="B34" s="44">
        <f>SUM(B35:B41)</f>
        <v>52</v>
      </c>
      <c r="C34" s="44">
        <f>SUM(C35:C41)</f>
        <v>208</v>
      </c>
      <c r="D34" s="44">
        <f>SUM(D35)</f>
        <v>45</v>
      </c>
      <c r="E34" s="44">
        <f>SUM(E35:E41)</f>
        <v>6</v>
      </c>
      <c r="F34" s="44">
        <f>SUM(F35:F41)</f>
        <v>300</v>
      </c>
      <c r="G34" s="67">
        <f t="shared" si="3"/>
        <v>55.466666666666669</v>
      </c>
      <c r="H34" s="44">
        <f>SUM(H35:H41)</f>
        <v>300</v>
      </c>
      <c r="I34" s="46">
        <f>SUM(I35:I41)</f>
        <v>3002.6666666666665</v>
      </c>
      <c r="J34" s="47">
        <f>SUM(J35:J41)</f>
        <v>2702.6666666666665</v>
      </c>
      <c r="K34" s="44">
        <f>SUM(K35:K41)</f>
        <v>148</v>
      </c>
      <c r="L34" s="46"/>
      <c r="M34" s="69">
        <f>J34+L34</f>
        <v>2702.6666666666665</v>
      </c>
      <c r="N34" s="55">
        <f>SUM(N35:N41)</f>
        <v>3600</v>
      </c>
      <c r="O34" s="90">
        <f>3603-N34</f>
        <v>3</v>
      </c>
    </row>
    <row r="35" spans="1:16" ht="19.25" customHeight="1">
      <c r="A35" s="6">
        <v>46069</v>
      </c>
      <c r="B35" s="4">
        <v>9</v>
      </c>
      <c r="C35" s="4">
        <v>7</v>
      </c>
      <c r="D35" s="4">
        <v>45</v>
      </c>
      <c r="E35" s="4">
        <v>1</v>
      </c>
      <c r="F35" s="4">
        <v>50</v>
      </c>
      <c r="G35" s="10">
        <f>B35+C35/60</f>
        <v>9.1166666666666671</v>
      </c>
      <c r="H35" s="4">
        <v>50</v>
      </c>
      <c r="I35" s="5">
        <f t="shared" ref="I35:I41" si="13">G35*D35</f>
        <v>410.25</v>
      </c>
      <c r="J35" s="5">
        <f t="shared" ref="J35:J41" si="14">I35-H35</f>
        <v>360.25</v>
      </c>
      <c r="K35">
        <v>22</v>
      </c>
      <c r="N35" s="119">
        <v>150</v>
      </c>
      <c r="O35" s="49"/>
      <c r="P35" t="s">
        <v>284</v>
      </c>
    </row>
    <row r="36" spans="1:16" ht="16.25" customHeight="1">
      <c r="A36" s="6">
        <v>46070</v>
      </c>
      <c r="B36" s="4">
        <v>6</v>
      </c>
      <c r="C36" s="4">
        <v>21</v>
      </c>
      <c r="D36" s="4">
        <v>45</v>
      </c>
      <c r="E36" s="4">
        <v>1</v>
      </c>
      <c r="F36" s="4">
        <v>50</v>
      </c>
      <c r="G36" s="10">
        <f t="shared" ref="G36:G40" si="15">B36+C36/60</f>
        <v>6.35</v>
      </c>
      <c r="H36" s="4">
        <v>50</v>
      </c>
      <c r="I36" s="5">
        <f t="shared" si="13"/>
        <v>285.75</v>
      </c>
      <c r="J36" s="5">
        <f t="shared" si="14"/>
        <v>235.75</v>
      </c>
      <c r="K36">
        <v>7</v>
      </c>
      <c r="N36" s="119">
        <f>300+90</f>
        <v>390</v>
      </c>
      <c r="O36" s="49"/>
      <c r="P36" t="s">
        <v>285</v>
      </c>
    </row>
    <row r="37" spans="1:16">
      <c r="A37" s="6">
        <v>46071</v>
      </c>
      <c r="B37" s="4">
        <v>10</v>
      </c>
      <c r="C37" s="4">
        <v>44</v>
      </c>
      <c r="D37" s="4">
        <v>55</v>
      </c>
      <c r="E37" s="4">
        <v>1</v>
      </c>
      <c r="F37" s="4">
        <v>50</v>
      </c>
      <c r="G37" s="10">
        <f t="shared" si="15"/>
        <v>10.733333333333333</v>
      </c>
      <c r="H37" s="4">
        <v>50</v>
      </c>
      <c r="I37" s="5">
        <f t="shared" si="13"/>
        <v>590.33333333333326</v>
      </c>
      <c r="J37" s="5">
        <f t="shared" si="14"/>
        <v>540.33333333333326</v>
      </c>
      <c r="K37">
        <v>28</v>
      </c>
      <c r="N37" s="119">
        <f>150+150</f>
        <v>300</v>
      </c>
      <c r="P37" t="s">
        <v>286</v>
      </c>
    </row>
    <row r="38" spans="1:16">
      <c r="A38" s="6">
        <v>46072</v>
      </c>
      <c r="B38" s="4">
        <v>10</v>
      </c>
      <c r="C38" s="4">
        <v>40</v>
      </c>
      <c r="D38" s="4">
        <v>65</v>
      </c>
      <c r="E38" s="4">
        <v>1</v>
      </c>
      <c r="F38" s="4">
        <v>50</v>
      </c>
      <c r="G38" s="10">
        <f t="shared" si="15"/>
        <v>10.666666666666666</v>
      </c>
      <c r="H38" s="4">
        <v>50</v>
      </c>
      <c r="I38" s="5">
        <f t="shared" si="13"/>
        <v>693.33333333333326</v>
      </c>
      <c r="J38" s="5">
        <f t="shared" si="14"/>
        <v>643.33333333333326</v>
      </c>
      <c r="K38">
        <v>32</v>
      </c>
      <c r="N38" s="119">
        <f>500+150</f>
        <v>650</v>
      </c>
      <c r="P38" t="s">
        <v>46</v>
      </c>
    </row>
    <row r="39" spans="1:16">
      <c r="A39" s="6">
        <v>46073</v>
      </c>
      <c r="B39" s="4">
        <v>8</v>
      </c>
      <c r="C39" s="4">
        <v>46</v>
      </c>
      <c r="D39" s="4">
        <v>55</v>
      </c>
      <c r="E39" s="4">
        <v>1</v>
      </c>
      <c r="F39" s="4">
        <v>50</v>
      </c>
      <c r="G39" s="10">
        <f t="shared" si="15"/>
        <v>8.7666666666666675</v>
      </c>
      <c r="H39" s="4">
        <v>50</v>
      </c>
      <c r="I39" s="5">
        <f t="shared" si="13"/>
        <v>482.16666666666669</v>
      </c>
      <c r="J39" s="5">
        <f t="shared" si="14"/>
        <v>432.16666666666669</v>
      </c>
      <c r="K39">
        <v>28</v>
      </c>
      <c r="N39" s="119">
        <f>650+200</f>
        <v>850</v>
      </c>
      <c r="P39" t="s">
        <v>287</v>
      </c>
    </row>
    <row r="40" spans="1:16">
      <c r="A40" s="6">
        <v>46074</v>
      </c>
      <c r="B40" s="4">
        <v>9</v>
      </c>
      <c r="C40" s="4">
        <v>50</v>
      </c>
      <c r="D40" s="4">
        <v>55</v>
      </c>
      <c r="E40" s="4">
        <v>1</v>
      </c>
      <c r="F40" s="4">
        <v>50</v>
      </c>
      <c r="G40" s="10">
        <f t="shared" si="15"/>
        <v>9.8333333333333339</v>
      </c>
      <c r="H40" s="4">
        <v>50</v>
      </c>
      <c r="I40" s="5">
        <f t="shared" si="13"/>
        <v>540.83333333333337</v>
      </c>
      <c r="J40" s="5">
        <f t="shared" si="14"/>
        <v>490.83333333333337</v>
      </c>
      <c r="K40">
        <v>31</v>
      </c>
      <c r="N40" s="119">
        <v>150</v>
      </c>
      <c r="P40" s="51" t="s">
        <v>288</v>
      </c>
    </row>
    <row r="41" spans="1:16" ht="16" thickBot="1">
      <c r="A41" s="6">
        <v>46075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10">
        <v>0</v>
      </c>
      <c r="H41" s="4">
        <v>0</v>
      </c>
      <c r="I41" s="5">
        <f t="shared" si="13"/>
        <v>0</v>
      </c>
      <c r="J41" s="5">
        <f t="shared" si="14"/>
        <v>0</v>
      </c>
      <c r="K41">
        <v>0</v>
      </c>
      <c r="L41" s="1"/>
      <c r="N41" s="119">
        <f>710+400</f>
        <v>1110</v>
      </c>
    </row>
    <row r="42" spans="1:16" s="86" customFormat="1" ht="20" thickBot="1">
      <c r="A42" s="91" t="s">
        <v>48</v>
      </c>
      <c r="B42" s="8">
        <f>SUM(B43:B49)</f>
        <v>57</v>
      </c>
      <c r="C42" s="8">
        <f>SUM(C43:C49)</f>
        <v>124</v>
      </c>
      <c r="D42" s="8">
        <f>SUM(D43)</f>
        <v>55</v>
      </c>
      <c r="E42" s="8">
        <f>SUM(E43:E49)</f>
        <v>6</v>
      </c>
      <c r="F42" s="8">
        <f>SUM(F43:F49)</f>
        <v>350</v>
      </c>
      <c r="G42" s="93">
        <f t="shared" si="3"/>
        <v>59.06666666666667</v>
      </c>
      <c r="H42" s="8">
        <f>SUM(H43:H49)</f>
        <v>300</v>
      </c>
      <c r="I42" s="100">
        <f>SUM(I43:I49)</f>
        <v>3074</v>
      </c>
      <c r="J42" s="101">
        <f>SUM(J43:J49)</f>
        <v>2774</v>
      </c>
      <c r="K42" s="8">
        <f>SUM(K43:K49)</f>
        <v>170</v>
      </c>
      <c r="L42" s="104">
        <v>0</v>
      </c>
      <c r="M42" s="96">
        <f>J42+L42</f>
        <v>2774</v>
      </c>
      <c r="N42" s="99">
        <f>SUM(N43:N49)</f>
        <v>4350</v>
      </c>
      <c r="O42" s="98">
        <f>4427-N42</f>
        <v>77</v>
      </c>
    </row>
    <row r="43" spans="1:16">
      <c r="A43" s="6">
        <v>46069</v>
      </c>
      <c r="B43" s="4">
        <v>10</v>
      </c>
      <c r="C43" s="4">
        <v>41</v>
      </c>
      <c r="D43" s="4">
        <v>55</v>
      </c>
      <c r="E43" s="4">
        <v>1</v>
      </c>
      <c r="F43" s="4">
        <v>50</v>
      </c>
      <c r="G43" s="10">
        <f t="shared" si="3"/>
        <v>10.683333333333334</v>
      </c>
      <c r="H43" s="4">
        <v>50</v>
      </c>
      <c r="I43" s="5">
        <f t="shared" si="7"/>
        <v>587.58333333333337</v>
      </c>
      <c r="J43" s="5">
        <f>I43-H43</f>
        <v>537.58333333333337</v>
      </c>
      <c r="K43">
        <v>28</v>
      </c>
      <c r="N43" s="87">
        <f>150+600</f>
        <v>750</v>
      </c>
      <c r="P43" t="s">
        <v>27</v>
      </c>
    </row>
    <row r="44" spans="1:16">
      <c r="A44" s="6">
        <v>46070</v>
      </c>
      <c r="B44" s="4">
        <v>10</v>
      </c>
      <c r="C44" s="4">
        <v>30</v>
      </c>
      <c r="D44" s="4">
        <v>55</v>
      </c>
      <c r="E44" s="4">
        <v>1</v>
      </c>
      <c r="F44" s="4">
        <v>50</v>
      </c>
      <c r="G44" s="10">
        <f t="shared" si="3"/>
        <v>10.5</v>
      </c>
      <c r="H44" s="4">
        <v>50</v>
      </c>
      <c r="I44" s="5">
        <f t="shared" si="7"/>
        <v>577.5</v>
      </c>
      <c r="J44" s="5">
        <f t="shared" ref="J44:J49" si="16">I44-H44</f>
        <v>527.5</v>
      </c>
      <c r="K44">
        <v>30</v>
      </c>
      <c r="N44" s="81">
        <f>350+200+150</f>
        <v>700</v>
      </c>
      <c r="P44" t="s">
        <v>289</v>
      </c>
    </row>
    <row r="45" spans="1:16">
      <c r="A45" s="6">
        <v>46071</v>
      </c>
      <c r="B45" s="4">
        <v>10</v>
      </c>
      <c r="C45" s="4">
        <v>4</v>
      </c>
      <c r="D45" s="4">
        <v>55</v>
      </c>
      <c r="E45" s="4">
        <v>1</v>
      </c>
      <c r="F45" s="4">
        <v>50</v>
      </c>
      <c r="G45" s="10">
        <f t="shared" si="3"/>
        <v>10.066666666666666</v>
      </c>
      <c r="H45" s="4">
        <v>50</v>
      </c>
      <c r="I45" s="5">
        <f t="shared" si="7"/>
        <v>553.66666666666663</v>
      </c>
      <c r="J45" s="5">
        <f t="shared" si="16"/>
        <v>503.66666666666663</v>
      </c>
      <c r="K45">
        <v>31</v>
      </c>
      <c r="N45" s="81">
        <f>550+150</f>
        <v>700</v>
      </c>
      <c r="P45" t="s">
        <v>27</v>
      </c>
    </row>
    <row r="46" spans="1:16">
      <c r="A46" s="6">
        <v>46072</v>
      </c>
      <c r="B46" s="4">
        <v>0</v>
      </c>
      <c r="C46" s="4">
        <v>0</v>
      </c>
      <c r="D46" s="4">
        <v>45</v>
      </c>
      <c r="E46" s="4">
        <v>0</v>
      </c>
      <c r="F46" s="4">
        <v>50</v>
      </c>
      <c r="G46" s="10">
        <f t="shared" si="3"/>
        <v>0</v>
      </c>
      <c r="H46" s="4">
        <v>0</v>
      </c>
      <c r="I46" s="5">
        <f t="shared" si="7"/>
        <v>0</v>
      </c>
      <c r="J46" s="5">
        <f t="shared" si="16"/>
        <v>0</v>
      </c>
      <c r="N46" s="118">
        <v>0</v>
      </c>
    </row>
    <row r="47" spans="1:16">
      <c r="A47" s="6">
        <v>46073</v>
      </c>
      <c r="B47" s="4">
        <v>8</v>
      </c>
      <c r="C47" s="4">
        <v>14</v>
      </c>
      <c r="D47" s="4">
        <v>45</v>
      </c>
      <c r="E47" s="4">
        <v>1</v>
      </c>
      <c r="F47" s="4">
        <v>50</v>
      </c>
      <c r="G47" s="10">
        <f t="shared" si="3"/>
        <v>8.2333333333333325</v>
      </c>
      <c r="H47" s="4">
        <v>50</v>
      </c>
      <c r="I47" s="5">
        <f t="shared" si="7"/>
        <v>370.49999999999994</v>
      </c>
      <c r="J47" s="5">
        <f t="shared" si="16"/>
        <v>320.49999999999994</v>
      </c>
      <c r="K47">
        <v>26</v>
      </c>
      <c r="N47" s="81">
        <f>200+250</f>
        <v>450</v>
      </c>
      <c r="P47" t="s">
        <v>49</v>
      </c>
    </row>
    <row r="48" spans="1:16">
      <c r="A48" s="6">
        <v>46074</v>
      </c>
      <c r="B48" s="4">
        <v>10</v>
      </c>
      <c r="C48" s="4">
        <v>21</v>
      </c>
      <c r="D48" s="4">
        <v>55</v>
      </c>
      <c r="E48" s="4">
        <v>1</v>
      </c>
      <c r="F48" s="4">
        <v>50</v>
      </c>
      <c r="G48" s="10">
        <f t="shared" si="3"/>
        <v>10.35</v>
      </c>
      <c r="H48" s="4">
        <v>50</v>
      </c>
      <c r="I48" s="5">
        <f t="shared" si="7"/>
        <v>569.25</v>
      </c>
      <c r="J48" s="5">
        <f t="shared" si="16"/>
        <v>519.25</v>
      </c>
      <c r="K48">
        <v>27</v>
      </c>
      <c r="N48" s="118">
        <v>600</v>
      </c>
      <c r="P48" t="s">
        <v>290</v>
      </c>
    </row>
    <row r="49" spans="1:17" ht="16" thickBot="1">
      <c r="A49" s="6">
        <v>46075</v>
      </c>
      <c r="B49" s="4">
        <v>9</v>
      </c>
      <c r="C49" s="4">
        <v>14</v>
      </c>
      <c r="D49" s="4">
        <v>45</v>
      </c>
      <c r="E49" s="4">
        <v>1</v>
      </c>
      <c r="F49" s="4">
        <v>50</v>
      </c>
      <c r="G49" s="10">
        <f t="shared" si="3"/>
        <v>9.2333333333333325</v>
      </c>
      <c r="H49" s="4">
        <v>50</v>
      </c>
      <c r="I49" s="5">
        <f t="shared" si="7"/>
        <v>415.49999999999994</v>
      </c>
      <c r="J49" s="5">
        <f t="shared" si="16"/>
        <v>365.49999999999994</v>
      </c>
      <c r="K49">
        <v>28</v>
      </c>
      <c r="N49" s="87">
        <f>950+200</f>
        <v>1150</v>
      </c>
    </row>
    <row r="50" spans="1:17" s="54" customFormat="1" ht="20" thickBot="1">
      <c r="A50" s="72" t="s">
        <v>50</v>
      </c>
      <c r="B50" s="44">
        <f>SUM(B51:B57)</f>
        <v>68</v>
      </c>
      <c r="C50" s="44">
        <f>SUM(C51:C57)</f>
        <v>162</v>
      </c>
      <c r="D50" s="44">
        <f>SUM(D51)</f>
        <v>65</v>
      </c>
      <c r="E50" s="44">
        <f>SUM(E51:E57)</f>
        <v>7</v>
      </c>
      <c r="F50" s="44">
        <f>SUM(F51:F57)</f>
        <v>350</v>
      </c>
      <c r="G50" s="67">
        <f t="shared" si="3"/>
        <v>70.7</v>
      </c>
      <c r="H50" s="44">
        <f>SUM(H51:H57)</f>
        <v>350</v>
      </c>
      <c r="I50" s="46">
        <f>SUM(I51:I57)</f>
        <v>4313.833333333333</v>
      </c>
      <c r="J50" s="47">
        <f>SUM(J51:J57)</f>
        <v>3963.833333333333</v>
      </c>
      <c r="K50" s="44">
        <f>SUM(K51:K57)</f>
        <v>269</v>
      </c>
      <c r="L50" s="46">
        <v>200</v>
      </c>
      <c r="M50" s="69">
        <f>J50+L50</f>
        <v>4163.833333333333</v>
      </c>
      <c r="N50" s="63">
        <f>SUM(N51:N57)</f>
        <v>5637</v>
      </c>
      <c r="O50" s="90">
        <f>5627-N50</f>
        <v>-10</v>
      </c>
    </row>
    <row r="51" spans="1:17" ht="19">
      <c r="A51" s="6">
        <v>46069</v>
      </c>
      <c r="B51" s="4">
        <v>10</v>
      </c>
      <c r="C51" s="4">
        <v>24</v>
      </c>
      <c r="D51" s="4">
        <v>65</v>
      </c>
      <c r="E51" s="4">
        <v>1</v>
      </c>
      <c r="F51" s="4">
        <v>50</v>
      </c>
      <c r="G51" s="10">
        <f>B51+C51/60</f>
        <v>10.4</v>
      </c>
      <c r="H51" s="4">
        <v>50</v>
      </c>
      <c r="I51" s="5">
        <f>G51*D51</f>
        <v>676</v>
      </c>
      <c r="J51" s="5">
        <f>I51-H51</f>
        <v>626</v>
      </c>
      <c r="K51">
        <v>38</v>
      </c>
      <c r="N51" s="51">
        <f>150+300+200</f>
        <v>650</v>
      </c>
      <c r="O51" s="49"/>
      <c r="P51" t="s">
        <v>291</v>
      </c>
    </row>
    <row r="52" spans="1:17">
      <c r="A52" s="6">
        <v>46070</v>
      </c>
      <c r="B52" s="4">
        <v>11</v>
      </c>
      <c r="C52" s="4">
        <v>20</v>
      </c>
      <c r="D52" s="4">
        <v>55</v>
      </c>
      <c r="E52" s="4">
        <v>1</v>
      </c>
      <c r="F52" s="4">
        <v>50</v>
      </c>
      <c r="G52" s="10">
        <f t="shared" ref="G52" si="17">B52+C52/60</f>
        <v>11.333333333333334</v>
      </c>
      <c r="H52" s="4">
        <v>50</v>
      </c>
      <c r="I52" s="5">
        <f t="shared" ref="I52" si="18">G52*D52</f>
        <v>623.33333333333337</v>
      </c>
      <c r="J52" s="5">
        <f>I52-H52</f>
        <v>573.33333333333337</v>
      </c>
      <c r="K52">
        <v>30</v>
      </c>
      <c r="N52" s="51">
        <f>150+400+200</f>
        <v>750</v>
      </c>
      <c r="P52" t="s">
        <v>292</v>
      </c>
    </row>
    <row r="53" spans="1:17">
      <c r="A53" s="6">
        <v>46071</v>
      </c>
      <c r="B53" s="4">
        <v>10</v>
      </c>
      <c r="C53" s="4">
        <v>4</v>
      </c>
      <c r="D53" s="4">
        <v>65</v>
      </c>
      <c r="E53" s="4">
        <v>1</v>
      </c>
      <c r="F53" s="4">
        <v>50</v>
      </c>
      <c r="G53" s="10">
        <f>B53+C53/60</f>
        <v>10.066666666666666</v>
      </c>
      <c r="H53" s="4">
        <v>50</v>
      </c>
      <c r="I53" s="5">
        <f>G53*D53</f>
        <v>654.33333333333337</v>
      </c>
      <c r="J53" s="5">
        <f>I53-H53</f>
        <v>604.33333333333337</v>
      </c>
      <c r="K53">
        <v>46</v>
      </c>
      <c r="N53" s="51">
        <f>987</f>
        <v>987</v>
      </c>
      <c r="P53" t="s">
        <v>293</v>
      </c>
    </row>
    <row r="54" spans="1:17">
      <c r="A54" s="6">
        <v>46072</v>
      </c>
      <c r="B54" s="4">
        <v>8</v>
      </c>
      <c r="C54" s="4">
        <v>25</v>
      </c>
      <c r="D54" s="4">
        <v>55</v>
      </c>
      <c r="E54" s="4">
        <v>1</v>
      </c>
      <c r="F54" s="4">
        <v>50</v>
      </c>
      <c r="G54" s="10">
        <f>B54+C54/60</f>
        <v>8.4166666666666661</v>
      </c>
      <c r="H54" s="4">
        <v>50</v>
      </c>
      <c r="I54" s="5">
        <f>G54*D54</f>
        <v>462.91666666666663</v>
      </c>
      <c r="J54" s="5">
        <f>I54-H54</f>
        <v>412.91666666666663</v>
      </c>
      <c r="K54">
        <v>31</v>
      </c>
      <c r="N54" s="51">
        <v>800</v>
      </c>
      <c r="P54" t="s">
        <v>294</v>
      </c>
    </row>
    <row r="55" spans="1:17">
      <c r="A55" s="6">
        <v>46073</v>
      </c>
      <c r="B55" s="4">
        <v>8</v>
      </c>
      <c r="C55" s="4">
        <v>25</v>
      </c>
      <c r="D55" s="4">
        <v>55</v>
      </c>
      <c r="E55" s="4">
        <v>1</v>
      </c>
      <c r="F55" s="4">
        <v>50</v>
      </c>
      <c r="G55" s="10">
        <f>B55+C55/60</f>
        <v>8.4166666666666661</v>
      </c>
      <c r="H55" s="4">
        <v>50</v>
      </c>
      <c r="I55" s="5">
        <f>G55*D55</f>
        <v>462.91666666666663</v>
      </c>
      <c r="J55" s="5">
        <f t="shared" si="8"/>
        <v>412.91666666666663</v>
      </c>
      <c r="K55">
        <v>31</v>
      </c>
      <c r="N55" s="51">
        <v>0</v>
      </c>
      <c r="P55" t="s">
        <v>295</v>
      </c>
    </row>
    <row r="56" spans="1:17">
      <c r="A56" s="6">
        <v>46074</v>
      </c>
      <c r="B56" s="4">
        <v>10</v>
      </c>
      <c r="C56" s="4">
        <v>59</v>
      </c>
      <c r="D56" s="4">
        <v>65</v>
      </c>
      <c r="E56" s="4">
        <v>1</v>
      </c>
      <c r="F56" s="4">
        <v>50</v>
      </c>
      <c r="G56" s="10">
        <f>B56+C56/60</f>
        <v>10.983333333333333</v>
      </c>
      <c r="H56" s="4">
        <v>50</v>
      </c>
      <c r="I56" s="5">
        <f>G56*D56</f>
        <v>713.91666666666663</v>
      </c>
      <c r="J56" s="5">
        <f>I56-H56</f>
        <v>663.91666666666663</v>
      </c>
      <c r="K56">
        <v>43</v>
      </c>
      <c r="N56" s="51">
        <f>150+850</f>
        <v>1000</v>
      </c>
      <c r="P56" t="s">
        <v>296</v>
      </c>
    </row>
    <row r="57" spans="1:17" ht="16" thickBot="1">
      <c r="A57" s="6">
        <v>46075</v>
      </c>
      <c r="B57" s="4">
        <v>11</v>
      </c>
      <c r="C57" s="4">
        <v>5</v>
      </c>
      <c r="D57" s="4">
        <v>65</v>
      </c>
      <c r="E57" s="4">
        <v>1</v>
      </c>
      <c r="F57" s="4">
        <v>50</v>
      </c>
      <c r="G57" s="10">
        <f>B57+C57/60</f>
        <v>11.083333333333334</v>
      </c>
      <c r="H57" s="4">
        <v>50</v>
      </c>
      <c r="I57" s="5">
        <f>G57*D57</f>
        <v>720.41666666666674</v>
      </c>
      <c r="J57" s="5">
        <f t="shared" si="8"/>
        <v>670.41666666666674</v>
      </c>
      <c r="K57">
        <v>50</v>
      </c>
      <c r="N57" s="51">
        <v>1450</v>
      </c>
      <c r="P57" t="s">
        <v>297</v>
      </c>
    </row>
    <row r="58" spans="1:17" s="54" customFormat="1" ht="20" thickBot="1">
      <c r="A58" s="72" t="s">
        <v>140</v>
      </c>
      <c r="B58" s="44">
        <f>SUM(B59:B65)</f>
        <v>48</v>
      </c>
      <c r="C58" s="44">
        <f>SUM(C59:C65)</f>
        <v>173</v>
      </c>
      <c r="D58" s="44">
        <f>SUM(D59)</f>
        <v>45</v>
      </c>
      <c r="E58" s="44">
        <f>SUM(E59:E65)</f>
        <v>6</v>
      </c>
      <c r="F58" s="44">
        <f>SUM(F59:F65)</f>
        <v>350</v>
      </c>
      <c r="G58" s="67">
        <f t="shared" si="3"/>
        <v>50.883333333333333</v>
      </c>
      <c r="H58" s="44">
        <f>SUM(H59:H65)</f>
        <v>300</v>
      </c>
      <c r="I58" s="46">
        <f>SUM(I59:I65)</f>
        <v>3274.0833333333335</v>
      </c>
      <c r="J58" s="47">
        <f>SUM(J59:J65)</f>
        <v>2974.0833333333335</v>
      </c>
      <c r="K58" s="44">
        <f>SUM(K59:K65)</f>
        <v>194</v>
      </c>
      <c r="L58" s="46">
        <v>0</v>
      </c>
      <c r="M58" s="69">
        <f>J58</f>
        <v>2974.0833333333335</v>
      </c>
      <c r="N58" s="63">
        <f>SUM(N59:N65)</f>
        <v>4843</v>
      </c>
      <c r="O58" s="90">
        <f>4851-N58</f>
        <v>8</v>
      </c>
    </row>
    <row r="59" spans="1:17">
      <c r="A59" s="6">
        <v>46069</v>
      </c>
      <c r="B59" s="4">
        <v>0</v>
      </c>
      <c r="C59" s="4">
        <v>0</v>
      </c>
      <c r="D59" s="4">
        <v>45</v>
      </c>
      <c r="E59" s="4">
        <v>0</v>
      </c>
      <c r="F59" s="4">
        <v>50</v>
      </c>
      <c r="G59" s="10">
        <f t="shared" si="3"/>
        <v>0</v>
      </c>
      <c r="H59" s="4">
        <v>0</v>
      </c>
      <c r="I59" s="5">
        <f t="shared" ref="I59:I65" si="19">G59*D59</f>
        <v>0</v>
      </c>
      <c r="J59" s="5">
        <f t="shared" ref="J59:J61" si="20">I59-H59</f>
        <v>0</v>
      </c>
      <c r="K59">
        <v>0</v>
      </c>
      <c r="L59">
        <v>300</v>
      </c>
      <c r="N59" s="51">
        <v>0</v>
      </c>
      <c r="O59" s="51"/>
    </row>
    <row r="60" spans="1:17">
      <c r="A60" s="6">
        <v>46070</v>
      </c>
      <c r="B60" s="4">
        <v>9</v>
      </c>
      <c r="C60" s="4">
        <v>33</v>
      </c>
      <c r="D60" s="4">
        <v>65</v>
      </c>
      <c r="E60" s="4">
        <v>1</v>
      </c>
      <c r="F60" s="4">
        <v>50</v>
      </c>
      <c r="G60" s="10">
        <f t="shared" si="3"/>
        <v>9.5500000000000007</v>
      </c>
      <c r="H60" s="4">
        <v>50</v>
      </c>
      <c r="I60" s="5">
        <f t="shared" si="19"/>
        <v>620.75</v>
      </c>
      <c r="J60" s="5">
        <f t="shared" si="20"/>
        <v>570.75</v>
      </c>
      <c r="K60">
        <v>36</v>
      </c>
      <c r="L60">
        <v>300</v>
      </c>
      <c r="N60" s="51">
        <f>313+200+200</f>
        <v>713</v>
      </c>
      <c r="P60" t="s">
        <v>298</v>
      </c>
    </row>
    <row r="61" spans="1:17">
      <c r="A61" s="6">
        <v>46071</v>
      </c>
      <c r="B61" s="4">
        <v>10</v>
      </c>
      <c r="C61" s="4">
        <v>12</v>
      </c>
      <c r="D61" s="4">
        <v>65</v>
      </c>
      <c r="E61" s="4">
        <v>1</v>
      </c>
      <c r="F61" s="4">
        <v>50</v>
      </c>
      <c r="G61" s="10">
        <f t="shared" si="3"/>
        <v>10.199999999999999</v>
      </c>
      <c r="H61" s="4">
        <v>50</v>
      </c>
      <c r="I61" s="5">
        <f t="shared" si="19"/>
        <v>663</v>
      </c>
      <c r="J61" s="5">
        <f t="shared" si="20"/>
        <v>613</v>
      </c>
      <c r="K61">
        <v>34</v>
      </c>
      <c r="N61" s="51">
        <v>0</v>
      </c>
      <c r="Q61" t="s">
        <v>64</v>
      </c>
    </row>
    <row r="62" spans="1:17">
      <c r="A62" s="6">
        <v>46072</v>
      </c>
      <c r="B62" s="4">
        <v>1</v>
      </c>
      <c r="C62" s="4">
        <v>40</v>
      </c>
      <c r="D62" s="4">
        <v>45</v>
      </c>
      <c r="E62" s="4">
        <v>1</v>
      </c>
      <c r="F62" s="4">
        <v>50</v>
      </c>
      <c r="G62" s="10">
        <f t="shared" si="3"/>
        <v>1.6666666666666665</v>
      </c>
      <c r="H62" s="4">
        <v>50</v>
      </c>
      <c r="I62" s="5">
        <f t="shared" si="19"/>
        <v>75</v>
      </c>
      <c r="J62" s="5">
        <f>I62-H62</f>
        <v>25</v>
      </c>
      <c r="K62">
        <v>6</v>
      </c>
      <c r="N62" s="51">
        <v>0</v>
      </c>
      <c r="P62" t="s">
        <v>299</v>
      </c>
    </row>
    <row r="63" spans="1:17">
      <c r="A63" s="6">
        <v>46073</v>
      </c>
      <c r="B63" s="4">
        <v>8</v>
      </c>
      <c r="C63" s="4">
        <v>48</v>
      </c>
      <c r="D63" s="4">
        <v>65</v>
      </c>
      <c r="E63" s="4">
        <v>1</v>
      </c>
      <c r="F63" s="4">
        <v>50</v>
      </c>
      <c r="G63" s="10">
        <f t="shared" si="3"/>
        <v>8.8000000000000007</v>
      </c>
      <c r="H63" s="4">
        <v>50</v>
      </c>
      <c r="I63" s="5">
        <f t="shared" si="19"/>
        <v>572</v>
      </c>
      <c r="J63" s="5">
        <f>I63-H63</f>
        <v>522</v>
      </c>
      <c r="K63">
        <v>35</v>
      </c>
      <c r="N63" s="51">
        <v>1160</v>
      </c>
      <c r="P63" t="s">
        <v>300</v>
      </c>
      <c r="Q63" t="s">
        <v>64</v>
      </c>
    </row>
    <row r="64" spans="1:17">
      <c r="A64" s="6">
        <v>46074</v>
      </c>
      <c r="B64" s="4">
        <v>10</v>
      </c>
      <c r="C64" s="4">
        <v>28</v>
      </c>
      <c r="D64" s="4">
        <v>65</v>
      </c>
      <c r="E64" s="4">
        <v>1</v>
      </c>
      <c r="F64" s="4">
        <v>50</v>
      </c>
      <c r="G64" s="10">
        <f t="shared" si="3"/>
        <v>10.466666666666667</v>
      </c>
      <c r="H64" s="4">
        <v>50</v>
      </c>
      <c r="I64" s="5">
        <f t="shared" si="19"/>
        <v>680.33333333333337</v>
      </c>
      <c r="J64" s="5">
        <f>I64-H64</f>
        <v>630.33333333333337</v>
      </c>
      <c r="K64">
        <v>40</v>
      </c>
      <c r="N64" s="51">
        <f>200+200</f>
        <v>400</v>
      </c>
      <c r="P64" t="s">
        <v>301</v>
      </c>
    </row>
    <row r="65" spans="1:17" ht="16" thickBot="1">
      <c r="A65" s="6">
        <v>46075</v>
      </c>
      <c r="B65" s="4">
        <v>10</v>
      </c>
      <c r="C65" s="4">
        <v>12</v>
      </c>
      <c r="D65" s="4">
        <v>65</v>
      </c>
      <c r="E65" s="4">
        <v>1</v>
      </c>
      <c r="F65" s="4">
        <v>50</v>
      </c>
      <c r="G65" s="10">
        <f t="shared" si="3"/>
        <v>10.199999999999999</v>
      </c>
      <c r="H65" s="4">
        <v>50</v>
      </c>
      <c r="I65" s="5">
        <f t="shared" si="19"/>
        <v>663</v>
      </c>
      <c r="J65" s="5">
        <f>I65-H65</f>
        <v>613</v>
      </c>
      <c r="K65">
        <v>43</v>
      </c>
      <c r="N65" s="51">
        <v>2570</v>
      </c>
      <c r="P65" t="s">
        <v>302</v>
      </c>
    </row>
    <row r="66" spans="1:17" s="86" customFormat="1" ht="20" thickBot="1">
      <c r="A66" s="91" t="s">
        <v>303</v>
      </c>
      <c r="B66" s="8">
        <f>SUM(B67:B73)</f>
        <v>37</v>
      </c>
      <c r="C66" s="8">
        <f>SUM(C67:C73)</f>
        <v>106</v>
      </c>
      <c r="D66" s="8">
        <f>SUM(D67)</f>
        <v>45</v>
      </c>
      <c r="E66" s="8">
        <f>SUM(E67:E73)</f>
        <v>7</v>
      </c>
      <c r="F66" s="8">
        <f>SUM(F67:F73)</f>
        <v>350</v>
      </c>
      <c r="G66" s="93">
        <f t="shared" si="3"/>
        <v>38.766666666666666</v>
      </c>
      <c r="H66" s="8">
        <f>SUM(H67:H73)</f>
        <v>200</v>
      </c>
      <c r="I66" s="9">
        <f>SUM(I67:I73)</f>
        <v>1744.5</v>
      </c>
      <c r="J66" s="14">
        <f>SUM(J67:J73)</f>
        <v>1544.5</v>
      </c>
      <c r="K66" s="8">
        <f>SUM(K67:K73)</f>
        <v>80</v>
      </c>
      <c r="L66" s="9">
        <v>0</v>
      </c>
      <c r="M66" s="96">
        <f>J66</f>
        <v>1544.5</v>
      </c>
      <c r="N66" s="102">
        <f>SUM(N67:N73)</f>
        <v>2010</v>
      </c>
      <c r="O66" s="98">
        <f>1702-N66</f>
        <v>-308</v>
      </c>
    </row>
    <row r="67" spans="1:17">
      <c r="A67" s="6">
        <v>46069</v>
      </c>
      <c r="B67" s="4">
        <v>0</v>
      </c>
      <c r="C67" s="4">
        <v>0</v>
      </c>
      <c r="D67" s="4">
        <v>45</v>
      </c>
      <c r="E67" s="4">
        <v>1</v>
      </c>
      <c r="F67" s="4">
        <v>50</v>
      </c>
      <c r="G67" s="10">
        <f>B67+C67/60</f>
        <v>0</v>
      </c>
      <c r="H67" s="4">
        <v>0</v>
      </c>
      <c r="I67" s="5">
        <f t="shared" ref="I67:I73" si="21">G67*D67</f>
        <v>0</v>
      </c>
      <c r="J67" s="5">
        <f>I67-H67</f>
        <v>0</v>
      </c>
      <c r="K67">
        <v>0</v>
      </c>
      <c r="N67" s="119">
        <v>0</v>
      </c>
      <c r="O67" s="51"/>
    </row>
    <row r="68" spans="1:17">
      <c r="A68" s="6">
        <v>46070</v>
      </c>
      <c r="B68" s="4">
        <v>0</v>
      </c>
      <c r="C68" s="4">
        <v>0</v>
      </c>
      <c r="D68" s="4">
        <v>45</v>
      </c>
      <c r="E68" s="4">
        <v>1</v>
      </c>
      <c r="F68" s="4">
        <v>50</v>
      </c>
      <c r="G68" s="10">
        <f t="shared" ref="G68:G70" si="22">B68+C68/60</f>
        <v>0</v>
      </c>
      <c r="H68" s="4">
        <v>0</v>
      </c>
      <c r="I68" s="5">
        <f t="shared" si="21"/>
        <v>0</v>
      </c>
      <c r="J68" s="5">
        <f t="shared" ref="J68:J73" si="23">I68-H68</f>
        <v>0</v>
      </c>
      <c r="K68">
        <v>0</v>
      </c>
      <c r="N68" s="119">
        <v>0</v>
      </c>
    </row>
    <row r="69" spans="1:17">
      <c r="A69" s="6">
        <v>46071</v>
      </c>
      <c r="B69" s="4">
        <v>0</v>
      </c>
      <c r="C69" s="4">
        <v>0</v>
      </c>
      <c r="D69" s="4">
        <v>45</v>
      </c>
      <c r="E69" s="4">
        <v>1</v>
      </c>
      <c r="F69" s="4">
        <v>50</v>
      </c>
      <c r="G69" s="10">
        <f t="shared" si="22"/>
        <v>0</v>
      </c>
      <c r="H69" s="4">
        <v>0</v>
      </c>
      <c r="I69" s="5">
        <f t="shared" si="21"/>
        <v>0</v>
      </c>
      <c r="J69" s="5">
        <f t="shared" si="23"/>
        <v>0</v>
      </c>
      <c r="K69">
        <v>0</v>
      </c>
      <c r="N69" s="119">
        <v>0</v>
      </c>
      <c r="Q69" t="s">
        <v>64</v>
      </c>
    </row>
    <row r="70" spans="1:17">
      <c r="A70" s="80" t="s">
        <v>272</v>
      </c>
      <c r="B70" s="4">
        <v>10</v>
      </c>
      <c r="C70" s="4">
        <v>30</v>
      </c>
      <c r="D70" s="4">
        <v>45</v>
      </c>
      <c r="E70" s="4">
        <v>1</v>
      </c>
      <c r="F70" s="4">
        <v>50</v>
      </c>
      <c r="G70" s="10">
        <f t="shared" si="22"/>
        <v>10.5</v>
      </c>
      <c r="H70" s="4">
        <v>50</v>
      </c>
      <c r="I70" s="5">
        <f t="shared" si="21"/>
        <v>472.5</v>
      </c>
      <c r="J70" s="5">
        <f t="shared" si="23"/>
        <v>422.5</v>
      </c>
      <c r="K70">
        <v>21</v>
      </c>
      <c r="N70" s="83">
        <v>430</v>
      </c>
    </row>
    <row r="71" spans="1:17">
      <c r="A71" s="80" t="s">
        <v>267</v>
      </c>
      <c r="B71" s="4">
        <v>9</v>
      </c>
      <c r="C71" s="4">
        <v>13</v>
      </c>
      <c r="D71" s="4">
        <v>45</v>
      </c>
      <c r="E71" s="4">
        <v>1</v>
      </c>
      <c r="F71" s="4">
        <v>50</v>
      </c>
      <c r="G71" s="10">
        <f>B71+C71/60</f>
        <v>9.2166666666666668</v>
      </c>
      <c r="H71" s="4">
        <v>50</v>
      </c>
      <c r="I71" s="5">
        <f t="shared" si="21"/>
        <v>414.75</v>
      </c>
      <c r="J71" s="5">
        <f t="shared" si="23"/>
        <v>364.75</v>
      </c>
      <c r="K71">
        <v>22</v>
      </c>
      <c r="N71" s="119">
        <v>0</v>
      </c>
      <c r="P71" s="128" t="s">
        <v>304</v>
      </c>
    </row>
    <row r="72" spans="1:17">
      <c r="A72" s="80" t="s">
        <v>273</v>
      </c>
      <c r="B72" s="4">
        <v>10</v>
      </c>
      <c r="C72" s="4">
        <v>8</v>
      </c>
      <c r="D72" s="4">
        <v>45</v>
      </c>
      <c r="E72" s="4">
        <v>1</v>
      </c>
      <c r="F72" s="4">
        <v>50</v>
      </c>
      <c r="G72" s="10">
        <f>B72+C72/60</f>
        <v>10.133333333333333</v>
      </c>
      <c r="H72" s="4">
        <v>50</v>
      </c>
      <c r="I72" s="5">
        <f t="shared" si="21"/>
        <v>456</v>
      </c>
      <c r="J72" s="5">
        <f t="shared" si="23"/>
        <v>406</v>
      </c>
      <c r="K72">
        <v>20</v>
      </c>
      <c r="N72" s="119">
        <v>0</v>
      </c>
    </row>
    <row r="73" spans="1:17" ht="16" thickBot="1">
      <c r="A73" s="80" t="s">
        <v>274</v>
      </c>
      <c r="B73" s="4">
        <v>8</v>
      </c>
      <c r="C73" s="4">
        <v>55</v>
      </c>
      <c r="D73" s="4">
        <v>45</v>
      </c>
      <c r="E73" s="4">
        <v>1</v>
      </c>
      <c r="F73" s="4">
        <v>50</v>
      </c>
      <c r="G73" s="10">
        <f>B73+C73/60</f>
        <v>8.9166666666666661</v>
      </c>
      <c r="H73" s="4">
        <v>50</v>
      </c>
      <c r="I73" s="5">
        <f t="shared" si="21"/>
        <v>401.25</v>
      </c>
      <c r="J73" s="5">
        <f t="shared" si="23"/>
        <v>351.25</v>
      </c>
      <c r="K73">
        <v>17</v>
      </c>
      <c r="N73" s="82">
        <f>200+1380</f>
        <v>1580</v>
      </c>
      <c r="P73" t="s">
        <v>290</v>
      </c>
    </row>
    <row r="74" spans="1:17" s="86" customFormat="1" ht="20" thickBot="1">
      <c r="A74" s="91" t="s">
        <v>74</v>
      </c>
      <c r="B74" s="8">
        <f>SUM(B75:B81)</f>
        <v>38</v>
      </c>
      <c r="C74" s="8">
        <f>SUM(C75:C81)</f>
        <v>114</v>
      </c>
      <c r="D74" s="8">
        <f>SUM(D75)</f>
        <v>45</v>
      </c>
      <c r="E74" s="8">
        <f>SUM(E75:E81)</f>
        <v>7</v>
      </c>
      <c r="F74" s="8">
        <f>SUM(F75:F81)</f>
        <v>350</v>
      </c>
      <c r="G74" s="93">
        <f t="shared" ref="G74" si="24">B74+C74/60</f>
        <v>39.9</v>
      </c>
      <c r="H74" s="8">
        <f>SUM(H75:H81)</f>
        <v>250</v>
      </c>
      <c r="I74" s="9">
        <f>SUM(I75:I81)</f>
        <v>1795.5</v>
      </c>
      <c r="J74" s="14">
        <f>SUM(J75:J81)</f>
        <v>1545.5</v>
      </c>
      <c r="K74" s="8">
        <f>SUM(K75:K81)</f>
        <v>105</v>
      </c>
      <c r="L74" s="9">
        <v>0</v>
      </c>
      <c r="M74" s="96">
        <f>J74</f>
        <v>1545.5</v>
      </c>
      <c r="N74" s="102">
        <f>SUM(N75:N81)</f>
        <v>1701</v>
      </c>
      <c r="O74" s="98">
        <f>1896-N74</f>
        <v>195</v>
      </c>
    </row>
    <row r="75" spans="1:17">
      <c r="A75" s="80" t="s">
        <v>276</v>
      </c>
      <c r="B75" s="4">
        <v>7</v>
      </c>
      <c r="C75" s="4">
        <v>23</v>
      </c>
      <c r="D75" s="4">
        <v>45</v>
      </c>
      <c r="E75" s="4">
        <v>1</v>
      </c>
      <c r="F75" s="4">
        <v>50</v>
      </c>
      <c r="G75" s="10">
        <f>B75+C75/60</f>
        <v>7.3833333333333337</v>
      </c>
      <c r="H75" s="7">
        <v>50</v>
      </c>
      <c r="I75" s="5">
        <f t="shared" ref="I75:I80" si="25">G75*D75</f>
        <v>332.25</v>
      </c>
      <c r="J75" s="5">
        <f>I75-H75</f>
        <v>282.25</v>
      </c>
      <c r="K75">
        <v>26</v>
      </c>
      <c r="N75" s="83">
        <f>150+230</f>
        <v>380</v>
      </c>
      <c r="O75" s="51"/>
      <c r="P75" t="s">
        <v>305</v>
      </c>
    </row>
    <row r="76" spans="1:17">
      <c r="A76" s="80" t="s">
        <v>262</v>
      </c>
      <c r="B76" s="4">
        <v>9</v>
      </c>
      <c r="C76" s="4">
        <v>4</v>
      </c>
      <c r="D76" s="4">
        <v>45</v>
      </c>
      <c r="E76" s="4">
        <v>1</v>
      </c>
      <c r="F76" s="4">
        <v>50</v>
      </c>
      <c r="G76" s="10">
        <f t="shared" ref="G76:G78" si="26">B76+C76/60</f>
        <v>9.0666666666666664</v>
      </c>
      <c r="H76" s="4">
        <v>50</v>
      </c>
      <c r="I76" s="5">
        <f t="shared" si="25"/>
        <v>408</v>
      </c>
      <c r="J76" s="5">
        <f>I76-H76</f>
        <v>358</v>
      </c>
      <c r="K76">
        <v>21</v>
      </c>
      <c r="N76" s="83">
        <f>591+100</f>
        <v>691</v>
      </c>
      <c r="P76" t="s">
        <v>69</v>
      </c>
    </row>
    <row r="77" spans="1:17">
      <c r="A77" s="80" t="s">
        <v>264</v>
      </c>
      <c r="B77" s="4">
        <v>8</v>
      </c>
      <c r="C77" s="4">
        <v>26</v>
      </c>
      <c r="D77" s="4">
        <v>45</v>
      </c>
      <c r="E77" s="4">
        <v>1</v>
      </c>
      <c r="F77" s="4">
        <v>50</v>
      </c>
      <c r="G77" s="10">
        <f t="shared" si="26"/>
        <v>8.4333333333333336</v>
      </c>
      <c r="H77" s="4">
        <v>50</v>
      </c>
      <c r="I77" s="5">
        <f t="shared" si="25"/>
        <v>379.5</v>
      </c>
      <c r="J77" s="5">
        <f t="shared" ref="J77:J78" si="27">I77-H77</f>
        <v>329.5</v>
      </c>
      <c r="K77">
        <v>24</v>
      </c>
      <c r="N77" s="119">
        <v>0</v>
      </c>
      <c r="Q77" t="s">
        <v>64</v>
      </c>
    </row>
    <row r="78" spans="1:17">
      <c r="A78" s="80" t="s">
        <v>272</v>
      </c>
      <c r="B78" s="4">
        <v>8</v>
      </c>
      <c r="C78" s="4">
        <v>5</v>
      </c>
      <c r="D78" s="4">
        <v>45</v>
      </c>
      <c r="E78" s="4">
        <v>1</v>
      </c>
      <c r="F78" s="4">
        <v>50</v>
      </c>
      <c r="G78" s="10">
        <f t="shared" si="26"/>
        <v>8.0833333333333339</v>
      </c>
      <c r="H78" s="4">
        <v>50</v>
      </c>
      <c r="I78" s="5">
        <f t="shared" si="25"/>
        <v>363.75</v>
      </c>
      <c r="J78" s="5">
        <f t="shared" si="27"/>
        <v>313.75</v>
      </c>
      <c r="K78">
        <v>13</v>
      </c>
      <c r="N78" s="119">
        <v>0</v>
      </c>
    </row>
    <row r="79" spans="1:17">
      <c r="A79" s="80" t="s">
        <v>267</v>
      </c>
      <c r="B79" s="4">
        <v>0</v>
      </c>
      <c r="C79" s="4">
        <v>0</v>
      </c>
      <c r="D79" s="4">
        <v>45</v>
      </c>
      <c r="E79" s="4">
        <v>1</v>
      </c>
      <c r="F79" s="4">
        <v>50</v>
      </c>
      <c r="G79" s="10">
        <f>B79+C79/60</f>
        <v>0</v>
      </c>
      <c r="H79" s="4">
        <v>0</v>
      </c>
      <c r="I79" s="5">
        <f t="shared" si="25"/>
        <v>0</v>
      </c>
      <c r="J79" s="5">
        <f>I79-H79</f>
        <v>0</v>
      </c>
      <c r="K79">
        <v>0</v>
      </c>
      <c r="N79" s="119">
        <v>130</v>
      </c>
    </row>
    <row r="80" spans="1:17">
      <c r="A80" s="80" t="s">
        <v>273</v>
      </c>
      <c r="B80" s="4">
        <v>6</v>
      </c>
      <c r="C80" s="4">
        <v>56</v>
      </c>
      <c r="D80" s="4">
        <v>45</v>
      </c>
      <c r="E80" s="4">
        <v>1</v>
      </c>
      <c r="F80" s="4">
        <v>50</v>
      </c>
      <c r="G80" s="10">
        <f>B80+C80/60</f>
        <v>6.9333333333333336</v>
      </c>
      <c r="H80" s="4">
        <v>50</v>
      </c>
      <c r="I80" s="5">
        <f t="shared" si="25"/>
        <v>312</v>
      </c>
      <c r="J80" s="5">
        <f>I80-H80</f>
        <v>262</v>
      </c>
      <c r="K80">
        <v>21</v>
      </c>
      <c r="N80" s="119">
        <f>150+200+150</f>
        <v>500</v>
      </c>
      <c r="P80" t="s">
        <v>306</v>
      </c>
    </row>
    <row r="81" spans="1:17" ht="16" thickBot="1">
      <c r="A81" s="80" t="s">
        <v>274</v>
      </c>
      <c r="B81" s="4">
        <v>0</v>
      </c>
      <c r="C81" s="4">
        <v>0</v>
      </c>
      <c r="D81" s="4">
        <v>45</v>
      </c>
      <c r="E81" s="4">
        <v>1</v>
      </c>
      <c r="F81" s="4">
        <v>50</v>
      </c>
      <c r="G81" s="10">
        <v>0</v>
      </c>
      <c r="H81" s="4">
        <v>0</v>
      </c>
      <c r="I81" s="5">
        <v>0</v>
      </c>
      <c r="J81" s="5">
        <v>0</v>
      </c>
      <c r="K81">
        <v>0</v>
      </c>
      <c r="N81" s="119">
        <v>0</v>
      </c>
    </row>
    <row r="82" spans="1:17" ht="20" thickBot="1">
      <c r="A82" s="91" t="s">
        <v>76</v>
      </c>
      <c r="B82" s="8">
        <f>SUM(B83:B89)</f>
        <v>56</v>
      </c>
      <c r="C82" s="8">
        <f>SUM(C83:C89)</f>
        <v>228</v>
      </c>
      <c r="D82" s="8">
        <f>SUM(D83)</f>
        <v>45</v>
      </c>
      <c r="E82" s="8">
        <f>SUM(E83:E89)</f>
        <v>7</v>
      </c>
      <c r="F82" s="8">
        <f>SUM(F83:F89)</f>
        <v>350</v>
      </c>
      <c r="G82" s="93">
        <f t="shared" ref="G82:G106" si="28">B82+C82/60</f>
        <v>59.8</v>
      </c>
      <c r="H82" s="8">
        <f>SUM(H83:H89)</f>
        <v>350</v>
      </c>
      <c r="I82" s="9">
        <f>SUM(I83:I89)</f>
        <v>3284.6666666666665</v>
      </c>
      <c r="J82" s="14">
        <f>SUM(J83:J89)</f>
        <v>2934.6666666666665</v>
      </c>
      <c r="K82" s="8">
        <f>SUM(K83:K89)</f>
        <v>199</v>
      </c>
      <c r="L82" s="9">
        <v>0</v>
      </c>
      <c r="M82" s="96">
        <f>J82</f>
        <v>2934.6666666666665</v>
      </c>
      <c r="N82" s="129">
        <f>SUM(N83:N89)</f>
        <v>5280</v>
      </c>
      <c r="O82" s="98">
        <f>5266-N82</f>
        <v>-14</v>
      </c>
      <c r="P82" s="86"/>
      <c r="Q82" s="86"/>
    </row>
    <row r="83" spans="1:17">
      <c r="A83" s="80" t="s">
        <v>279</v>
      </c>
      <c r="B83" s="4">
        <v>9</v>
      </c>
      <c r="C83" s="4">
        <v>7</v>
      </c>
      <c r="D83" s="4">
        <v>45</v>
      </c>
      <c r="E83" s="4">
        <v>1</v>
      </c>
      <c r="F83" s="4">
        <v>50</v>
      </c>
      <c r="G83" s="10">
        <f t="shared" si="28"/>
        <v>9.1166666666666671</v>
      </c>
      <c r="H83" s="7">
        <v>50</v>
      </c>
      <c r="I83" s="5">
        <f t="shared" ref="I83:I89" si="29">G83*D83</f>
        <v>410.25</v>
      </c>
      <c r="J83" s="5">
        <f t="shared" ref="J83:J89" si="30">I83-H83</f>
        <v>360.25</v>
      </c>
      <c r="K83">
        <v>24</v>
      </c>
      <c r="N83" s="119">
        <v>0</v>
      </c>
      <c r="O83" s="51"/>
      <c r="P83" s="115"/>
    </row>
    <row r="84" spans="1:17">
      <c r="A84" s="80" t="s">
        <v>262</v>
      </c>
      <c r="B84" s="4">
        <v>8</v>
      </c>
      <c r="C84" s="4">
        <v>32</v>
      </c>
      <c r="D84" s="4">
        <v>65</v>
      </c>
      <c r="E84" s="4">
        <v>1</v>
      </c>
      <c r="F84" s="4">
        <v>50</v>
      </c>
      <c r="G84" s="10">
        <f>B84+C84/60</f>
        <v>8.5333333333333332</v>
      </c>
      <c r="H84" s="4">
        <v>50</v>
      </c>
      <c r="I84" s="5">
        <f t="shared" si="29"/>
        <v>554.66666666666663</v>
      </c>
      <c r="J84" s="5">
        <f t="shared" si="30"/>
        <v>504.66666666666663</v>
      </c>
      <c r="K84">
        <v>32</v>
      </c>
      <c r="N84" s="83">
        <v>760</v>
      </c>
    </row>
    <row r="85" spans="1:17">
      <c r="A85" s="80" t="s">
        <v>264</v>
      </c>
      <c r="B85" s="4">
        <v>8</v>
      </c>
      <c r="C85" s="4">
        <v>0</v>
      </c>
      <c r="D85" s="4">
        <v>65</v>
      </c>
      <c r="E85" s="4">
        <v>1</v>
      </c>
      <c r="F85" s="4">
        <v>50</v>
      </c>
      <c r="G85" s="10">
        <f t="shared" si="28"/>
        <v>8</v>
      </c>
      <c r="H85" s="4">
        <v>50</v>
      </c>
      <c r="I85" s="5">
        <f t="shared" si="29"/>
        <v>520</v>
      </c>
      <c r="J85" s="5">
        <f t="shared" si="30"/>
        <v>470</v>
      </c>
      <c r="K85">
        <v>34</v>
      </c>
      <c r="N85" s="119">
        <v>0</v>
      </c>
      <c r="Q85" t="s">
        <v>64</v>
      </c>
    </row>
    <row r="86" spans="1:17">
      <c r="A86" s="80" t="s">
        <v>272</v>
      </c>
      <c r="B86" s="4">
        <v>8</v>
      </c>
      <c r="C86" s="4">
        <v>51</v>
      </c>
      <c r="D86" s="4">
        <v>55</v>
      </c>
      <c r="E86" s="4">
        <v>1</v>
      </c>
      <c r="F86" s="4">
        <v>50</v>
      </c>
      <c r="G86" s="10">
        <f t="shared" si="28"/>
        <v>8.85</v>
      </c>
      <c r="H86" s="4">
        <v>50</v>
      </c>
      <c r="I86" s="5">
        <f t="shared" si="29"/>
        <v>486.75</v>
      </c>
      <c r="J86" s="5">
        <f t="shared" si="30"/>
        <v>436.75</v>
      </c>
      <c r="K86">
        <v>27</v>
      </c>
      <c r="N86" s="82">
        <f>2000+150</f>
        <v>2150</v>
      </c>
      <c r="P86" t="s">
        <v>307</v>
      </c>
    </row>
    <row r="87" spans="1:17">
      <c r="A87" s="80" t="s">
        <v>267</v>
      </c>
      <c r="B87" s="4">
        <v>9</v>
      </c>
      <c r="C87" s="4">
        <v>38</v>
      </c>
      <c r="D87" s="4">
        <v>55</v>
      </c>
      <c r="E87" s="4">
        <v>1</v>
      </c>
      <c r="F87" s="4">
        <v>50</v>
      </c>
      <c r="G87" s="10">
        <f t="shared" si="28"/>
        <v>9.6333333333333329</v>
      </c>
      <c r="H87" s="4">
        <v>50</v>
      </c>
      <c r="I87" s="5">
        <f t="shared" si="29"/>
        <v>529.83333333333326</v>
      </c>
      <c r="J87" s="5">
        <f t="shared" si="30"/>
        <v>479.83333333333326</v>
      </c>
      <c r="K87">
        <v>31</v>
      </c>
      <c r="N87" s="119">
        <v>0</v>
      </c>
    </row>
    <row r="88" spans="1:17">
      <c r="A88" s="80" t="s">
        <v>308</v>
      </c>
      <c r="B88" s="4">
        <v>7</v>
      </c>
      <c r="C88" s="4">
        <v>49</v>
      </c>
      <c r="D88" s="4">
        <v>55</v>
      </c>
      <c r="E88" s="4">
        <v>1</v>
      </c>
      <c r="F88" s="4">
        <v>50</v>
      </c>
      <c r="G88" s="10">
        <f t="shared" si="28"/>
        <v>7.8166666666666664</v>
      </c>
      <c r="H88" s="4">
        <v>50</v>
      </c>
      <c r="I88" s="5">
        <f t="shared" si="29"/>
        <v>429.91666666666663</v>
      </c>
      <c r="J88" s="5">
        <f t="shared" si="30"/>
        <v>379.91666666666663</v>
      </c>
      <c r="K88">
        <v>28</v>
      </c>
      <c r="N88" s="83">
        <v>200</v>
      </c>
      <c r="P88" t="s">
        <v>309</v>
      </c>
    </row>
    <row r="89" spans="1:17" ht="16" thickBot="1">
      <c r="A89" s="80" t="s">
        <v>274</v>
      </c>
      <c r="B89" s="4">
        <v>7</v>
      </c>
      <c r="C89" s="4">
        <v>51</v>
      </c>
      <c r="D89" s="4">
        <v>45</v>
      </c>
      <c r="E89" s="4">
        <v>1</v>
      </c>
      <c r="F89" s="4">
        <v>50</v>
      </c>
      <c r="G89" s="10">
        <f t="shared" si="28"/>
        <v>7.85</v>
      </c>
      <c r="H89" s="4">
        <v>50</v>
      </c>
      <c r="I89" s="5">
        <f t="shared" si="29"/>
        <v>353.25</v>
      </c>
      <c r="J89" s="5">
        <f t="shared" si="30"/>
        <v>303.25</v>
      </c>
      <c r="K89">
        <v>23</v>
      </c>
      <c r="N89" s="82">
        <f>1220+800+150</f>
        <v>2170</v>
      </c>
    </row>
    <row r="90" spans="1:17" ht="20" thickBot="1">
      <c r="A90" s="91" t="s">
        <v>78</v>
      </c>
      <c r="B90" s="8">
        <f>SUM(B91:B97)</f>
        <v>0</v>
      </c>
      <c r="C90" s="8">
        <f>SUM(C91:C97)</f>
        <v>0</v>
      </c>
      <c r="D90" s="8">
        <v>45</v>
      </c>
      <c r="E90" s="8">
        <f>SUM(E91:E97)</f>
        <v>7</v>
      </c>
      <c r="F90" s="8">
        <f>SUM(F91:F97)</f>
        <v>350</v>
      </c>
      <c r="G90" s="93">
        <f t="shared" si="28"/>
        <v>0</v>
      </c>
      <c r="H90" s="8">
        <f>SUM(H91:H97)</f>
        <v>0</v>
      </c>
      <c r="I90" s="9">
        <f>SUM(I91:I97)</f>
        <v>0</v>
      </c>
      <c r="J90" s="14">
        <f>SUM(J91:J97)</f>
        <v>0</v>
      </c>
      <c r="K90" s="8">
        <f>SUM(K91:K97)</f>
        <v>0</v>
      </c>
      <c r="L90" s="9">
        <v>0</v>
      </c>
      <c r="M90" s="96">
        <f>J90</f>
        <v>0</v>
      </c>
      <c r="N90" s="102">
        <f>SUM(N91:N97)</f>
        <v>0</v>
      </c>
      <c r="O90" s="98">
        <f>-N90</f>
        <v>0</v>
      </c>
      <c r="P90" s="86"/>
      <c r="Q90" s="86"/>
    </row>
    <row r="91" spans="1:17">
      <c r="A91" s="6">
        <v>46069</v>
      </c>
      <c r="B91" s="4">
        <v>0</v>
      </c>
      <c r="C91" s="4">
        <v>0</v>
      </c>
      <c r="D91" s="4">
        <v>45</v>
      </c>
      <c r="E91" s="4">
        <v>1</v>
      </c>
      <c r="F91" s="4">
        <v>50</v>
      </c>
      <c r="G91" s="10">
        <f t="shared" si="28"/>
        <v>0</v>
      </c>
      <c r="H91" s="4">
        <v>0</v>
      </c>
      <c r="I91" s="5">
        <f t="shared" ref="I91:I97" si="31">G91*D91</f>
        <v>0</v>
      </c>
      <c r="J91" s="5">
        <f t="shared" ref="J91:J97" si="32">I91-H91</f>
        <v>0</v>
      </c>
      <c r="K91">
        <v>0</v>
      </c>
      <c r="N91" s="119">
        <v>0</v>
      </c>
      <c r="O91" s="51"/>
    </row>
    <row r="92" spans="1:17">
      <c r="A92" s="6">
        <v>46070</v>
      </c>
      <c r="B92" s="4">
        <v>0</v>
      </c>
      <c r="C92" s="4">
        <v>0</v>
      </c>
      <c r="D92" s="4">
        <v>45</v>
      </c>
      <c r="E92" s="4">
        <v>1</v>
      </c>
      <c r="F92" s="4">
        <v>50</v>
      </c>
      <c r="G92" s="10">
        <f t="shared" si="28"/>
        <v>0</v>
      </c>
      <c r="H92" s="4">
        <v>0</v>
      </c>
      <c r="I92" s="5">
        <f t="shared" si="31"/>
        <v>0</v>
      </c>
      <c r="J92" s="5">
        <f t="shared" si="32"/>
        <v>0</v>
      </c>
      <c r="K92">
        <v>0</v>
      </c>
      <c r="N92" s="119">
        <v>0</v>
      </c>
    </row>
    <row r="93" spans="1:17">
      <c r="A93" s="6">
        <v>46071</v>
      </c>
      <c r="B93" s="4">
        <v>0</v>
      </c>
      <c r="C93" s="4">
        <v>0</v>
      </c>
      <c r="D93" s="4">
        <v>45</v>
      </c>
      <c r="E93" s="4">
        <v>1</v>
      </c>
      <c r="F93" s="4">
        <v>50</v>
      </c>
      <c r="G93" s="10">
        <f t="shared" si="28"/>
        <v>0</v>
      </c>
      <c r="H93" s="4">
        <v>0</v>
      </c>
      <c r="I93" s="5">
        <f t="shared" si="31"/>
        <v>0</v>
      </c>
      <c r="J93" s="5">
        <f t="shared" si="32"/>
        <v>0</v>
      </c>
      <c r="K93">
        <v>0</v>
      </c>
      <c r="N93" s="119">
        <v>0</v>
      </c>
      <c r="Q93" t="s">
        <v>64</v>
      </c>
    </row>
    <row r="94" spans="1:17">
      <c r="A94" s="6">
        <v>46072</v>
      </c>
      <c r="B94" s="4">
        <v>0</v>
      </c>
      <c r="C94" s="4">
        <v>0</v>
      </c>
      <c r="D94" s="4">
        <v>45</v>
      </c>
      <c r="E94" s="4">
        <v>1</v>
      </c>
      <c r="F94" s="4">
        <v>50</v>
      </c>
      <c r="G94" s="10">
        <f t="shared" si="28"/>
        <v>0</v>
      </c>
      <c r="H94" s="4">
        <v>0</v>
      </c>
      <c r="I94" s="5">
        <f t="shared" si="31"/>
        <v>0</v>
      </c>
      <c r="J94" s="5">
        <f t="shared" si="32"/>
        <v>0</v>
      </c>
      <c r="K94">
        <v>0</v>
      </c>
      <c r="N94" s="119">
        <v>0</v>
      </c>
    </row>
    <row r="95" spans="1:17">
      <c r="A95" s="6">
        <v>46073</v>
      </c>
      <c r="B95" s="4">
        <v>0</v>
      </c>
      <c r="C95" s="4">
        <v>0</v>
      </c>
      <c r="D95" s="4">
        <v>45</v>
      </c>
      <c r="E95" s="4">
        <v>1</v>
      </c>
      <c r="F95" s="4">
        <v>50</v>
      </c>
      <c r="G95" s="10">
        <f t="shared" si="28"/>
        <v>0</v>
      </c>
      <c r="H95" s="4">
        <v>0</v>
      </c>
      <c r="I95" s="5">
        <f t="shared" si="31"/>
        <v>0</v>
      </c>
      <c r="J95" s="5">
        <f t="shared" si="32"/>
        <v>0</v>
      </c>
      <c r="K95">
        <v>0</v>
      </c>
      <c r="N95" s="119">
        <v>0</v>
      </c>
    </row>
    <row r="96" spans="1:17">
      <c r="A96" s="6">
        <v>46074</v>
      </c>
      <c r="B96" s="4">
        <v>0</v>
      </c>
      <c r="C96" s="4">
        <v>0</v>
      </c>
      <c r="D96" s="4">
        <v>45</v>
      </c>
      <c r="E96" s="4">
        <v>1</v>
      </c>
      <c r="F96" s="4">
        <v>50</v>
      </c>
      <c r="G96" s="10">
        <f t="shared" si="28"/>
        <v>0</v>
      </c>
      <c r="H96" s="4">
        <v>0</v>
      </c>
      <c r="I96" s="5">
        <f t="shared" si="31"/>
        <v>0</v>
      </c>
      <c r="J96" s="5">
        <f t="shared" si="32"/>
        <v>0</v>
      </c>
      <c r="K96">
        <v>0</v>
      </c>
      <c r="N96" s="119">
        <v>0</v>
      </c>
    </row>
    <row r="97" spans="1:17" ht="16" thickBot="1">
      <c r="A97" s="6">
        <v>46075</v>
      </c>
      <c r="B97" s="4">
        <v>0</v>
      </c>
      <c r="C97" s="4">
        <v>0</v>
      </c>
      <c r="D97" s="4">
        <v>45</v>
      </c>
      <c r="E97" s="4">
        <v>1</v>
      </c>
      <c r="F97" s="4">
        <v>50</v>
      </c>
      <c r="G97" s="10">
        <f t="shared" si="28"/>
        <v>0</v>
      </c>
      <c r="H97" s="4">
        <v>0</v>
      </c>
      <c r="I97" s="5">
        <f t="shared" si="31"/>
        <v>0</v>
      </c>
      <c r="J97" s="5">
        <f t="shared" si="32"/>
        <v>0</v>
      </c>
      <c r="K97">
        <v>0</v>
      </c>
      <c r="N97" s="119">
        <v>0</v>
      </c>
    </row>
    <row r="98" spans="1:17" s="54" customFormat="1" ht="20" thickBot="1">
      <c r="A98" s="72" t="s">
        <v>81</v>
      </c>
      <c r="B98" s="44">
        <f>SUM(B99:B105)</f>
        <v>61</v>
      </c>
      <c r="C98" s="44">
        <f>SUM(C99:C105)</f>
        <v>213</v>
      </c>
      <c r="D98" s="44">
        <v>45</v>
      </c>
      <c r="E98" s="44">
        <f>SUM(E99:E105)</f>
        <v>6</v>
      </c>
      <c r="F98" s="44">
        <f>SUM(F99:F105)</f>
        <v>350</v>
      </c>
      <c r="G98" s="67">
        <f t="shared" si="28"/>
        <v>64.55</v>
      </c>
      <c r="H98" s="44">
        <f>SUM(H99:H105)</f>
        <v>300</v>
      </c>
      <c r="I98" s="47">
        <f>SUM(I99:I105)</f>
        <v>3671.75</v>
      </c>
      <c r="J98" s="47">
        <f>SUM(J99:J105)</f>
        <v>3371.75</v>
      </c>
      <c r="K98" s="44">
        <f>SUM(K99:K105)</f>
        <v>168</v>
      </c>
      <c r="L98" s="46">
        <v>0</v>
      </c>
      <c r="M98" s="69">
        <f>J98</f>
        <v>3371.75</v>
      </c>
      <c r="N98" s="63">
        <f>SUM(N99:N105)</f>
        <v>3571</v>
      </c>
      <c r="O98" s="90">
        <f>3572-N98</f>
        <v>1</v>
      </c>
    </row>
    <row r="99" spans="1:17">
      <c r="A99" s="6">
        <v>46069</v>
      </c>
      <c r="B99" s="4">
        <v>0</v>
      </c>
      <c r="C99" s="4">
        <v>0</v>
      </c>
      <c r="D99" s="4">
        <v>45</v>
      </c>
      <c r="E99" s="4">
        <v>0</v>
      </c>
      <c r="F99" s="4">
        <v>50</v>
      </c>
      <c r="G99" s="10">
        <f t="shared" si="28"/>
        <v>0</v>
      </c>
      <c r="H99" s="4">
        <v>0</v>
      </c>
      <c r="I99" s="5">
        <f t="shared" ref="I99:I105" si="33">G99*D99</f>
        <v>0</v>
      </c>
      <c r="J99" s="5">
        <f t="shared" ref="J99:J105" si="34">I99-H99</f>
        <v>0</v>
      </c>
      <c r="L99">
        <v>300</v>
      </c>
      <c r="N99" s="119">
        <f>140+200+200</f>
        <v>540</v>
      </c>
      <c r="O99" s="51"/>
      <c r="P99" t="s">
        <v>310</v>
      </c>
    </row>
    <row r="100" spans="1:17">
      <c r="A100" s="6">
        <v>46070</v>
      </c>
      <c r="B100" s="4">
        <v>11</v>
      </c>
      <c r="C100" s="4">
        <v>30</v>
      </c>
      <c r="D100" s="4">
        <v>65</v>
      </c>
      <c r="E100" s="4">
        <v>1</v>
      </c>
      <c r="F100" s="4">
        <v>50</v>
      </c>
      <c r="G100" s="10">
        <f t="shared" si="28"/>
        <v>11.5</v>
      </c>
      <c r="H100" s="4">
        <v>50</v>
      </c>
      <c r="I100" s="5">
        <f t="shared" si="33"/>
        <v>747.5</v>
      </c>
      <c r="J100" s="5">
        <f t="shared" si="34"/>
        <v>697.5</v>
      </c>
      <c r="K100">
        <v>32</v>
      </c>
      <c r="L100">
        <v>300</v>
      </c>
      <c r="N100" s="119">
        <f>500+524+150</f>
        <v>1174</v>
      </c>
      <c r="P100" t="s">
        <v>311</v>
      </c>
    </row>
    <row r="101" spans="1:17">
      <c r="A101" s="6">
        <v>46071</v>
      </c>
      <c r="B101" s="4">
        <v>10</v>
      </c>
      <c r="C101" s="4">
        <v>48</v>
      </c>
      <c r="D101" s="4">
        <v>55</v>
      </c>
      <c r="E101" s="4">
        <v>1</v>
      </c>
      <c r="F101" s="4">
        <v>50</v>
      </c>
      <c r="G101" s="10">
        <f t="shared" si="28"/>
        <v>10.8</v>
      </c>
      <c r="H101" s="4">
        <v>50</v>
      </c>
      <c r="I101" s="5">
        <f t="shared" si="33"/>
        <v>594</v>
      </c>
      <c r="J101" s="5">
        <f t="shared" si="34"/>
        <v>544</v>
      </c>
      <c r="K101">
        <v>27</v>
      </c>
      <c r="N101" s="119">
        <v>185</v>
      </c>
      <c r="P101" t="s">
        <v>312</v>
      </c>
      <c r="Q101" t="s">
        <v>64</v>
      </c>
    </row>
    <row r="102" spans="1:17">
      <c r="A102" s="6">
        <v>46072</v>
      </c>
      <c r="B102" s="4">
        <v>10</v>
      </c>
      <c r="C102" s="4">
        <v>34</v>
      </c>
      <c r="D102" s="4">
        <v>45</v>
      </c>
      <c r="E102" s="4">
        <v>1</v>
      </c>
      <c r="F102" s="4">
        <v>50</v>
      </c>
      <c r="G102" s="10">
        <f t="shared" si="28"/>
        <v>10.566666666666666</v>
      </c>
      <c r="H102" s="4">
        <v>50</v>
      </c>
      <c r="I102" s="5">
        <f t="shared" si="33"/>
        <v>475.5</v>
      </c>
      <c r="J102" s="5">
        <f t="shared" si="34"/>
        <v>425.5</v>
      </c>
      <c r="K102">
        <v>22</v>
      </c>
      <c r="N102" s="119">
        <f>150+182</f>
        <v>332</v>
      </c>
      <c r="P102" t="s">
        <v>313</v>
      </c>
    </row>
    <row r="103" spans="1:17">
      <c r="A103" s="6">
        <v>46073</v>
      </c>
      <c r="B103" s="4">
        <v>8</v>
      </c>
      <c r="C103" s="4">
        <v>58</v>
      </c>
      <c r="D103" s="4">
        <v>55</v>
      </c>
      <c r="E103" s="4">
        <v>1</v>
      </c>
      <c r="F103" s="4">
        <v>50</v>
      </c>
      <c r="G103" s="10">
        <f t="shared" si="28"/>
        <v>8.9666666666666668</v>
      </c>
      <c r="H103" s="4">
        <v>50</v>
      </c>
      <c r="I103" s="5">
        <f t="shared" si="33"/>
        <v>493.16666666666669</v>
      </c>
      <c r="J103" s="5">
        <f t="shared" si="34"/>
        <v>443.16666666666669</v>
      </c>
      <c r="K103">
        <v>27</v>
      </c>
      <c r="N103" s="119">
        <v>150</v>
      </c>
      <c r="P103" t="s">
        <v>314</v>
      </c>
    </row>
    <row r="104" spans="1:17">
      <c r="A104" s="6">
        <v>46074</v>
      </c>
      <c r="B104" s="4">
        <v>11</v>
      </c>
      <c r="C104" s="4">
        <v>30</v>
      </c>
      <c r="D104" s="4">
        <v>55</v>
      </c>
      <c r="E104" s="4">
        <v>1</v>
      </c>
      <c r="F104" s="4">
        <v>50</v>
      </c>
      <c r="G104" s="10">
        <f t="shared" si="28"/>
        <v>11.5</v>
      </c>
      <c r="H104" s="4">
        <v>50</v>
      </c>
      <c r="I104" s="5">
        <f t="shared" si="33"/>
        <v>632.5</v>
      </c>
      <c r="J104" s="5">
        <f t="shared" si="34"/>
        <v>582.5</v>
      </c>
      <c r="K104">
        <v>28</v>
      </c>
      <c r="N104" s="119">
        <f>200+200</f>
        <v>400</v>
      </c>
      <c r="P104" t="s">
        <v>315</v>
      </c>
    </row>
    <row r="105" spans="1:17" ht="16" thickBot="1">
      <c r="A105" s="6">
        <v>46075</v>
      </c>
      <c r="B105" s="4">
        <v>11</v>
      </c>
      <c r="C105" s="4">
        <v>13</v>
      </c>
      <c r="D105" s="4">
        <v>65</v>
      </c>
      <c r="E105" s="4">
        <v>1</v>
      </c>
      <c r="F105" s="4">
        <v>50</v>
      </c>
      <c r="G105" s="10">
        <f t="shared" si="28"/>
        <v>11.216666666666667</v>
      </c>
      <c r="H105" s="4">
        <v>50</v>
      </c>
      <c r="I105" s="5">
        <f t="shared" si="33"/>
        <v>729.08333333333337</v>
      </c>
      <c r="J105" s="5">
        <f t="shared" si="34"/>
        <v>679.08333333333337</v>
      </c>
      <c r="K105">
        <v>32</v>
      </c>
      <c r="N105" s="119">
        <f>200+150+440</f>
        <v>790</v>
      </c>
      <c r="P105" t="s">
        <v>316</v>
      </c>
    </row>
    <row r="106" spans="1:17" s="86" customFormat="1" ht="20" thickBot="1">
      <c r="A106" s="91" t="s">
        <v>90</v>
      </c>
      <c r="B106" s="8">
        <f>SUM(B108:B114)</f>
        <v>40</v>
      </c>
      <c r="C106" s="8">
        <f>SUM(C108:C114)</f>
        <v>228</v>
      </c>
      <c r="D106" s="8">
        <f>SUM(D108)</f>
        <v>45</v>
      </c>
      <c r="E106" s="8">
        <f>SUM(E108:E114)</f>
        <v>6</v>
      </c>
      <c r="F106" s="8">
        <f>SUM(F108:F114)</f>
        <v>350</v>
      </c>
      <c r="G106" s="93">
        <f t="shared" si="28"/>
        <v>43.8</v>
      </c>
      <c r="H106" s="8">
        <f>SUM(H108:H114)</f>
        <v>300</v>
      </c>
      <c r="I106" s="9">
        <f>SUM(I107:I114)</f>
        <v>2842.166666666667</v>
      </c>
      <c r="J106" s="14">
        <f>SUM(J107:J114)</f>
        <v>2492.166666666667</v>
      </c>
      <c r="K106" s="8">
        <f>SUM(K108:K114)</f>
        <v>191</v>
      </c>
      <c r="L106" s="9">
        <v>0</v>
      </c>
      <c r="M106" s="96">
        <f>J106</f>
        <v>2492.166666666667</v>
      </c>
      <c r="N106" s="129">
        <f>SUM(N108:N114)</f>
        <v>4310</v>
      </c>
      <c r="O106" s="98">
        <f>4529-N106</f>
        <v>219</v>
      </c>
    </row>
    <row r="107" spans="1:17">
      <c r="A107" s="80" t="s">
        <v>209</v>
      </c>
      <c r="B107" s="4">
        <v>7</v>
      </c>
      <c r="C107" s="4">
        <v>40</v>
      </c>
      <c r="D107" s="4">
        <v>45</v>
      </c>
      <c r="E107" s="4">
        <v>1</v>
      </c>
      <c r="F107" s="4">
        <v>50</v>
      </c>
      <c r="G107" s="10">
        <f>B107+C107/60</f>
        <v>7.666666666666667</v>
      </c>
      <c r="H107" s="7">
        <v>50</v>
      </c>
      <c r="I107" s="5">
        <f t="shared" ref="I107" si="35">G107*D107</f>
        <v>345</v>
      </c>
      <c r="J107" s="5">
        <f>I107-H107</f>
        <v>295</v>
      </c>
      <c r="K107">
        <v>37</v>
      </c>
      <c r="N107" s="119">
        <v>0</v>
      </c>
      <c r="O107" s="51"/>
      <c r="P107" s="128" t="s">
        <v>317</v>
      </c>
    </row>
    <row r="108" spans="1:17">
      <c r="A108" s="80" t="s">
        <v>279</v>
      </c>
      <c r="B108" s="4">
        <v>6</v>
      </c>
      <c r="C108" s="4">
        <v>55</v>
      </c>
      <c r="D108" s="4">
        <v>45</v>
      </c>
      <c r="E108" s="4">
        <v>1</v>
      </c>
      <c r="F108" s="4">
        <v>50</v>
      </c>
      <c r="G108" s="10">
        <f>B108+C108/60</f>
        <v>6.916666666666667</v>
      </c>
      <c r="H108" s="7">
        <v>50</v>
      </c>
      <c r="I108" s="5">
        <f t="shared" ref="I108:I113" si="36">G108*D108</f>
        <v>311.25</v>
      </c>
      <c r="J108" s="5">
        <f>I108-H108</f>
        <v>261.25</v>
      </c>
      <c r="K108">
        <v>25</v>
      </c>
      <c r="N108" s="119">
        <v>0</v>
      </c>
      <c r="O108" s="51"/>
      <c r="P108" s="128" t="s">
        <v>317</v>
      </c>
    </row>
    <row r="109" spans="1:17">
      <c r="A109" s="80" t="s">
        <v>318</v>
      </c>
      <c r="B109" s="4">
        <v>0</v>
      </c>
      <c r="C109" s="4">
        <v>0</v>
      </c>
      <c r="D109" s="4">
        <v>55</v>
      </c>
      <c r="E109" s="4">
        <v>0</v>
      </c>
      <c r="F109" s="4">
        <v>50</v>
      </c>
      <c r="G109" s="10">
        <f t="shared" ref="G109:G111" si="37">B109+C109/60</f>
        <v>0</v>
      </c>
      <c r="H109" s="4">
        <v>0</v>
      </c>
      <c r="I109" s="5">
        <f t="shared" si="36"/>
        <v>0</v>
      </c>
      <c r="J109" s="5">
        <f>I109-H109</f>
        <v>0</v>
      </c>
      <c r="N109" s="119">
        <v>0</v>
      </c>
    </row>
    <row r="110" spans="1:17">
      <c r="A110" s="80" t="s">
        <v>264</v>
      </c>
      <c r="B110" s="4">
        <v>6</v>
      </c>
      <c r="C110" s="4">
        <v>47</v>
      </c>
      <c r="D110" s="4">
        <v>55</v>
      </c>
      <c r="E110" s="4">
        <v>1</v>
      </c>
      <c r="F110" s="4">
        <v>50</v>
      </c>
      <c r="G110" s="10">
        <f t="shared" si="37"/>
        <v>6.7833333333333332</v>
      </c>
      <c r="H110" s="4">
        <v>50</v>
      </c>
      <c r="I110" s="5">
        <f t="shared" si="36"/>
        <v>373.08333333333331</v>
      </c>
      <c r="J110" s="5">
        <f t="shared" ref="J110:J113" si="38">I110-H110</f>
        <v>323.08333333333331</v>
      </c>
      <c r="K110">
        <v>28</v>
      </c>
      <c r="N110" s="83">
        <f>640+200</f>
        <v>840</v>
      </c>
      <c r="P110" t="s">
        <v>319</v>
      </c>
      <c r="Q110" t="s">
        <v>64</v>
      </c>
    </row>
    <row r="111" spans="1:17">
      <c r="A111" s="80" t="s">
        <v>272</v>
      </c>
      <c r="B111" s="4">
        <v>6</v>
      </c>
      <c r="C111" s="4">
        <v>35</v>
      </c>
      <c r="D111" s="4">
        <v>65</v>
      </c>
      <c r="E111" s="4">
        <v>1</v>
      </c>
      <c r="F111" s="4">
        <v>50</v>
      </c>
      <c r="G111" s="10">
        <f t="shared" si="37"/>
        <v>6.583333333333333</v>
      </c>
      <c r="H111" s="4">
        <v>50</v>
      </c>
      <c r="I111" s="5">
        <f t="shared" si="36"/>
        <v>427.91666666666663</v>
      </c>
      <c r="J111" s="5">
        <f t="shared" si="38"/>
        <v>377.91666666666663</v>
      </c>
      <c r="K111">
        <v>34</v>
      </c>
      <c r="N111" s="83">
        <v>720</v>
      </c>
      <c r="P111" s="128" t="s">
        <v>320</v>
      </c>
    </row>
    <row r="112" spans="1:17">
      <c r="A112" s="80" t="s">
        <v>267</v>
      </c>
      <c r="B112" s="4">
        <v>6</v>
      </c>
      <c r="C112" s="4">
        <v>26</v>
      </c>
      <c r="D112" s="4">
        <v>65</v>
      </c>
      <c r="E112" s="4">
        <v>1</v>
      </c>
      <c r="F112" s="4">
        <v>50</v>
      </c>
      <c r="G112" s="10">
        <f t="shared" ref="G112:G115" si="39">B112+C112/60</f>
        <v>6.4333333333333336</v>
      </c>
      <c r="H112" s="4">
        <v>50</v>
      </c>
      <c r="I112" s="5">
        <f t="shared" si="36"/>
        <v>418.16666666666669</v>
      </c>
      <c r="J112" s="5">
        <f t="shared" si="38"/>
        <v>368.16666666666669</v>
      </c>
      <c r="K112">
        <v>33</v>
      </c>
      <c r="N112" s="119">
        <v>0</v>
      </c>
    </row>
    <row r="113" spans="1:17">
      <c r="A113" s="80" t="s">
        <v>308</v>
      </c>
      <c r="B113" s="4">
        <v>9</v>
      </c>
      <c r="C113" s="4">
        <v>54</v>
      </c>
      <c r="D113" s="4">
        <v>65</v>
      </c>
      <c r="E113" s="4">
        <v>1</v>
      </c>
      <c r="F113" s="4">
        <v>50</v>
      </c>
      <c r="G113" s="10">
        <f t="shared" si="39"/>
        <v>9.9</v>
      </c>
      <c r="H113" s="4">
        <v>50</v>
      </c>
      <c r="I113" s="5">
        <f t="shared" si="36"/>
        <v>643.5</v>
      </c>
      <c r="J113" s="5">
        <f t="shared" si="38"/>
        <v>593.5</v>
      </c>
      <c r="K113">
        <v>38</v>
      </c>
      <c r="N113" s="119">
        <f>200</f>
        <v>200</v>
      </c>
    </row>
    <row r="114" spans="1:17" ht="16" thickBot="1">
      <c r="A114" s="80" t="s">
        <v>274</v>
      </c>
      <c r="B114" s="4">
        <v>7</v>
      </c>
      <c r="C114" s="4">
        <v>11</v>
      </c>
      <c r="D114" s="4">
        <v>45</v>
      </c>
      <c r="E114" s="4">
        <v>1</v>
      </c>
      <c r="F114" s="4">
        <v>50</v>
      </c>
      <c r="G114" s="10">
        <f t="shared" si="39"/>
        <v>7.1833333333333336</v>
      </c>
      <c r="H114" s="4">
        <v>50</v>
      </c>
      <c r="I114" s="5">
        <f>G114*D114</f>
        <v>323.25</v>
      </c>
      <c r="J114" s="5">
        <f t="shared" ref="J114" si="40">I114-H114</f>
        <v>273.25</v>
      </c>
      <c r="K114">
        <v>33</v>
      </c>
      <c r="N114" s="82">
        <f>2160+390</f>
        <v>2550</v>
      </c>
    </row>
    <row r="115" spans="1:17" s="54" customFormat="1" ht="20" thickBot="1">
      <c r="A115" s="72" t="s">
        <v>246</v>
      </c>
      <c r="B115" s="44">
        <f>SUM(B116:B122)</f>
        <v>43</v>
      </c>
      <c r="C115" s="44">
        <f>SUM(C116:C122)</f>
        <v>124</v>
      </c>
      <c r="D115" s="44">
        <f>SUM(D116)</f>
        <v>45</v>
      </c>
      <c r="E115" s="44">
        <f>SUM(E116:E123)</f>
        <v>5</v>
      </c>
      <c r="F115" s="44">
        <f>SUM(F116:F122)</f>
        <v>250</v>
      </c>
      <c r="G115" s="67">
        <f t="shared" si="39"/>
        <v>45.06666666666667</v>
      </c>
      <c r="H115" s="44">
        <f>SUM(H116:H122)</f>
        <v>200</v>
      </c>
      <c r="I115" s="46">
        <f>SUM(I116:I122)</f>
        <v>2028</v>
      </c>
      <c r="J115" s="47">
        <f>SUM(J116:J122)</f>
        <v>1828</v>
      </c>
      <c r="K115" s="44">
        <f>SUM(K116:K122)</f>
        <v>90</v>
      </c>
      <c r="L115" s="46">
        <v>0</v>
      </c>
      <c r="M115" s="69">
        <f>J115</f>
        <v>1828</v>
      </c>
      <c r="N115" s="63">
        <f>SUM(N116:N122)</f>
        <v>2040</v>
      </c>
      <c r="O115" s="90">
        <f>2053-N115</f>
        <v>13</v>
      </c>
    </row>
    <row r="116" spans="1:17">
      <c r="A116" s="6">
        <v>46069</v>
      </c>
      <c r="B116" s="7">
        <v>0</v>
      </c>
      <c r="C116" s="7">
        <v>0</v>
      </c>
      <c r="D116" s="4">
        <v>45</v>
      </c>
      <c r="E116" s="4">
        <v>1</v>
      </c>
      <c r="F116" s="4">
        <v>50</v>
      </c>
      <c r="G116" s="10">
        <f>B116+C116/60</f>
        <v>0</v>
      </c>
      <c r="H116" s="4">
        <v>0</v>
      </c>
      <c r="I116" s="5">
        <f t="shared" ref="I116:I122" si="41">G116*D116</f>
        <v>0</v>
      </c>
      <c r="J116" s="5">
        <f>I116-H116</f>
        <v>0</v>
      </c>
      <c r="K116">
        <v>0</v>
      </c>
      <c r="N116" s="119">
        <v>0</v>
      </c>
      <c r="O116" s="51"/>
    </row>
    <row r="117" spans="1:17">
      <c r="A117" s="6">
        <v>46070</v>
      </c>
      <c r="B117" s="7">
        <v>11</v>
      </c>
      <c r="C117" s="7">
        <v>28</v>
      </c>
      <c r="D117" s="4">
        <v>45</v>
      </c>
      <c r="E117" s="4">
        <v>1</v>
      </c>
      <c r="F117" s="4">
        <v>50</v>
      </c>
      <c r="G117" s="10">
        <f t="shared" ref="G117:G146" si="42">B117+C117/60</f>
        <v>11.466666666666667</v>
      </c>
      <c r="H117" s="4">
        <v>50</v>
      </c>
      <c r="I117" s="5">
        <f t="shared" si="41"/>
        <v>516</v>
      </c>
      <c r="J117" s="5">
        <f>I117-H117</f>
        <v>466</v>
      </c>
      <c r="K117">
        <v>21</v>
      </c>
      <c r="N117" s="119">
        <v>0</v>
      </c>
      <c r="P117" t="s">
        <v>321</v>
      </c>
    </row>
    <row r="118" spans="1:17">
      <c r="A118" s="6">
        <v>46071</v>
      </c>
      <c r="B118" s="7">
        <v>0</v>
      </c>
      <c r="C118" s="7">
        <v>0</v>
      </c>
      <c r="D118" s="4">
        <v>0</v>
      </c>
      <c r="E118" s="4">
        <v>0</v>
      </c>
      <c r="F118" s="4">
        <v>0</v>
      </c>
      <c r="G118" s="10">
        <f t="shared" si="42"/>
        <v>0</v>
      </c>
      <c r="H118" s="4">
        <v>0</v>
      </c>
      <c r="I118" s="5">
        <f t="shared" si="41"/>
        <v>0</v>
      </c>
      <c r="J118" s="5">
        <f t="shared" ref="J118:J122" si="43">I118-H118</f>
        <v>0</v>
      </c>
      <c r="N118" s="119"/>
      <c r="P118" t="s">
        <v>53</v>
      </c>
      <c r="Q118" t="s">
        <v>64</v>
      </c>
    </row>
    <row r="119" spans="1:17">
      <c r="A119" s="6">
        <v>46072</v>
      </c>
      <c r="B119" s="7">
        <v>11</v>
      </c>
      <c r="C119" s="7">
        <v>12</v>
      </c>
      <c r="D119" s="4">
        <v>45</v>
      </c>
      <c r="E119" s="4">
        <v>1</v>
      </c>
      <c r="F119" s="4">
        <v>50</v>
      </c>
      <c r="G119" s="10">
        <f t="shared" si="42"/>
        <v>11.2</v>
      </c>
      <c r="H119" s="4">
        <v>50</v>
      </c>
      <c r="I119" s="5">
        <f t="shared" si="41"/>
        <v>503.99999999999994</v>
      </c>
      <c r="J119" s="5">
        <f t="shared" si="43"/>
        <v>453.99999999999994</v>
      </c>
      <c r="K119">
        <v>25</v>
      </c>
      <c r="N119" s="119">
        <v>200</v>
      </c>
      <c r="P119" t="s">
        <v>322</v>
      </c>
    </row>
    <row r="120" spans="1:17">
      <c r="A120" s="6">
        <v>46073</v>
      </c>
      <c r="B120" s="7">
        <v>10</v>
      </c>
      <c r="C120" s="7">
        <v>54</v>
      </c>
      <c r="D120" s="4">
        <v>45</v>
      </c>
      <c r="E120" s="4">
        <v>1</v>
      </c>
      <c r="F120" s="4">
        <v>50</v>
      </c>
      <c r="G120" s="10">
        <f t="shared" si="42"/>
        <v>10.9</v>
      </c>
      <c r="H120" s="4">
        <v>50</v>
      </c>
      <c r="I120" s="5">
        <f t="shared" si="41"/>
        <v>490.5</v>
      </c>
      <c r="J120" s="5">
        <f t="shared" si="43"/>
        <v>440.5</v>
      </c>
      <c r="K120">
        <v>21</v>
      </c>
      <c r="N120" s="119">
        <f>900+100</f>
        <v>1000</v>
      </c>
      <c r="P120" t="s">
        <v>69</v>
      </c>
    </row>
    <row r="121" spans="1:17">
      <c r="A121" s="6">
        <v>46074</v>
      </c>
      <c r="B121" s="7">
        <v>11</v>
      </c>
      <c r="C121" s="7">
        <v>30</v>
      </c>
      <c r="D121" s="4">
        <v>45</v>
      </c>
      <c r="E121" s="4">
        <v>1</v>
      </c>
      <c r="F121" s="4">
        <v>50</v>
      </c>
      <c r="G121" s="10">
        <f t="shared" si="42"/>
        <v>11.5</v>
      </c>
      <c r="H121" s="4">
        <v>50</v>
      </c>
      <c r="I121" s="5">
        <f t="shared" si="41"/>
        <v>517.5</v>
      </c>
      <c r="J121" s="5">
        <f t="shared" si="43"/>
        <v>467.5</v>
      </c>
      <c r="K121">
        <v>23</v>
      </c>
      <c r="N121" s="119">
        <v>0</v>
      </c>
      <c r="P121" t="s">
        <v>323</v>
      </c>
    </row>
    <row r="122" spans="1:17" ht="16" thickBot="1">
      <c r="A122" s="6">
        <v>46075</v>
      </c>
      <c r="B122" s="7">
        <v>0</v>
      </c>
      <c r="C122" s="7">
        <v>0</v>
      </c>
      <c r="D122" s="4">
        <v>0</v>
      </c>
      <c r="E122" s="4">
        <v>0</v>
      </c>
      <c r="F122" s="4">
        <v>0</v>
      </c>
      <c r="G122" s="10">
        <f t="shared" si="42"/>
        <v>0</v>
      </c>
      <c r="H122" s="4">
        <v>0</v>
      </c>
      <c r="I122" s="5">
        <f t="shared" si="41"/>
        <v>0</v>
      </c>
      <c r="J122" s="5">
        <f t="shared" si="43"/>
        <v>0</v>
      </c>
      <c r="N122" s="119">
        <v>840</v>
      </c>
    </row>
    <row r="123" spans="1:17" ht="20" thickBot="1">
      <c r="A123" s="72" t="s">
        <v>254</v>
      </c>
      <c r="B123" s="44">
        <f>SUM(B124:B130)</f>
        <v>20</v>
      </c>
      <c r="C123" s="44">
        <f t="shared" ref="C123" si="44">SUM(C124:C130)</f>
        <v>101</v>
      </c>
      <c r="D123" s="117">
        <f>SUM(D124)</f>
        <v>45</v>
      </c>
      <c r="E123" s="117">
        <f t="shared" ref="E123:F123" si="45">SUM(E124:E130)</f>
        <v>0</v>
      </c>
      <c r="F123" s="117">
        <f t="shared" si="45"/>
        <v>350</v>
      </c>
      <c r="G123" s="120">
        <f t="shared" si="42"/>
        <v>21.683333333333334</v>
      </c>
      <c r="H123" s="44">
        <f>SUM(H124:H130)</f>
        <v>200</v>
      </c>
      <c r="I123" s="47">
        <f>SUM(I124:I130)</f>
        <v>975.75</v>
      </c>
      <c r="J123" s="47">
        <f>SUM(J124:J130)</f>
        <v>775.75</v>
      </c>
      <c r="K123" s="44">
        <f>SUM(K124:K130)</f>
        <v>31</v>
      </c>
      <c r="L123" s="46">
        <v>0</v>
      </c>
      <c r="M123" s="69">
        <f>J123</f>
        <v>775.75</v>
      </c>
      <c r="N123" s="63">
        <f>SUM(N124:N130)</f>
        <v>150</v>
      </c>
      <c r="O123" s="90">
        <f>928-N123</f>
        <v>778</v>
      </c>
      <c r="P123" s="54"/>
      <c r="Q123" s="54"/>
    </row>
    <row r="124" spans="1:17">
      <c r="A124" s="80" t="s">
        <v>324</v>
      </c>
      <c r="B124" s="7">
        <v>4</v>
      </c>
      <c r="C124" s="7">
        <v>23</v>
      </c>
      <c r="D124" s="4">
        <v>45</v>
      </c>
      <c r="E124" s="4">
        <v>0</v>
      </c>
      <c r="F124" s="4">
        <v>50</v>
      </c>
      <c r="G124" s="10">
        <f>B124+C124/60</f>
        <v>4.3833333333333337</v>
      </c>
      <c r="H124" s="4">
        <v>50</v>
      </c>
      <c r="I124" s="5">
        <f t="shared" ref="I124:I130" si="46">G124*D124</f>
        <v>197.25000000000003</v>
      </c>
      <c r="J124" s="5">
        <f t="shared" ref="J124:J130" si="47">I124-H124</f>
        <v>147.25000000000003</v>
      </c>
      <c r="K124">
        <v>5</v>
      </c>
      <c r="N124" s="119">
        <v>0</v>
      </c>
      <c r="O124" s="51"/>
    </row>
    <row r="125" spans="1:17">
      <c r="A125" s="80" t="s">
        <v>325</v>
      </c>
      <c r="B125" s="7">
        <v>7</v>
      </c>
      <c r="C125" s="7">
        <v>7</v>
      </c>
      <c r="D125" s="4">
        <v>45</v>
      </c>
      <c r="E125" s="4">
        <v>0</v>
      </c>
      <c r="F125" s="4">
        <v>50</v>
      </c>
      <c r="G125" s="10">
        <f t="shared" si="42"/>
        <v>7.1166666666666663</v>
      </c>
      <c r="H125" s="4">
        <v>50</v>
      </c>
      <c r="I125" s="5">
        <f t="shared" si="46"/>
        <v>320.25</v>
      </c>
      <c r="J125" s="5">
        <f t="shared" si="47"/>
        <v>270.25</v>
      </c>
      <c r="K125">
        <v>8</v>
      </c>
      <c r="N125" s="119">
        <v>150</v>
      </c>
      <c r="P125" t="s">
        <v>53</v>
      </c>
    </row>
    <row r="126" spans="1:17">
      <c r="A126" s="80" t="s">
        <v>326</v>
      </c>
      <c r="B126" s="7">
        <v>7</v>
      </c>
      <c r="C126" s="7">
        <v>29</v>
      </c>
      <c r="D126" s="4">
        <v>45</v>
      </c>
      <c r="E126" s="4">
        <v>0</v>
      </c>
      <c r="F126" s="4">
        <v>50</v>
      </c>
      <c r="G126" s="10">
        <f t="shared" si="42"/>
        <v>7.4833333333333334</v>
      </c>
      <c r="H126" s="4">
        <v>50</v>
      </c>
      <c r="I126" s="5">
        <f t="shared" si="46"/>
        <v>336.75</v>
      </c>
      <c r="J126" s="5">
        <f t="shared" si="47"/>
        <v>286.75</v>
      </c>
      <c r="K126">
        <v>12</v>
      </c>
      <c r="N126" s="119">
        <v>0</v>
      </c>
      <c r="P126" t="s">
        <v>327</v>
      </c>
      <c r="Q126" t="s">
        <v>64</v>
      </c>
    </row>
    <row r="127" spans="1:17">
      <c r="A127" s="80" t="s">
        <v>272</v>
      </c>
      <c r="B127" s="7">
        <v>2</v>
      </c>
      <c r="C127" s="7">
        <v>42</v>
      </c>
      <c r="D127" s="4">
        <v>45</v>
      </c>
      <c r="E127" s="4">
        <v>0</v>
      </c>
      <c r="F127" s="4">
        <v>50</v>
      </c>
      <c r="G127" s="10">
        <f t="shared" si="42"/>
        <v>2.7</v>
      </c>
      <c r="H127" s="4">
        <v>50</v>
      </c>
      <c r="I127" s="5">
        <f t="shared" si="46"/>
        <v>121.50000000000001</v>
      </c>
      <c r="J127" s="5">
        <f t="shared" si="47"/>
        <v>71.500000000000014</v>
      </c>
      <c r="K127">
        <v>6</v>
      </c>
      <c r="N127" s="119">
        <v>0</v>
      </c>
    </row>
    <row r="128" spans="1:17">
      <c r="A128" s="6">
        <v>46073</v>
      </c>
      <c r="B128" s="7">
        <v>0</v>
      </c>
      <c r="C128" s="7">
        <v>0</v>
      </c>
      <c r="D128" s="4">
        <v>45</v>
      </c>
      <c r="E128" s="4">
        <v>0</v>
      </c>
      <c r="F128" s="4">
        <v>50</v>
      </c>
      <c r="G128" s="10">
        <f t="shared" si="42"/>
        <v>0</v>
      </c>
      <c r="H128" s="4">
        <v>0</v>
      </c>
      <c r="I128" s="5">
        <f t="shared" si="46"/>
        <v>0</v>
      </c>
      <c r="J128" s="5">
        <f t="shared" si="47"/>
        <v>0</v>
      </c>
      <c r="N128" s="119">
        <v>0</v>
      </c>
    </row>
    <row r="129" spans="1:17">
      <c r="A129" s="6">
        <v>46074</v>
      </c>
      <c r="B129" s="7">
        <v>0</v>
      </c>
      <c r="C129" s="7">
        <v>0</v>
      </c>
      <c r="D129" s="4">
        <v>45</v>
      </c>
      <c r="E129" s="4">
        <v>0</v>
      </c>
      <c r="F129" s="4">
        <v>50</v>
      </c>
      <c r="G129" s="10">
        <f t="shared" si="42"/>
        <v>0</v>
      </c>
      <c r="H129" s="4">
        <v>0</v>
      </c>
      <c r="I129" s="5">
        <f t="shared" si="46"/>
        <v>0</v>
      </c>
      <c r="J129" s="5">
        <f t="shared" si="47"/>
        <v>0</v>
      </c>
      <c r="N129" s="119">
        <v>0</v>
      </c>
    </row>
    <row r="130" spans="1:17" ht="16" thickBot="1">
      <c r="A130" s="6">
        <v>46075</v>
      </c>
      <c r="B130" s="7">
        <v>0</v>
      </c>
      <c r="C130" s="7">
        <v>0</v>
      </c>
      <c r="D130" s="4">
        <v>45</v>
      </c>
      <c r="E130" s="4">
        <v>0</v>
      </c>
      <c r="F130" s="4">
        <v>50</v>
      </c>
      <c r="G130" s="10">
        <f t="shared" si="42"/>
        <v>0</v>
      </c>
      <c r="H130" s="4">
        <v>0</v>
      </c>
      <c r="I130" s="5">
        <f t="shared" si="46"/>
        <v>0</v>
      </c>
      <c r="J130" s="5">
        <f t="shared" si="47"/>
        <v>0</v>
      </c>
      <c r="N130" s="119"/>
    </row>
    <row r="131" spans="1:17" s="86" customFormat="1" ht="20" thickBot="1">
      <c r="A131" s="91" t="s">
        <v>255</v>
      </c>
      <c r="B131" s="8">
        <f>SUM(B132:B138)</f>
        <v>64</v>
      </c>
      <c r="C131" s="8">
        <f t="shared" ref="C131" si="48">SUM(C132:C138)</f>
        <v>256</v>
      </c>
      <c r="D131" s="126">
        <f>SUM(D132)</f>
        <v>45</v>
      </c>
      <c r="E131" s="126">
        <f t="shared" ref="E131:F131" si="49">SUM(E132:E138)</f>
        <v>6</v>
      </c>
      <c r="F131" s="126">
        <f t="shared" si="49"/>
        <v>350</v>
      </c>
      <c r="G131" s="123">
        <f t="shared" si="42"/>
        <v>68.266666666666666</v>
      </c>
      <c r="H131" s="8">
        <f>SUM(H132:H138)</f>
        <v>350</v>
      </c>
      <c r="I131" s="14">
        <f>SUM(I132:I138)</f>
        <v>3274</v>
      </c>
      <c r="J131" s="14">
        <f>SUM(J132:J138)</f>
        <v>2924</v>
      </c>
      <c r="K131" s="8">
        <f>SUM(K132:K138)</f>
        <v>149</v>
      </c>
      <c r="L131" s="9">
        <v>0</v>
      </c>
      <c r="M131" s="96">
        <f>J131</f>
        <v>2924</v>
      </c>
      <c r="N131" s="129">
        <f>SUM(N132:N138)</f>
        <v>4192</v>
      </c>
      <c r="O131" s="98">
        <f>4192-N131</f>
        <v>0</v>
      </c>
    </row>
    <row r="132" spans="1:17">
      <c r="A132" s="6">
        <v>46069</v>
      </c>
      <c r="B132" s="4">
        <v>9</v>
      </c>
      <c r="C132" s="4">
        <v>57</v>
      </c>
      <c r="D132" s="4">
        <v>45</v>
      </c>
      <c r="E132" s="4">
        <v>1</v>
      </c>
      <c r="F132" s="4">
        <v>50</v>
      </c>
      <c r="G132" s="10">
        <f t="shared" si="42"/>
        <v>9.9499999999999993</v>
      </c>
      <c r="H132" s="4">
        <v>50</v>
      </c>
      <c r="I132" s="5">
        <f t="shared" ref="I132:I138" si="50">G132*D132</f>
        <v>447.74999999999994</v>
      </c>
      <c r="J132" s="5">
        <f t="shared" ref="J132:J138" si="51">I132-H132</f>
        <v>397.74999999999994</v>
      </c>
      <c r="K132">
        <v>24</v>
      </c>
      <c r="N132">
        <f>250+100</f>
        <v>350</v>
      </c>
      <c r="O132" s="51"/>
    </row>
    <row r="133" spans="1:17">
      <c r="A133" s="6">
        <v>46070</v>
      </c>
      <c r="B133" s="4">
        <v>10</v>
      </c>
      <c r="C133" s="4">
        <v>45</v>
      </c>
      <c r="D133" s="4">
        <v>55</v>
      </c>
      <c r="E133" s="4">
        <v>1</v>
      </c>
      <c r="F133" s="4">
        <v>50</v>
      </c>
      <c r="G133" s="10">
        <f t="shared" si="42"/>
        <v>10.75</v>
      </c>
      <c r="H133" s="4">
        <v>50</v>
      </c>
      <c r="I133" s="5">
        <f t="shared" si="50"/>
        <v>591.25</v>
      </c>
      <c r="J133" s="5">
        <f>I133-H133</f>
        <v>541.25</v>
      </c>
      <c r="K133">
        <v>27</v>
      </c>
      <c r="N133" s="83">
        <f>98+400</f>
        <v>498</v>
      </c>
      <c r="P133" t="s">
        <v>310</v>
      </c>
    </row>
    <row r="134" spans="1:17">
      <c r="A134" s="6">
        <v>46071</v>
      </c>
      <c r="B134" s="4">
        <v>10</v>
      </c>
      <c r="C134" s="4">
        <v>5</v>
      </c>
      <c r="D134" s="4">
        <v>45</v>
      </c>
      <c r="E134" s="4">
        <v>0</v>
      </c>
      <c r="F134" s="4">
        <v>50</v>
      </c>
      <c r="G134" s="10">
        <f t="shared" si="42"/>
        <v>10.083333333333334</v>
      </c>
      <c r="H134" s="4">
        <v>50</v>
      </c>
      <c r="I134" s="5">
        <f t="shared" si="50"/>
        <v>453.75</v>
      </c>
      <c r="J134" s="5">
        <f>I134-H134</f>
        <v>403.75</v>
      </c>
      <c r="K134">
        <v>22</v>
      </c>
      <c r="N134" s="83">
        <v>545</v>
      </c>
      <c r="Q134" t="s">
        <v>64</v>
      </c>
    </row>
    <row r="135" spans="1:17">
      <c r="A135" s="6">
        <v>46072</v>
      </c>
      <c r="B135" s="4">
        <v>9</v>
      </c>
      <c r="C135" s="4">
        <v>39</v>
      </c>
      <c r="D135" s="4">
        <v>45</v>
      </c>
      <c r="E135" s="4">
        <v>1</v>
      </c>
      <c r="F135" s="4">
        <v>50</v>
      </c>
      <c r="G135" s="10">
        <f t="shared" si="42"/>
        <v>9.65</v>
      </c>
      <c r="H135" s="4">
        <v>50</v>
      </c>
      <c r="I135" s="5">
        <f t="shared" si="50"/>
        <v>434.25</v>
      </c>
      <c r="J135" s="5">
        <f>I135-H135</f>
        <v>384.25</v>
      </c>
      <c r="K135">
        <v>20</v>
      </c>
      <c r="N135" s="83">
        <v>470</v>
      </c>
    </row>
    <row r="136" spans="1:17">
      <c r="A136" s="6">
        <v>46073</v>
      </c>
      <c r="B136" s="4">
        <v>9</v>
      </c>
      <c r="C136" s="4">
        <v>46</v>
      </c>
      <c r="D136" s="4">
        <v>45</v>
      </c>
      <c r="E136" s="4">
        <v>1</v>
      </c>
      <c r="F136" s="4">
        <v>50</v>
      </c>
      <c r="G136" s="10">
        <f t="shared" si="42"/>
        <v>9.7666666666666675</v>
      </c>
      <c r="H136" s="4">
        <v>50</v>
      </c>
      <c r="I136" s="5">
        <f t="shared" si="50"/>
        <v>439.50000000000006</v>
      </c>
      <c r="J136" s="5">
        <f t="shared" si="51"/>
        <v>389.50000000000006</v>
      </c>
      <c r="K136">
        <v>13</v>
      </c>
      <c r="N136" s="83">
        <v>180</v>
      </c>
    </row>
    <row r="137" spans="1:17">
      <c r="A137" s="6">
        <v>46074</v>
      </c>
      <c r="B137" s="4">
        <v>9</v>
      </c>
      <c r="C137" s="4">
        <v>27</v>
      </c>
      <c r="D137" s="4">
        <v>55</v>
      </c>
      <c r="E137" s="4">
        <v>1</v>
      </c>
      <c r="F137" s="4">
        <v>50</v>
      </c>
      <c r="G137" s="10">
        <f t="shared" si="42"/>
        <v>9.4499999999999993</v>
      </c>
      <c r="H137" s="4">
        <v>50</v>
      </c>
      <c r="I137" s="5">
        <f t="shared" si="50"/>
        <v>519.75</v>
      </c>
      <c r="J137" s="5">
        <f t="shared" si="51"/>
        <v>469.75</v>
      </c>
      <c r="K137">
        <v>27</v>
      </c>
      <c r="N137" s="83">
        <v>313</v>
      </c>
    </row>
    <row r="138" spans="1:17" ht="16" thickBot="1">
      <c r="A138" s="6">
        <v>46075</v>
      </c>
      <c r="B138" s="4">
        <v>8</v>
      </c>
      <c r="C138" s="4">
        <v>37</v>
      </c>
      <c r="D138" s="4">
        <v>45</v>
      </c>
      <c r="E138" s="4">
        <v>1</v>
      </c>
      <c r="F138" s="4">
        <v>50</v>
      </c>
      <c r="G138" s="10">
        <f t="shared" si="42"/>
        <v>8.6166666666666671</v>
      </c>
      <c r="H138" s="4">
        <v>50</v>
      </c>
      <c r="I138" s="5">
        <f t="shared" si="50"/>
        <v>387.75</v>
      </c>
      <c r="J138" s="5">
        <f t="shared" si="51"/>
        <v>337.75</v>
      </c>
      <c r="K138">
        <v>16</v>
      </c>
      <c r="N138" s="119">
        <f>100+150+1150+436</f>
        <v>1836</v>
      </c>
      <c r="P138" t="s">
        <v>328</v>
      </c>
    </row>
    <row r="139" spans="1:17" ht="20" thickBot="1">
      <c r="A139" s="72" t="s">
        <v>258</v>
      </c>
      <c r="B139" s="44">
        <f>SUM(B140:B146)</f>
        <v>40</v>
      </c>
      <c r="C139" s="44">
        <f t="shared" ref="C139" si="52">SUM(C140:C146)</f>
        <v>89</v>
      </c>
      <c r="D139" s="117">
        <f>SUM(D140)</f>
        <v>45</v>
      </c>
      <c r="E139" s="117">
        <f t="shared" ref="E139:F139" si="53">SUM(E140:E146)</f>
        <v>5</v>
      </c>
      <c r="F139" s="117">
        <f t="shared" si="53"/>
        <v>350</v>
      </c>
      <c r="G139" s="120">
        <f t="shared" si="42"/>
        <v>41.483333333333334</v>
      </c>
      <c r="H139" s="44">
        <f>SUM(H140:H146)</f>
        <v>250</v>
      </c>
      <c r="I139" s="47">
        <f>SUM(I140:I146)</f>
        <v>1866.75</v>
      </c>
      <c r="J139" s="47">
        <f>SUM(J140:J146)</f>
        <v>1616.75</v>
      </c>
      <c r="K139" s="44">
        <f>SUM(K140:K146)</f>
        <v>99</v>
      </c>
      <c r="L139" s="46">
        <v>0</v>
      </c>
      <c r="M139" s="69">
        <f>J139</f>
        <v>1616.75</v>
      </c>
      <c r="N139" s="63">
        <f>SUM(N140:N146)</f>
        <v>950</v>
      </c>
      <c r="O139" s="90">
        <f>2964-N139</f>
        <v>2014</v>
      </c>
      <c r="P139" s="54"/>
      <c r="Q139" s="54"/>
    </row>
    <row r="140" spans="1:17">
      <c r="A140" s="80" t="s">
        <v>276</v>
      </c>
      <c r="B140" s="4">
        <v>7</v>
      </c>
      <c r="C140" s="4">
        <v>48</v>
      </c>
      <c r="D140" s="4">
        <v>45</v>
      </c>
      <c r="E140" s="4">
        <v>1</v>
      </c>
      <c r="F140" s="4">
        <v>50</v>
      </c>
      <c r="G140" s="10">
        <f t="shared" si="42"/>
        <v>7.8</v>
      </c>
      <c r="H140" s="4">
        <v>50</v>
      </c>
      <c r="I140" s="5">
        <f t="shared" ref="I140:I146" si="54">G140*D140</f>
        <v>351</v>
      </c>
      <c r="J140" s="5">
        <f t="shared" ref="J140:J146" si="55">I140-H140</f>
        <v>301</v>
      </c>
      <c r="K140">
        <v>21</v>
      </c>
      <c r="N140" s="51">
        <v>0</v>
      </c>
      <c r="O140" s="51"/>
      <c r="P140" t="s">
        <v>329</v>
      </c>
    </row>
    <row r="141" spans="1:17">
      <c r="A141" s="6">
        <v>46070</v>
      </c>
      <c r="B141" s="4">
        <v>6</v>
      </c>
      <c r="C141" s="4">
        <v>16</v>
      </c>
      <c r="D141" s="4">
        <v>45</v>
      </c>
      <c r="E141" s="4">
        <v>1</v>
      </c>
      <c r="F141" s="4">
        <v>50</v>
      </c>
      <c r="G141" s="10">
        <f t="shared" si="42"/>
        <v>6.2666666666666666</v>
      </c>
      <c r="H141" s="4">
        <v>50</v>
      </c>
      <c r="I141" s="5">
        <f t="shared" si="54"/>
        <v>282</v>
      </c>
      <c r="J141" s="5">
        <f t="shared" si="55"/>
        <v>232</v>
      </c>
      <c r="K141">
        <v>19</v>
      </c>
      <c r="N141" s="51">
        <v>200</v>
      </c>
      <c r="P141" t="s">
        <v>330</v>
      </c>
    </row>
    <row r="142" spans="1:17">
      <c r="A142" s="6">
        <v>46071</v>
      </c>
      <c r="B142" s="4">
        <v>10</v>
      </c>
      <c r="C142" s="4">
        <v>12</v>
      </c>
      <c r="D142" s="4">
        <v>45</v>
      </c>
      <c r="E142" s="4">
        <v>1</v>
      </c>
      <c r="F142" s="4">
        <v>50</v>
      </c>
      <c r="G142" s="10">
        <f t="shared" si="42"/>
        <v>10.199999999999999</v>
      </c>
      <c r="H142" s="4">
        <v>50</v>
      </c>
      <c r="I142" s="5">
        <f t="shared" si="54"/>
        <v>458.99999999999994</v>
      </c>
      <c r="J142" s="5">
        <f t="shared" si="55"/>
        <v>408.99999999999994</v>
      </c>
      <c r="K142">
        <v>21</v>
      </c>
      <c r="N142" s="51">
        <v>0</v>
      </c>
      <c r="P142" t="s">
        <v>331</v>
      </c>
      <c r="Q142" t="s">
        <v>64</v>
      </c>
    </row>
    <row r="143" spans="1:17">
      <c r="A143" s="6">
        <v>46072</v>
      </c>
      <c r="B143" s="4">
        <v>8</v>
      </c>
      <c r="C143" s="4">
        <v>6</v>
      </c>
      <c r="D143" s="4">
        <v>45</v>
      </c>
      <c r="E143" s="4">
        <v>1</v>
      </c>
      <c r="F143" s="4">
        <v>50</v>
      </c>
      <c r="G143" s="10">
        <f t="shared" si="42"/>
        <v>8.1</v>
      </c>
      <c r="H143" s="4">
        <v>50</v>
      </c>
      <c r="I143" s="5">
        <f>G143*D143</f>
        <v>364.5</v>
      </c>
      <c r="J143" s="5">
        <f t="shared" si="55"/>
        <v>314.5</v>
      </c>
      <c r="K143">
        <v>18</v>
      </c>
      <c r="N143" s="51">
        <v>600</v>
      </c>
      <c r="P143" t="s">
        <v>332</v>
      </c>
    </row>
    <row r="144" spans="1:17">
      <c r="A144" s="6">
        <v>46073</v>
      </c>
      <c r="B144" s="4">
        <v>9</v>
      </c>
      <c r="C144" s="4">
        <v>7</v>
      </c>
      <c r="D144" s="4">
        <v>45</v>
      </c>
      <c r="E144" s="4">
        <v>1</v>
      </c>
      <c r="F144" s="4">
        <v>50</v>
      </c>
      <c r="G144" s="10">
        <f t="shared" si="42"/>
        <v>9.1166666666666671</v>
      </c>
      <c r="H144" s="4">
        <v>50</v>
      </c>
      <c r="I144" s="5">
        <f t="shared" si="54"/>
        <v>410.25</v>
      </c>
      <c r="J144" s="5">
        <f t="shared" si="55"/>
        <v>360.25</v>
      </c>
      <c r="K144">
        <v>20</v>
      </c>
      <c r="N144" s="51">
        <v>150</v>
      </c>
      <c r="P144" t="s">
        <v>333</v>
      </c>
    </row>
    <row r="145" spans="1:17">
      <c r="A145" s="6">
        <v>46074</v>
      </c>
      <c r="B145" s="4">
        <v>0</v>
      </c>
      <c r="C145" s="4">
        <v>0</v>
      </c>
      <c r="D145" s="4">
        <v>0</v>
      </c>
      <c r="E145" s="4">
        <v>0</v>
      </c>
      <c r="F145" s="4">
        <v>50</v>
      </c>
      <c r="G145" s="10">
        <v>0</v>
      </c>
      <c r="H145" s="4">
        <v>0</v>
      </c>
      <c r="I145" s="5">
        <v>0</v>
      </c>
      <c r="J145" s="5">
        <v>0</v>
      </c>
      <c r="N145" s="51">
        <v>0</v>
      </c>
    </row>
    <row r="146" spans="1:17" ht="16" thickBot="1">
      <c r="A146" s="6">
        <v>46075</v>
      </c>
      <c r="B146" s="4">
        <v>0</v>
      </c>
      <c r="C146" s="4">
        <v>0</v>
      </c>
      <c r="D146" s="4">
        <v>45</v>
      </c>
      <c r="E146" s="4">
        <v>0</v>
      </c>
      <c r="F146" s="4">
        <v>50</v>
      </c>
      <c r="G146" s="10">
        <f t="shared" si="42"/>
        <v>0</v>
      </c>
      <c r="H146" s="4">
        <v>0</v>
      </c>
      <c r="I146" s="5">
        <f t="shared" si="54"/>
        <v>0</v>
      </c>
      <c r="J146" s="5">
        <f t="shared" si="55"/>
        <v>0</v>
      </c>
      <c r="N146" s="51">
        <v>0</v>
      </c>
    </row>
    <row r="147" spans="1:17" s="86" customFormat="1" ht="20" thickBot="1">
      <c r="A147" s="91" t="s">
        <v>334</v>
      </c>
      <c r="B147" s="8">
        <f>SUM(B148:B154)</f>
        <v>53</v>
      </c>
      <c r="C147" s="8">
        <f>SUM(C148:C154)</f>
        <v>251</v>
      </c>
      <c r="D147" s="8">
        <f>SUM(D148)</f>
        <v>45</v>
      </c>
      <c r="E147" s="8">
        <f>SUM(E148:E154)</f>
        <v>6</v>
      </c>
      <c r="F147" s="8">
        <f>SUM(F148:F154)</f>
        <v>350</v>
      </c>
      <c r="G147" s="93">
        <f t="shared" ref="G147" si="56">B147+C147/60</f>
        <v>57.183333333333337</v>
      </c>
      <c r="H147" s="8">
        <f>SUM(H148:H154)</f>
        <v>350</v>
      </c>
      <c r="I147" s="9">
        <f>SUM(I148:I154)</f>
        <v>2573.25</v>
      </c>
      <c r="J147" s="14">
        <f>SUM(J148:J154)</f>
        <v>2223.25</v>
      </c>
      <c r="K147" s="8">
        <f>SUM(K148:K154)</f>
        <v>115</v>
      </c>
      <c r="L147" s="9">
        <v>0</v>
      </c>
      <c r="M147" s="96">
        <f>J147</f>
        <v>2223.25</v>
      </c>
      <c r="N147" s="129">
        <f>SUM(N148:N154)</f>
        <v>2971</v>
      </c>
      <c r="O147" s="98">
        <f>2971-N147</f>
        <v>0</v>
      </c>
    </row>
    <row r="148" spans="1:17">
      <c r="A148" s="6">
        <v>46069</v>
      </c>
      <c r="B148" s="7">
        <v>4</v>
      </c>
      <c r="C148" s="7">
        <v>41</v>
      </c>
      <c r="D148" s="4">
        <v>45</v>
      </c>
      <c r="E148" s="4">
        <v>1</v>
      </c>
      <c r="F148" s="4">
        <v>50</v>
      </c>
      <c r="G148" s="10">
        <f>B148+C148/60</f>
        <v>4.6833333333333336</v>
      </c>
      <c r="H148" s="7">
        <v>50</v>
      </c>
      <c r="I148" s="5">
        <f t="shared" ref="I148" si="57">G148*D148</f>
        <v>210.75</v>
      </c>
      <c r="J148" s="5">
        <f>I148-H148</f>
        <v>160.75</v>
      </c>
      <c r="K148">
        <v>7</v>
      </c>
      <c r="N148" s="119">
        <v>0</v>
      </c>
      <c r="O148" s="51"/>
    </row>
    <row r="149" spans="1:17">
      <c r="A149" s="6">
        <v>46070</v>
      </c>
      <c r="B149" s="4">
        <v>7</v>
      </c>
      <c r="C149" s="4">
        <v>56</v>
      </c>
      <c r="D149" s="4">
        <v>45</v>
      </c>
      <c r="E149" s="4">
        <v>1</v>
      </c>
      <c r="F149" s="4">
        <v>50</v>
      </c>
      <c r="G149" s="10">
        <f t="shared" ref="G149:G151" si="58">B149+C149/60</f>
        <v>7.9333333333333336</v>
      </c>
      <c r="H149" s="4">
        <v>50</v>
      </c>
      <c r="I149" s="5">
        <f>G149*D149</f>
        <v>357</v>
      </c>
      <c r="J149" s="5">
        <f>I149-H149</f>
        <v>307</v>
      </c>
      <c r="K149">
        <v>10</v>
      </c>
      <c r="N149" s="83">
        <f>300+411</f>
        <v>711</v>
      </c>
      <c r="P149" t="s">
        <v>335</v>
      </c>
    </row>
    <row r="150" spans="1:17">
      <c r="A150" s="6">
        <v>46071</v>
      </c>
      <c r="B150" s="4">
        <v>9</v>
      </c>
      <c r="C150" s="4">
        <v>1</v>
      </c>
      <c r="D150" s="4">
        <v>45</v>
      </c>
      <c r="E150" s="4">
        <v>1</v>
      </c>
      <c r="F150" s="4">
        <v>50</v>
      </c>
      <c r="G150" s="10">
        <f t="shared" si="58"/>
        <v>9.0166666666666675</v>
      </c>
      <c r="H150" s="4">
        <v>50</v>
      </c>
      <c r="I150" s="5">
        <f>G150*D150</f>
        <v>405.75000000000006</v>
      </c>
      <c r="J150" s="5">
        <f t="shared" ref="J150:J154" si="59">I150-H150</f>
        <v>355.75000000000006</v>
      </c>
      <c r="K150">
        <v>14</v>
      </c>
      <c r="N150" s="83">
        <f>200+120</f>
        <v>320</v>
      </c>
      <c r="P150" t="s">
        <v>336</v>
      </c>
      <c r="Q150" t="s">
        <v>64</v>
      </c>
    </row>
    <row r="151" spans="1:17">
      <c r="A151" s="6">
        <v>46072</v>
      </c>
      <c r="B151" s="4">
        <v>8</v>
      </c>
      <c r="C151" s="4">
        <v>43</v>
      </c>
      <c r="D151" s="4">
        <v>45</v>
      </c>
      <c r="E151" s="4">
        <v>1</v>
      </c>
      <c r="F151" s="4">
        <v>50</v>
      </c>
      <c r="G151" s="10">
        <f t="shared" si="58"/>
        <v>8.7166666666666668</v>
      </c>
      <c r="H151" s="4">
        <v>50</v>
      </c>
      <c r="I151" s="5">
        <f>G151*D151</f>
        <v>392.25</v>
      </c>
      <c r="J151" s="5">
        <f t="shared" si="59"/>
        <v>342.25</v>
      </c>
      <c r="K151">
        <v>18</v>
      </c>
      <c r="N151" s="119">
        <v>0</v>
      </c>
    </row>
    <row r="152" spans="1:17">
      <c r="A152" s="6">
        <v>46073</v>
      </c>
      <c r="B152" s="4">
        <v>8</v>
      </c>
      <c r="C152" s="4">
        <v>23</v>
      </c>
      <c r="D152" s="4">
        <v>45</v>
      </c>
      <c r="E152" s="4">
        <v>1</v>
      </c>
      <c r="F152" s="4">
        <v>50</v>
      </c>
      <c r="G152" s="10">
        <f t="shared" ref="G152:G162" si="60">B152+C152/60</f>
        <v>8.3833333333333329</v>
      </c>
      <c r="H152" s="4">
        <v>50</v>
      </c>
      <c r="I152" s="5">
        <f>G152*D152</f>
        <v>377.25</v>
      </c>
      <c r="J152" s="5">
        <f t="shared" si="59"/>
        <v>327.25</v>
      </c>
      <c r="K152">
        <v>20</v>
      </c>
      <c r="N152" s="119">
        <f>150+400</f>
        <v>550</v>
      </c>
      <c r="P152" t="s">
        <v>27</v>
      </c>
    </row>
    <row r="153" spans="1:17">
      <c r="A153" s="6">
        <v>46074</v>
      </c>
      <c r="B153" s="4">
        <v>9</v>
      </c>
      <c r="C153" s="4">
        <v>48</v>
      </c>
      <c r="D153" s="4">
        <v>45</v>
      </c>
      <c r="E153" s="4">
        <v>1</v>
      </c>
      <c r="F153" s="4">
        <v>50</v>
      </c>
      <c r="G153" s="10">
        <f t="shared" si="60"/>
        <v>9.8000000000000007</v>
      </c>
      <c r="H153" s="4">
        <v>50</v>
      </c>
      <c r="I153" s="5">
        <f>G153*D153</f>
        <v>441.00000000000006</v>
      </c>
      <c r="J153" s="5">
        <f t="shared" si="59"/>
        <v>391.00000000000006</v>
      </c>
      <c r="K153">
        <v>23</v>
      </c>
      <c r="N153" s="119">
        <v>0</v>
      </c>
    </row>
    <row r="154" spans="1:17" ht="16" thickBot="1">
      <c r="A154" s="6">
        <v>46075</v>
      </c>
      <c r="B154" s="4">
        <v>8</v>
      </c>
      <c r="C154" s="4">
        <v>39</v>
      </c>
      <c r="D154" s="4">
        <v>45</v>
      </c>
      <c r="E154" s="4">
        <v>0</v>
      </c>
      <c r="F154" s="4">
        <v>50</v>
      </c>
      <c r="G154" s="10">
        <f t="shared" si="60"/>
        <v>8.65</v>
      </c>
      <c r="H154" s="4">
        <v>50</v>
      </c>
      <c r="I154" s="5">
        <f t="shared" ref="I154" si="61">G154*D154</f>
        <v>389.25</v>
      </c>
      <c r="J154" s="5">
        <f t="shared" si="59"/>
        <v>339.25</v>
      </c>
      <c r="K154">
        <v>23</v>
      </c>
      <c r="N154" s="83">
        <v>1390</v>
      </c>
    </row>
    <row r="155" spans="1:17" ht="20" thickBot="1">
      <c r="A155" s="72" t="s">
        <v>337</v>
      </c>
      <c r="B155" s="44">
        <f>SUM(B156:B162)</f>
        <v>40</v>
      </c>
      <c r="C155" s="44">
        <f>SUM(C156:C162)</f>
        <v>92</v>
      </c>
      <c r="D155" s="117">
        <f>SUM(D156)</f>
        <v>45</v>
      </c>
      <c r="E155" s="117">
        <f>SUM(E156:E162)</f>
        <v>5</v>
      </c>
      <c r="F155" s="117">
        <f>SUM(F156:F162)</f>
        <v>350</v>
      </c>
      <c r="G155" s="120">
        <f t="shared" si="60"/>
        <v>41.533333333333331</v>
      </c>
      <c r="H155" s="44">
        <f>SUM(H156:H162)</f>
        <v>200</v>
      </c>
      <c r="I155" s="47">
        <f>SUM(I156:I162)</f>
        <v>1869</v>
      </c>
      <c r="J155" s="47">
        <f>SUM(J156:J162)</f>
        <v>1669</v>
      </c>
      <c r="K155" s="44">
        <f>SUM(K156:K162)</f>
        <v>76</v>
      </c>
      <c r="L155" s="46">
        <v>0</v>
      </c>
      <c r="M155" s="69">
        <f>J155</f>
        <v>1669</v>
      </c>
      <c r="N155" s="63">
        <f>SUM(N156:N162)</f>
        <v>2748</v>
      </c>
      <c r="O155" s="90">
        <f>2761-N155</f>
        <v>13</v>
      </c>
      <c r="P155" s="54"/>
      <c r="Q155" s="54"/>
    </row>
    <row r="156" spans="1:17">
      <c r="A156" s="6"/>
      <c r="B156" s="7">
        <v>0</v>
      </c>
      <c r="C156" s="7">
        <v>0</v>
      </c>
      <c r="D156" s="4">
        <v>45</v>
      </c>
      <c r="E156" s="4">
        <v>0</v>
      </c>
      <c r="F156" s="4">
        <v>50</v>
      </c>
      <c r="G156" s="10">
        <f t="shared" si="60"/>
        <v>0</v>
      </c>
      <c r="H156" s="4">
        <v>0</v>
      </c>
      <c r="I156" s="5">
        <f t="shared" ref="I156:I162" si="62">G156*D156</f>
        <v>0</v>
      </c>
      <c r="J156" s="5">
        <f t="shared" ref="J156:J162" si="63">I156-H156</f>
        <v>0</v>
      </c>
      <c r="K156">
        <v>0</v>
      </c>
      <c r="N156" s="119">
        <v>0</v>
      </c>
      <c r="O156" s="51"/>
    </row>
    <row r="157" spans="1:17">
      <c r="A157" s="6">
        <v>46070</v>
      </c>
      <c r="B157" s="4">
        <v>0</v>
      </c>
      <c r="C157" s="4">
        <v>0</v>
      </c>
      <c r="D157" s="4">
        <v>45</v>
      </c>
      <c r="E157" s="4">
        <v>0</v>
      </c>
      <c r="F157" s="4">
        <v>50</v>
      </c>
      <c r="G157" s="10">
        <f t="shared" si="60"/>
        <v>0</v>
      </c>
      <c r="H157" s="4">
        <v>0</v>
      </c>
      <c r="I157" s="5">
        <f t="shared" si="62"/>
        <v>0</v>
      </c>
      <c r="J157" s="5">
        <f t="shared" si="63"/>
        <v>0</v>
      </c>
      <c r="K157">
        <v>0</v>
      </c>
      <c r="N157" s="119">
        <v>0</v>
      </c>
    </row>
    <row r="158" spans="1:17">
      <c r="A158" s="80" t="s">
        <v>338</v>
      </c>
      <c r="B158" s="4">
        <v>8</v>
      </c>
      <c r="C158" s="4">
        <v>45</v>
      </c>
      <c r="D158" s="4">
        <v>45</v>
      </c>
      <c r="E158" s="4">
        <v>1</v>
      </c>
      <c r="F158" s="4">
        <v>50</v>
      </c>
      <c r="G158" s="10">
        <f t="shared" si="60"/>
        <v>8.75</v>
      </c>
      <c r="H158" s="4">
        <v>50</v>
      </c>
      <c r="I158" s="5">
        <f t="shared" si="62"/>
        <v>393.75</v>
      </c>
      <c r="J158" s="5">
        <f t="shared" si="63"/>
        <v>343.75</v>
      </c>
      <c r="K158">
        <v>12</v>
      </c>
      <c r="N158" s="119">
        <v>468</v>
      </c>
      <c r="P158" t="s">
        <v>339</v>
      </c>
      <c r="Q158" t="s">
        <v>64</v>
      </c>
    </row>
    <row r="159" spans="1:17">
      <c r="A159" s="80" t="s">
        <v>272</v>
      </c>
      <c r="B159" s="4">
        <v>11</v>
      </c>
      <c r="C159" s="4">
        <v>17</v>
      </c>
      <c r="D159" s="4">
        <v>45</v>
      </c>
      <c r="E159" s="4">
        <v>1</v>
      </c>
      <c r="F159" s="4">
        <v>50</v>
      </c>
      <c r="G159" s="10">
        <f t="shared" si="60"/>
        <v>11.283333333333333</v>
      </c>
      <c r="H159" s="4">
        <v>50</v>
      </c>
      <c r="I159" s="5">
        <f t="shared" si="62"/>
        <v>507.75</v>
      </c>
      <c r="J159" s="5">
        <f t="shared" si="63"/>
        <v>457.75</v>
      </c>
      <c r="K159">
        <v>22</v>
      </c>
      <c r="N159" s="119">
        <v>680</v>
      </c>
      <c r="P159" t="s">
        <v>339</v>
      </c>
    </row>
    <row r="160" spans="1:17">
      <c r="A160" s="80" t="s">
        <v>340</v>
      </c>
      <c r="B160" s="4">
        <v>10</v>
      </c>
      <c r="C160" s="4">
        <v>26</v>
      </c>
      <c r="D160" s="4">
        <v>45</v>
      </c>
      <c r="E160" s="4">
        <v>1</v>
      </c>
      <c r="F160" s="4">
        <v>50</v>
      </c>
      <c r="G160" s="10">
        <f t="shared" si="60"/>
        <v>10.433333333333334</v>
      </c>
      <c r="H160" s="4">
        <v>50</v>
      </c>
      <c r="I160" s="5">
        <f t="shared" si="62"/>
        <v>469.5</v>
      </c>
      <c r="J160" s="5">
        <f t="shared" si="63"/>
        <v>419.5</v>
      </c>
      <c r="K160">
        <v>19</v>
      </c>
      <c r="N160" s="119">
        <v>800</v>
      </c>
      <c r="P160" t="s">
        <v>341</v>
      </c>
    </row>
    <row r="161" spans="1:26">
      <c r="A161" s="80" t="s">
        <v>273</v>
      </c>
      <c r="B161" s="4">
        <v>11</v>
      </c>
      <c r="C161" s="4">
        <v>4</v>
      </c>
      <c r="D161" s="4">
        <v>45</v>
      </c>
      <c r="E161" s="4">
        <v>1</v>
      </c>
      <c r="F161" s="4">
        <v>50</v>
      </c>
      <c r="G161" s="10">
        <f t="shared" si="60"/>
        <v>11.066666666666666</v>
      </c>
      <c r="H161" s="4">
        <v>50</v>
      </c>
      <c r="I161" s="5">
        <f t="shared" si="62"/>
        <v>498</v>
      </c>
      <c r="J161" s="5">
        <f t="shared" si="63"/>
        <v>448</v>
      </c>
      <c r="K161">
        <v>23</v>
      </c>
      <c r="N161" s="119">
        <f>710+90</f>
        <v>800</v>
      </c>
      <c r="P161" t="s">
        <v>342</v>
      </c>
    </row>
    <row r="162" spans="1:26" ht="16" thickBot="1">
      <c r="A162" s="80">
        <v>46075</v>
      </c>
      <c r="B162" s="4">
        <v>0</v>
      </c>
      <c r="C162" s="4">
        <v>0</v>
      </c>
      <c r="D162" s="4">
        <v>45</v>
      </c>
      <c r="E162" s="4">
        <v>1</v>
      </c>
      <c r="F162" s="4">
        <v>50</v>
      </c>
      <c r="G162" s="10">
        <f t="shared" si="60"/>
        <v>0</v>
      </c>
      <c r="H162" s="4">
        <v>0</v>
      </c>
      <c r="I162" s="5">
        <f t="shared" si="62"/>
        <v>0</v>
      </c>
      <c r="J162" s="5">
        <f t="shared" si="63"/>
        <v>0</v>
      </c>
      <c r="K162">
        <v>0</v>
      </c>
      <c r="N162" s="119">
        <v>0</v>
      </c>
    </row>
    <row r="163" spans="1:26" ht="20" thickBot="1">
      <c r="A163" s="91" t="s">
        <v>343</v>
      </c>
      <c r="B163" s="8">
        <f>SUM(B164:B170)</f>
        <v>18</v>
      </c>
      <c r="C163" s="8">
        <f>SUM(C164:C170)</f>
        <v>80</v>
      </c>
      <c r="D163" s="8">
        <v>45</v>
      </c>
      <c r="E163" s="8">
        <f>SUM(E164:E170)</f>
        <v>7</v>
      </c>
      <c r="F163" s="8">
        <f>SUM(F164:F170)</f>
        <v>350</v>
      </c>
      <c r="G163" s="93">
        <f t="shared" ref="G163:G172" si="64">B163+C163/60</f>
        <v>19.333333333333332</v>
      </c>
      <c r="H163" s="8">
        <f>SUM(H164:H170)</f>
        <v>100</v>
      </c>
      <c r="I163" s="9">
        <f>SUM(I164:I170)</f>
        <v>870</v>
      </c>
      <c r="J163" s="14">
        <f>SUM(J164:J170)</f>
        <v>770</v>
      </c>
      <c r="K163" s="8">
        <f>SUM(K164:K170)</f>
        <v>26</v>
      </c>
      <c r="L163" s="9">
        <v>0</v>
      </c>
      <c r="M163" s="96">
        <f>J163</f>
        <v>770</v>
      </c>
      <c r="N163" s="102">
        <f>SUM(N164:N170)</f>
        <v>0</v>
      </c>
      <c r="O163" s="98">
        <f>593-N163</f>
        <v>593</v>
      </c>
      <c r="P163" s="86"/>
      <c r="Q163" s="86"/>
    </row>
    <row r="164" spans="1:26">
      <c r="A164" s="80" t="s">
        <v>279</v>
      </c>
      <c r="B164" s="4">
        <v>9</v>
      </c>
      <c r="C164" s="4">
        <v>50</v>
      </c>
      <c r="D164" s="4">
        <v>45</v>
      </c>
      <c r="E164" s="4">
        <v>1</v>
      </c>
      <c r="F164" s="4">
        <v>50</v>
      </c>
      <c r="G164" s="10">
        <f t="shared" si="64"/>
        <v>9.8333333333333339</v>
      </c>
      <c r="H164" s="4">
        <v>50</v>
      </c>
      <c r="I164" s="5">
        <f t="shared" ref="I164:I170" si="65">G164*D164</f>
        <v>442.5</v>
      </c>
      <c r="J164" s="5">
        <f t="shared" ref="J164:J170" si="66">I164-H164</f>
        <v>392.5</v>
      </c>
      <c r="K164">
        <v>13</v>
      </c>
      <c r="N164" s="119">
        <v>0</v>
      </c>
      <c r="O164" s="51"/>
    </row>
    <row r="165" spans="1:26">
      <c r="A165" s="80" t="s">
        <v>262</v>
      </c>
      <c r="B165" s="4">
        <v>0</v>
      </c>
      <c r="C165" s="4">
        <v>0</v>
      </c>
      <c r="D165" s="4">
        <v>45</v>
      </c>
      <c r="E165" s="4">
        <v>1</v>
      </c>
      <c r="F165" s="4">
        <v>50</v>
      </c>
      <c r="G165" s="10">
        <f t="shared" si="64"/>
        <v>0</v>
      </c>
      <c r="H165" s="4">
        <v>0</v>
      </c>
      <c r="I165" s="5">
        <f t="shared" si="65"/>
        <v>0</v>
      </c>
      <c r="J165" s="5">
        <f t="shared" si="66"/>
        <v>0</v>
      </c>
      <c r="K165">
        <v>0</v>
      </c>
      <c r="N165" s="119">
        <v>0</v>
      </c>
    </row>
    <row r="166" spans="1:26">
      <c r="A166" s="80" t="s">
        <v>344</v>
      </c>
      <c r="B166" s="4">
        <v>9</v>
      </c>
      <c r="C166" s="4">
        <v>30</v>
      </c>
      <c r="D166" s="4">
        <v>45</v>
      </c>
      <c r="E166" s="4">
        <v>1</v>
      </c>
      <c r="F166" s="4">
        <v>50</v>
      </c>
      <c r="G166" s="10">
        <f t="shared" si="64"/>
        <v>9.5</v>
      </c>
      <c r="H166" s="4">
        <v>50</v>
      </c>
      <c r="I166" s="5">
        <f t="shared" si="65"/>
        <v>427.5</v>
      </c>
      <c r="J166" s="5">
        <f t="shared" si="66"/>
        <v>377.5</v>
      </c>
      <c r="K166">
        <v>13</v>
      </c>
      <c r="N166" s="119">
        <v>0</v>
      </c>
      <c r="Q166" t="s">
        <v>64</v>
      </c>
    </row>
    <row r="167" spans="1:26">
      <c r="A167" s="80" t="s">
        <v>272</v>
      </c>
      <c r="B167" s="4">
        <v>0</v>
      </c>
      <c r="C167" s="4">
        <v>0</v>
      </c>
      <c r="D167" s="4">
        <v>45</v>
      </c>
      <c r="E167" s="4">
        <v>1</v>
      </c>
      <c r="F167" s="4">
        <v>50</v>
      </c>
      <c r="G167" s="10">
        <f t="shared" si="64"/>
        <v>0</v>
      </c>
      <c r="H167" s="4">
        <v>0</v>
      </c>
      <c r="I167" s="5">
        <f t="shared" si="65"/>
        <v>0</v>
      </c>
      <c r="J167" s="5">
        <f t="shared" si="66"/>
        <v>0</v>
      </c>
      <c r="N167" s="119">
        <v>0</v>
      </c>
    </row>
    <row r="168" spans="1:26">
      <c r="A168" s="80" t="s">
        <v>345</v>
      </c>
      <c r="B168" s="4">
        <v>0</v>
      </c>
      <c r="C168" s="4">
        <v>0</v>
      </c>
      <c r="D168" s="4">
        <v>45</v>
      </c>
      <c r="E168" s="4">
        <v>1</v>
      </c>
      <c r="F168" s="4">
        <v>50</v>
      </c>
      <c r="G168" s="10">
        <f t="shared" si="64"/>
        <v>0</v>
      </c>
      <c r="H168" s="4">
        <v>0</v>
      </c>
      <c r="I168" s="5">
        <f t="shared" si="65"/>
        <v>0</v>
      </c>
      <c r="J168" s="5">
        <f t="shared" si="66"/>
        <v>0</v>
      </c>
      <c r="K168">
        <v>0</v>
      </c>
      <c r="N168" s="119">
        <v>0</v>
      </c>
    </row>
    <row r="169" spans="1:26">
      <c r="A169" s="80" t="s">
        <v>273</v>
      </c>
      <c r="B169" s="4">
        <v>0</v>
      </c>
      <c r="C169" s="4">
        <v>0</v>
      </c>
      <c r="D169" s="4">
        <v>45</v>
      </c>
      <c r="E169" s="4">
        <v>1</v>
      </c>
      <c r="F169" s="4">
        <v>50</v>
      </c>
      <c r="G169" s="10">
        <f t="shared" si="64"/>
        <v>0</v>
      </c>
      <c r="H169" s="4">
        <v>0</v>
      </c>
      <c r="I169" s="5">
        <f t="shared" si="65"/>
        <v>0</v>
      </c>
      <c r="J169" s="5">
        <f t="shared" si="66"/>
        <v>0</v>
      </c>
      <c r="K169">
        <v>0</v>
      </c>
      <c r="N169" s="119">
        <v>0</v>
      </c>
    </row>
    <row r="170" spans="1:26" ht="16" thickBot="1">
      <c r="A170" s="80" t="s">
        <v>274</v>
      </c>
      <c r="B170" s="4">
        <v>0</v>
      </c>
      <c r="C170" s="4">
        <v>0</v>
      </c>
      <c r="D170" s="4">
        <v>45</v>
      </c>
      <c r="E170" s="4">
        <v>1</v>
      </c>
      <c r="F170" s="4">
        <v>50</v>
      </c>
      <c r="G170" s="10">
        <f t="shared" si="64"/>
        <v>0</v>
      </c>
      <c r="H170" s="4">
        <v>0</v>
      </c>
      <c r="I170" s="5">
        <f t="shared" si="65"/>
        <v>0</v>
      </c>
      <c r="J170" s="5">
        <f t="shared" si="66"/>
        <v>0</v>
      </c>
      <c r="K170">
        <v>0</v>
      </c>
      <c r="N170" s="119">
        <v>0</v>
      </c>
    </row>
    <row r="171" spans="1:26" ht="20" thickBot="1">
      <c r="A171" s="72" t="s">
        <v>346</v>
      </c>
      <c r="B171" s="44">
        <f>SUM(B172:B178)</f>
        <v>26</v>
      </c>
      <c r="C171" s="44">
        <f>SUM(C172:C178)</f>
        <v>49</v>
      </c>
      <c r="D171" s="44">
        <f>SUM(D172)</f>
        <v>45</v>
      </c>
      <c r="E171" s="44">
        <f>SUM(E172:E178)</f>
        <v>4</v>
      </c>
      <c r="F171" s="44">
        <f>SUM(F172:F178)</f>
        <v>350</v>
      </c>
      <c r="G171" s="67">
        <f t="shared" si="64"/>
        <v>26.816666666666666</v>
      </c>
      <c r="H171" s="44">
        <f>SUM(H172:H178)</f>
        <v>150</v>
      </c>
      <c r="I171" s="46">
        <f>SUM(I172:I178)</f>
        <v>1206.75</v>
      </c>
      <c r="J171" s="47">
        <f>SUM(J172:J178)</f>
        <v>1056.75</v>
      </c>
      <c r="K171" s="44">
        <f>SUM(K172:K178)</f>
        <v>44</v>
      </c>
      <c r="L171" s="46">
        <v>0</v>
      </c>
      <c r="M171" s="69">
        <f>J171</f>
        <v>1056.75</v>
      </c>
      <c r="N171" s="63">
        <f>SUM(N172:N178)</f>
        <v>2495</v>
      </c>
      <c r="O171" s="90">
        <f>2220-N171</f>
        <v>-275</v>
      </c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>
      <c r="A172" s="6">
        <v>46069</v>
      </c>
      <c r="B172" s="4">
        <v>0</v>
      </c>
      <c r="C172" s="4">
        <v>0</v>
      </c>
      <c r="D172" s="4">
        <v>45</v>
      </c>
      <c r="E172" s="4">
        <v>0</v>
      </c>
      <c r="F172" s="4">
        <v>50</v>
      </c>
      <c r="G172" s="10">
        <f t="shared" si="64"/>
        <v>0</v>
      </c>
      <c r="H172" s="4">
        <v>0</v>
      </c>
      <c r="I172" s="5">
        <f t="shared" ref="I172:I178" si="67">G172*D172</f>
        <v>0</v>
      </c>
      <c r="J172" s="5">
        <f>I172-H172</f>
        <v>0</v>
      </c>
      <c r="K172">
        <v>0</v>
      </c>
      <c r="N172" s="119">
        <v>0</v>
      </c>
      <c r="O172" s="51"/>
    </row>
    <row r="173" spans="1:26">
      <c r="A173" s="6">
        <v>46070</v>
      </c>
      <c r="B173" s="4">
        <v>0</v>
      </c>
      <c r="C173" s="4">
        <v>0</v>
      </c>
      <c r="D173" s="4">
        <v>45</v>
      </c>
      <c r="E173" s="4">
        <v>0</v>
      </c>
      <c r="F173" s="4">
        <v>50</v>
      </c>
      <c r="G173" s="10">
        <v>0</v>
      </c>
      <c r="H173" s="4">
        <v>0</v>
      </c>
      <c r="I173" s="5">
        <f t="shared" si="67"/>
        <v>0</v>
      </c>
      <c r="J173" s="5">
        <f>I173-H173</f>
        <v>0</v>
      </c>
      <c r="K173">
        <v>0</v>
      </c>
      <c r="N173" s="119">
        <v>0</v>
      </c>
    </row>
    <row r="174" spans="1:26">
      <c r="A174" s="6">
        <v>46071</v>
      </c>
      <c r="B174" s="4">
        <v>0</v>
      </c>
      <c r="C174" s="4">
        <v>0</v>
      </c>
      <c r="D174" s="4">
        <v>45</v>
      </c>
      <c r="E174" s="4">
        <v>0</v>
      </c>
      <c r="F174" s="4">
        <v>50</v>
      </c>
      <c r="G174" s="10">
        <f>B174+C174/60</f>
        <v>0</v>
      </c>
      <c r="H174" s="4">
        <v>0</v>
      </c>
      <c r="I174" s="5">
        <f t="shared" si="67"/>
        <v>0</v>
      </c>
      <c r="J174" s="5">
        <v>0</v>
      </c>
      <c r="K174">
        <v>0</v>
      </c>
      <c r="N174" s="119">
        <v>0</v>
      </c>
      <c r="Q174" t="s">
        <v>64</v>
      </c>
    </row>
    <row r="175" spans="1:26">
      <c r="A175" s="80" t="s">
        <v>347</v>
      </c>
      <c r="B175" s="4">
        <v>6</v>
      </c>
      <c r="C175" s="4">
        <v>2</v>
      </c>
      <c r="D175" s="4">
        <v>45</v>
      </c>
      <c r="E175" s="4">
        <v>1</v>
      </c>
      <c r="F175" s="4">
        <v>50</v>
      </c>
      <c r="G175" s="10">
        <f>B175+C175/60</f>
        <v>6.0333333333333332</v>
      </c>
      <c r="H175" s="4">
        <v>50</v>
      </c>
      <c r="I175" s="5">
        <f t="shared" si="67"/>
        <v>271.5</v>
      </c>
      <c r="J175" s="5">
        <f>I175-H175</f>
        <v>221.5</v>
      </c>
      <c r="K175">
        <v>8</v>
      </c>
      <c r="N175" s="119">
        <v>200</v>
      </c>
      <c r="P175" t="s">
        <v>348</v>
      </c>
    </row>
    <row r="176" spans="1:26">
      <c r="A176" s="80" t="s">
        <v>345</v>
      </c>
      <c r="B176" s="4">
        <v>10</v>
      </c>
      <c r="C176" s="4">
        <v>4</v>
      </c>
      <c r="D176" s="4">
        <v>45</v>
      </c>
      <c r="E176" s="4">
        <v>1</v>
      </c>
      <c r="F176" s="4">
        <v>50</v>
      </c>
      <c r="G176" s="10">
        <f>B176+C176/60</f>
        <v>10.066666666666666</v>
      </c>
      <c r="H176" s="4">
        <v>50</v>
      </c>
      <c r="I176" s="5">
        <f t="shared" si="67"/>
        <v>453</v>
      </c>
      <c r="J176" s="5">
        <f>I176-H176</f>
        <v>403</v>
      </c>
      <c r="K176">
        <v>15</v>
      </c>
      <c r="N176" s="119">
        <f>285+100</f>
        <v>385</v>
      </c>
      <c r="P176" t="s">
        <v>349</v>
      </c>
    </row>
    <row r="177" spans="1:17">
      <c r="A177" s="80" t="s">
        <v>273</v>
      </c>
      <c r="B177" s="4">
        <v>10</v>
      </c>
      <c r="C177" s="4">
        <v>43</v>
      </c>
      <c r="D177" s="4">
        <v>45</v>
      </c>
      <c r="E177" s="4">
        <v>1</v>
      </c>
      <c r="F177" s="4">
        <v>50</v>
      </c>
      <c r="G177" s="10">
        <f>B177+C177/60</f>
        <v>10.716666666666667</v>
      </c>
      <c r="H177" s="4">
        <v>50</v>
      </c>
      <c r="I177" s="5">
        <f t="shared" si="67"/>
        <v>482.25</v>
      </c>
      <c r="J177" s="5">
        <f>I177-H177</f>
        <v>432.25</v>
      </c>
      <c r="K177">
        <v>21</v>
      </c>
      <c r="N177" s="119">
        <v>0</v>
      </c>
      <c r="P177" t="s">
        <v>350</v>
      </c>
    </row>
    <row r="178" spans="1:17" ht="16" thickBot="1">
      <c r="A178" s="6">
        <v>46075</v>
      </c>
      <c r="B178" s="4">
        <v>0</v>
      </c>
      <c r="C178" s="4">
        <v>0</v>
      </c>
      <c r="D178" s="4">
        <v>45</v>
      </c>
      <c r="E178" s="4">
        <v>1</v>
      </c>
      <c r="F178" s="4">
        <v>50</v>
      </c>
      <c r="G178" s="10">
        <v>0</v>
      </c>
      <c r="H178" s="4">
        <v>0</v>
      </c>
      <c r="I178" s="5">
        <f t="shared" si="67"/>
        <v>0</v>
      </c>
      <c r="J178" s="5">
        <v>0</v>
      </c>
      <c r="K178">
        <v>0</v>
      </c>
      <c r="N178" s="119">
        <v>1910</v>
      </c>
    </row>
    <row r="179" spans="1:17" s="54" customFormat="1" ht="20" thickBot="1">
      <c r="A179" s="72" t="s">
        <v>351</v>
      </c>
      <c r="B179" s="44">
        <f>SUM(B180:B186)</f>
        <v>12</v>
      </c>
      <c r="C179" s="44">
        <f>SUM(C180:C186)</f>
        <v>70</v>
      </c>
      <c r="D179" s="44">
        <f>SUM(D180)</f>
        <v>45</v>
      </c>
      <c r="E179" s="44">
        <f>SUM(E180:E186)</f>
        <v>4</v>
      </c>
      <c r="F179" s="44">
        <f>SUM(F180:F186)</f>
        <v>350</v>
      </c>
      <c r="G179" s="67">
        <f>B179+C179/60</f>
        <v>13.166666666666666</v>
      </c>
      <c r="H179" s="44">
        <f>SUM(H180:H186)</f>
        <v>100</v>
      </c>
      <c r="I179" s="46">
        <f>SUM(I180:I186)</f>
        <v>592.5</v>
      </c>
      <c r="J179" s="47">
        <f>SUM(J180:J186)</f>
        <v>492.5</v>
      </c>
      <c r="K179" s="44">
        <f>SUM(K180:K186)</f>
        <v>0</v>
      </c>
      <c r="L179" s="46">
        <v>0</v>
      </c>
      <c r="M179" s="69">
        <f>J179</f>
        <v>492.5</v>
      </c>
      <c r="N179" s="63">
        <f>SUM(N180:N186)</f>
        <v>0</v>
      </c>
      <c r="O179" s="90">
        <f>570-N179</f>
        <v>570</v>
      </c>
    </row>
    <row r="180" spans="1:17">
      <c r="A180" s="6">
        <v>46069</v>
      </c>
      <c r="B180" s="4">
        <v>0</v>
      </c>
      <c r="C180" s="4">
        <v>0</v>
      </c>
      <c r="D180" s="4">
        <v>45</v>
      </c>
      <c r="E180" s="4">
        <v>0</v>
      </c>
      <c r="F180" s="4">
        <v>50</v>
      </c>
      <c r="G180" s="10">
        <f>B180+C180/60</f>
        <v>0</v>
      </c>
      <c r="H180" s="4">
        <v>0</v>
      </c>
      <c r="I180" s="5">
        <f t="shared" ref="I180:I186" si="68">G180*D180</f>
        <v>0</v>
      </c>
      <c r="J180" s="5">
        <f>I180-H180</f>
        <v>0</v>
      </c>
      <c r="K180">
        <v>0</v>
      </c>
      <c r="N180" s="119">
        <v>0</v>
      </c>
      <c r="O180" s="51"/>
    </row>
    <row r="181" spans="1:17">
      <c r="A181" s="6">
        <v>46070</v>
      </c>
      <c r="B181" s="4">
        <v>0</v>
      </c>
      <c r="C181" s="4">
        <v>0</v>
      </c>
      <c r="D181" s="4">
        <v>45</v>
      </c>
      <c r="E181" s="4">
        <v>0</v>
      </c>
      <c r="F181" s="4">
        <v>50</v>
      </c>
      <c r="G181" s="10">
        <v>0</v>
      </c>
      <c r="H181" s="4">
        <v>0</v>
      </c>
      <c r="I181" s="5">
        <f t="shared" si="68"/>
        <v>0</v>
      </c>
      <c r="J181" s="5">
        <f>I181-H181</f>
        <v>0</v>
      </c>
      <c r="K181">
        <v>0</v>
      </c>
      <c r="N181" s="119">
        <v>0</v>
      </c>
    </row>
    <row r="182" spans="1:17">
      <c r="A182" s="6">
        <v>46071</v>
      </c>
      <c r="B182" s="4">
        <v>0</v>
      </c>
      <c r="C182" s="4">
        <v>0</v>
      </c>
      <c r="D182" s="4">
        <v>45</v>
      </c>
      <c r="E182" s="4">
        <v>0</v>
      </c>
      <c r="F182" s="4">
        <v>50</v>
      </c>
      <c r="G182" s="10">
        <f t="shared" ref="G182:G188" si="69">B182+C182/60</f>
        <v>0</v>
      </c>
      <c r="H182" s="4">
        <v>0</v>
      </c>
      <c r="I182" s="5">
        <f t="shared" si="68"/>
        <v>0</v>
      </c>
      <c r="J182" s="5">
        <v>0</v>
      </c>
      <c r="K182">
        <v>0</v>
      </c>
      <c r="N182" s="119">
        <v>0</v>
      </c>
      <c r="Q182" t="s">
        <v>64</v>
      </c>
    </row>
    <row r="183" spans="1:17">
      <c r="A183" s="80" t="s">
        <v>347</v>
      </c>
      <c r="B183" s="4">
        <v>0</v>
      </c>
      <c r="C183" s="4">
        <v>0</v>
      </c>
      <c r="D183" s="4">
        <v>45</v>
      </c>
      <c r="E183" s="4">
        <v>1</v>
      </c>
      <c r="F183" s="4">
        <v>50</v>
      </c>
      <c r="G183" s="10">
        <f t="shared" si="69"/>
        <v>0</v>
      </c>
      <c r="H183" s="4">
        <v>0</v>
      </c>
      <c r="I183" s="5">
        <f t="shared" si="68"/>
        <v>0</v>
      </c>
      <c r="J183" s="5">
        <f>I183-H183</f>
        <v>0</v>
      </c>
      <c r="K183">
        <v>0</v>
      </c>
      <c r="N183" s="119">
        <v>0</v>
      </c>
    </row>
    <row r="184" spans="1:17">
      <c r="A184" s="80" t="s">
        <v>345</v>
      </c>
      <c r="B184" s="4">
        <v>0</v>
      </c>
      <c r="C184" s="4">
        <v>0</v>
      </c>
      <c r="D184" s="4">
        <v>45</v>
      </c>
      <c r="E184" s="4">
        <v>1</v>
      </c>
      <c r="F184" s="4">
        <v>50</v>
      </c>
      <c r="G184" s="10">
        <f t="shared" si="69"/>
        <v>0</v>
      </c>
      <c r="H184" s="4">
        <v>0</v>
      </c>
      <c r="I184" s="5">
        <f t="shared" si="68"/>
        <v>0</v>
      </c>
      <c r="J184" s="5">
        <f>I184-H184</f>
        <v>0</v>
      </c>
      <c r="K184">
        <v>0</v>
      </c>
      <c r="N184" s="119">
        <v>0</v>
      </c>
    </row>
    <row r="185" spans="1:17">
      <c r="A185" s="80" t="s">
        <v>273</v>
      </c>
      <c r="B185" s="4">
        <v>5</v>
      </c>
      <c r="C185" s="4">
        <v>23</v>
      </c>
      <c r="D185" s="4">
        <v>45</v>
      </c>
      <c r="E185" s="4">
        <v>1</v>
      </c>
      <c r="F185" s="4">
        <v>50</v>
      </c>
      <c r="G185" s="10">
        <f t="shared" si="69"/>
        <v>5.3833333333333337</v>
      </c>
      <c r="H185" s="4">
        <v>50</v>
      </c>
      <c r="I185" s="5">
        <f t="shared" si="68"/>
        <v>242.25000000000003</v>
      </c>
      <c r="J185" s="5">
        <f>I185-H185</f>
        <v>192.25000000000003</v>
      </c>
      <c r="K185">
        <v>0</v>
      </c>
      <c r="N185" s="119">
        <v>0</v>
      </c>
    </row>
    <row r="186" spans="1:17" ht="16" thickBot="1">
      <c r="A186" s="6">
        <v>46075</v>
      </c>
      <c r="B186" s="4">
        <v>7</v>
      </c>
      <c r="C186" s="4">
        <v>47</v>
      </c>
      <c r="D186" s="4">
        <v>45</v>
      </c>
      <c r="E186" s="4">
        <v>1</v>
      </c>
      <c r="F186" s="4">
        <v>50</v>
      </c>
      <c r="G186" s="10">
        <f t="shared" si="69"/>
        <v>7.7833333333333332</v>
      </c>
      <c r="H186" s="4">
        <v>50</v>
      </c>
      <c r="I186" s="5">
        <f t="shared" si="68"/>
        <v>350.25</v>
      </c>
      <c r="J186" s="5">
        <f>I186-H186</f>
        <v>300.25</v>
      </c>
      <c r="K186">
        <v>0</v>
      </c>
      <c r="N186" s="119">
        <v>0</v>
      </c>
    </row>
    <row r="187" spans="1:17" s="86" customFormat="1" ht="20" thickBot="1">
      <c r="A187" s="91" t="s">
        <v>352</v>
      </c>
      <c r="B187" s="8">
        <f>SUM(B188:B194)</f>
        <v>26</v>
      </c>
      <c r="C187" s="8">
        <f>SUM(C188:C194)</f>
        <v>76</v>
      </c>
      <c r="D187" s="8">
        <f>SUM(D188)</f>
        <v>45</v>
      </c>
      <c r="E187" s="8">
        <f>SUM(E188:E194)</f>
        <v>3</v>
      </c>
      <c r="F187" s="8">
        <f>SUM(F188:F194)</f>
        <v>350</v>
      </c>
      <c r="G187" s="93">
        <f t="shared" si="69"/>
        <v>27.266666666666666</v>
      </c>
      <c r="H187" s="8">
        <f>SUM(H188:H194)</f>
        <v>150</v>
      </c>
      <c r="I187" s="9">
        <f>SUM(I188:I194)</f>
        <v>1678.5</v>
      </c>
      <c r="J187" s="14">
        <f>SUM(J188:J194)</f>
        <v>1528.5</v>
      </c>
      <c r="K187" s="8">
        <f>SUM(K188:K194)</f>
        <v>92</v>
      </c>
      <c r="L187" s="9">
        <v>0</v>
      </c>
      <c r="M187" s="96">
        <f>J187</f>
        <v>1528.5</v>
      </c>
      <c r="N187" s="102">
        <f>SUM(N188:N194)</f>
        <v>1738</v>
      </c>
      <c r="O187" s="98">
        <f>1650-N187</f>
        <v>-88</v>
      </c>
    </row>
    <row r="188" spans="1:17">
      <c r="A188" s="6">
        <v>46069</v>
      </c>
      <c r="B188" s="4">
        <v>0</v>
      </c>
      <c r="C188" s="4">
        <v>0</v>
      </c>
      <c r="D188" s="4">
        <v>45</v>
      </c>
      <c r="E188" s="4">
        <v>0</v>
      </c>
      <c r="F188" s="4">
        <v>50</v>
      </c>
      <c r="G188" s="10">
        <f t="shared" si="69"/>
        <v>0</v>
      </c>
      <c r="H188" s="4">
        <v>0</v>
      </c>
      <c r="I188" s="5">
        <f t="shared" ref="I188:I195" si="70">G188*D188</f>
        <v>0</v>
      </c>
      <c r="J188" s="5">
        <f>I188-H188</f>
        <v>0</v>
      </c>
      <c r="K188">
        <v>0</v>
      </c>
      <c r="N188" s="119">
        <v>0</v>
      </c>
      <c r="O188" s="51"/>
    </row>
    <row r="189" spans="1:17">
      <c r="A189" s="6">
        <v>46070</v>
      </c>
      <c r="B189" s="4">
        <v>0</v>
      </c>
      <c r="C189" s="4">
        <v>0</v>
      </c>
      <c r="D189" s="4">
        <v>45</v>
      </c>
      <c r="E189" s="4">
        <v>0</v>
      </c>
      <c r="F189" s="4">
        <v>50</v>
      </c>
      <c r="G189" s="10">
        <v>0</v>
      </c>
      <c r="H189" s="4">
        <v>0</v>
      </c>
      <c r="I189" s="5">
        <f t="shared" si="70"/>
        <v>0</v>
      </c>
      <c r="J189" s="5">
        <f>I189-H189</f>
        <v>0</v>
      </c>
      <c r="K189">
        <v>0</v>
      </c>
      <c r="N189" s="119">
        <v>0</v>
      </c>
    </row>
    <row r="190" spans="1:17">
      <c r="A190" s="6">
        <v>46071</v>
      </c>
      <c r="B190" s="4">
        <v>0</v>
      </c>
      <c r="C190" s="4">
        <v>0</v>
      </c>
      <c r="D190" s="4">
        <v>45</v>
      </c>
      <c r="E190" s="4">
        <v>0</v>
      </c>
      <c r="F190" s="4">
        <v>50</v>
      </c>
      <c r="G190" s="10">
        <f>B190+C190/60</f>
        <v>0</v>
      </c>
      <c r="H190" s="4">
        <v>0</v>
      </c>
      <c r="I190" s="5">
        <f t="shared" si="70"/>
        <v>0</v>
      </c>
      <c r="J190" s="5">
        <v>0</v>
      </c>
      <c r="K190">
        <v>0</v>
      </c>
      <c r="N190" s="119">
        <v>0</v>
      </c>
      <c r="Q190" t="s">
        <v>64</v>
      </c>
    </row>
    <row r="191" spans="1:17">
      <c r="A191" s="80" t="s">
        <v>347</v>
      </c>
      <c r="B191" s="4">
        <v>0</v>
      </c>
      <c r="C191" s="4">
        <v>0</v>
      </c>
      <c r="D191" s="4">
        <v>45</v>
      </c>
      <c r="E191" s="4">
        <v>0</v>
      </c>
      <c r="F191" s="4">
        <v>50</v>
      </c>
      <c r="G191" s="10">
        <f>B191+C191/60</f>
        <v>0</v>
      </c>
      <c r="H191" s="4">
        <v>0</v>
      </c>
      <c r="I191" s="5">
        <f t="shared" si="70"/>
        <v>0</v>
      </c>
      <c r="J191" s="5">
        <f>I191-H191</f>
        <v>0</v>
      </c>
      <c r="K191">
        <v>0</v>
      </c>
      <c r="N191" s="119">
        <v>0</v>
      </c>
    </row>
    <row r="192" spans="1:17">
      <c r="A192" s="80" t="s">
        <v>345</v>
      </c>
      <c r="B192" s="4">
        <v>9</v>
      </c>
      <c r="C192" s="4">
        <v>23</v>
      </c>
      <c r="D192" s="4">
        <v>55</v>
      </c>
      <c r="E192" s="4">
        <v>1</v>
      </c>
      <c r="F192" s="4">
        <v>50</v>
      </c>
      <c r="G192" s="10">
        <f>B192+C192/60</f>
        <v>9.3833333333333329</v>
      </c>
      <c r="H192" s="4">
        <v>50</v>
      </c>
      <c r="I192" s="5">
        <f t="shared" si="70"/>
        <v>516.08333333333326</v>
      </c>
      <c r="J192" s="5">
        <f>I192-H192</f>
        <v>466.08333333333326</v>
      </c>
      <c r="K192">
        <v>27</v>
      </c>
      <c r="N192" s="119">
        <v>150</v>
      </c>
      <c r="P192" t="s">
        <v>27</v>
      </c>
    </row>
    <row r="193" spans="1:16">
      <c r="A193" s="80" t="s">
        <v>273</v>
      </c>
      <c r="B193" s="4">
        <v>9</v>
      </c>
      <c r="C193" s="4">
        <v>37</v>
      </c>
      <c r="D193" s="4">
        <v>65</v>
      </c>
      <c r="E193" s="4">
        <v>1</v>
      </c>
      <c r="F193" s="4">
        <v>50</v>
      </c>
      <c r="G193" s="10">
        <f>B193+C193/60</f>
        <v>9.6166666666666671</v>
      </c>
      <c r="H193" s="4">
        <v>50</v>
      </c>
      <c r="I193" s="5">
        <f t="shared" si="70"/>
        <v>625.08333333333337</v>
      </c>
      <c r="J193" s="5">
        <f>I193-H193</f>
        <v>575.08333333333337</v>
      </c>
      <c r="K193">
        <v>33</v>
      </c>
      <c r="N193" s="119">
        <v>200</v>
      </c>
      <c r="P193" t="s">
        <v>353</v>
      </c>
    </row>
    <row r="194" spans="1:16">
      <c r="A194" s="6">
        <v>46075</v>
      </c>
      <c r="B194" s="4">
        <v>8</v>
      </c>
      <c r="C194" s="4">
        <v>16</v>
      </c>
      <c r="D194" s="4">
        <v>65</v>
      </c>
      <c r="E194" s="4">
        <v>1</v>
      </c>
      <c r="F194" s="4">
        <v>50</v>
      </c>
      <c r="G194" s="10">
        <f>B194+C194/60</f>
        <v>8.2666666666666675</v>
      </c>
      <c r="H194" s="4">
        <v>50</v>
      </c>
      <c r="I194" s="5">
        <f t="shared" si="70"/>
        <v>537.33333333333337</v>
      </c>
      <c r="J194" s="5">
        <f>I194-H194</f>
        <v>487.33333333333337</v>
      </c>
      <c r="K194">
        <v>32</v>
      </c>
      <c r="N194" s="83">
        <v>1388</v>
      </c>
    </row>
    <row r="195" spans="1:16">
      <c r="A195" s="6"/>
      <c r="G195" s="133"/>
      <c r="H195" s="131"/>
      <c r="I195" s="5">
        <f t="shared" si="70"/>
        <v>0</v>
      </c>
      <c r="J195" s="132"/>
      <c r="N195" s="119"/>
    </row>
    <row r="196" spans="1:16" ht="33" customHeight="1" thickBot="1">
      <c r="A196" t="s">
        <v>17</v>
      </c>
      <c r="H196" s="121">
        <f>H3+H11+H19+H27+H34+H42+H50+H58+H66+H74+H82+H90+H98+H106+H115+H123+H131+H139+H147+H155+H163+H171+H179+H187</f>
        <v>5700</v>
      </c>
      <c r="I196" s="121">
        <f t="shared" ref="I196:O196" si="71">I3+I11+I19+I27+I34+I42+I50+I58+I66+I74+I82+I90+I98+I106+I115+I123+I131+I139+I147+I155+I163+I171+I179+I187</f>
        <v>52610.666666666664</v>
      </c>
      <c r="J196" s="121">
        <f t="shared" si="71"/>
        <v>46860.666666666672</v>
      </c>
      <c r="K196" s="122">
        <f t="shared" si="71"/>
        <v>2719</v>
      </c>
      <c r="L196" s="121">
        <f t="shared" si="71"/>
        <v>200</v>
      </c>
      <c r="M196" s="121">
        <f t="shared" si="71"/>
        <v>47060.666666666672</v>
      </c>
      <c r="N196" s="121">
        <f t="shared" si="71"/>
        <v>62579</v>
      </c>
      <c r="O196" s="121">
        <f t="shared" si="71"/>
        <v>4400</v>
      </c>
    </row>
    <row r="197" spans="1:16" ht="16" thickTop="1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7D26-AF8D-2540-970C-D711D3A84EEF}">
  <dimension ref="A1:Z197"/>
  <sheetViews>
    <sheetView workbookViewId="0">
      <pane xSplit="1" ySplit="1" topLeftCell="P194" activePane="bottomRight" state="frozen"/>
      <selection pane="topRight" activeCell="B1" sqref="B1"/>
      <selection pane="bottomLeft" activeCell="A2" sqref="A2"/>
      <selection pane="bottomRight" activeCell="P14" sqref="P14"/>
    </sheetView>
  </sheetViews>
  <sheetFormatPr baseColWidth="10" defaultColWidth="8.6640625" defaultRowHeight="15"/>
  <cols>
    <col min="1" max="1" width="23" bestFit="1" customWidth="1"/>
    <col min="3" max="3" width="13.33203125" customWidth="1"/>
    <col min="4" max="4" width="17.6640625" customWidth="1"/>
    <col min="6" max="6" width="16.6640625" customWidth="1"/>
    <col min="7" max="7" width="19" customWidth="1"/>
    <col min="8" max="8" width="18" customWidth="1"/>
    <col min="9" max="9" width="20.5" customWidth="1"/>
    <col min="10" max="10" width="17.33203125" customWidth="1"/>
    <col min="11" max="11" width="15.5" bestFit="1" customWidth="1"/>
    <col min="12" max="12" width="10.33203125" bestFit="1" customWidth="1"/>
    <col min="13" max="13" width="17" bestFit="1" customWidth="1"/>
    <col min="14" max="14" width="15.33203125" bestFit="1" customWidth="1"/>
    <col min="15" max="15" width="22.6640625" bestFit="1" customWidth="1"/>
    <col min="16" max="16" width="175.5" customWidth="1"/>
  </cols>
  <sheetData>
    <row r="1" spans="1:16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6" ht="20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6" s="54" customFormat="1" ht="20" thickBot="1">
      <c r="A3" s="72" t="s">
        <v>10</v>
      </c>
      <c r="B3" s="44">
        <f>SUM(B4:B10)</f>
        <v>30</v>
      </c>
      <c r="C3" s="44">
        <f>SUM(C4:C8)</f>
        <v>133</v>
      </c>
      <c r="D3" s="44">
        <f>SUM(D4)</f>
        <v>45</v>
      </c>
      <c r="E3" s="44">
        <f>SUM(E4:E10)</f>
        <v>5</v>
      </c>
      <c r="F3" s="44">
        <f>SUM(F4:F10)</f>
        <v>250</v>
      </c>
      <c r="G3" s="67">
        <f>B3+C3/60</f>
        <v>32.216666666666669</v>
      </c>
      <c r="H3" s="44">
        <f>SUM(H4:H10)</f>
        <v>200</v>
      </c>
      <c r="I3" s="46">
        <f>SUM(I4:I10)</f>
        <v>1471.5</v>
      </c>
      <c r="J3" s="47">
        <f>SUM(J4:J10)</f>
        <v>1271.5</v>
      </c>
      <c r="K3" s="44">
        <f>SUM(K4:K10)</f>
        <v>84</v>
      </c>
      <c r="L3" s="46">
        <v>0</v>
      </c>
      <c r="M3" s="69">
        <f>J3+L3</f>
        <v>1271.5</v>
      </c>
      <c r="N3" s="52">
        <f>SUM(N4:N10)</f>
        <v>420</v>
      </c>
      <c r="O3" s="90">
        <f>432-N3</f>
        <v>12</v>
      </c>
    </row>
    <row r="4" spans="1:16">
      <c r="A4" s="6" t="s">
        <v>354</v>
      </c>
      <c r="B4" s="4">
        <v>7</v>
      </c>
      <c r="C4" s="4">
        <v>23</v>
      </c>
      <c r="D4" s="4">
        <v>45</v>
      </c>
      <c r="E4" s="4">
        <v>1</v>
      </c>
      <c r="F4" s="4">
        <v>50</v>
      </c>
      <c r="G4" s="10">
        <f>B4+C4/60</f>
        <v>7.3833333333333337</v>
      </c>
      <c r="H4" s="4">
        <v>50</v>
      </c>
      <c r="I4" s="5">
        <f>G4*D4</f>
        <v>332.25</v>
      </c>
      <c r="J4" s="5">
        <f>I4-H4</f>
        <v>282.25</v>
      </c>
      <c r="K4">
        <v>20</v>
      </c>
      <c r="N4" s="135">
        <v>0</v>
      </c>
    </row>
    <row r="5" spans="1:16">
      <c r="A5" s="6" t="s">
        <v>355</v>
      </c>
      <c r="B5" s="4">
        <v>10</v>
      </c>
      <c r="C5" s="4">
        <v>54</v>
      </c>
      <c r="D5" s="4">
        <v>45</v>
      </c>
      <c r="E5" s="4">
        <v>1</v>
      </c>
      <c r="F5" s="4">
        <v>50</v>
      </c>
      <c r="G5" s="10">
        <f>B5+C5/60</f>
        <v>10.9</v>
      </c>
      <c r="H5" s="4">
        <v>50</v>
      </c>
      <c r="I5" s="5">
        <f>G5*D5</f>
        <v>490.5</v>
      </c>
      <c r="J5" s="5">
        <f>I5-H5</f>
        <v>440.5</v>
      </c>
      <c r="K5">
        <v>13</v>
      </c>
      <c r="N5" s="135">
        <v>100</v>
      </c>
      <c r="P5" t="s">
        <v>356</v>
      </c>
    </row>
    <row r="6" spans="1:16">
      <c r="A6" s="6" t="s">
        <v>357</v>
      </c>
      <c r="B6" s="4">
        <v>0</v>
      </c>
      <c r="C6" s="4">
        <v>0</v>
      </c>
      <c r="D6" s="4">
        <v>45</v>
      </c>
      <c r="E6" s="4">
        <v>1</v>
      </c>
      <c r="F6" s="4">
        <v>50</v>
      </c>
      <c r="G6" s="10">
        <f>B6+C6/60</f>
        <v>0</v>
      </c>
      <c r="H6" s="4">
        <v>0</v>
      </c>
      <c r="I6" s="5">
        <f>G6*D6</f>
        <v>0</v>
      </c>
      <c r="J6" s="5">
        <f>I6-H6</f>
        <v>0</v>
      </c>
      <c r="K6">
        <v>0</v>
      </c>
      <c r="N6" s="51">
        <v>0</v>
      </c>
    </row>
    <row r="7" spans="1:16">
      <c r="A7" s="6">
        <v>46086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10">
        <v>0</v>
      </c>
      <c r="H7" s="4">
        <v>0</v>
      </c>
      <c r="I7" s="5">
        <v>0</v>
      </c>
      <c r="J7" s="5">
        <v>0</v>
      </c>
      <c r="N7" s="135"/>
    </row>
    <row r="8" spans="1:16">
      <c r="A8" s="6">
        <v>46087</v>
      </c>
      <c r="B8" s="4">
        <v>5</v>
      </c>
      <c r="C8" s="4">
        <v>56</v>
      </c>
      <c r="D8" s="4">
        <v>45</v>
      </c>
      <c r="E8" s="4">
        <v>1</v>
      </c>
      <c r="F8" s="4">
        <v>50</v>
      </c>
      <c r="G8" s="10">
        <f t="shared" ref="G8:G41" si="0">B8+C8/60</f>
        <v>5.9333333333333336</v>
      </c>
      <c r="H8" s="4">
        <v>50</v>
      </c>
      <c r="I8" s="5">
        <f>G8*D8</f>
        <v>267</v>
      </c>
      <c r="J8" s="5">
        <f>I8-H8</f>
        <v>217</v>
      </c>
      <c r="K8">
        <v>22</v>
      </c>
      <c r="N8" s="51">
        <v>320</v>
      </c>
    </row>
    <row r="9" spans="1:16">
      <c r="A9" s="6" t="s">
        <v>358</v>
      </c>
      <c r="B9" s="4">
        <v>8</v>
      </c>
      <c r="C9" s="4">
        <v>29</v>
      </c>
      <c r="D9" s="4">
        <v>45</v>
      </c>
      <c r="E9" s="4">
        <v>1</v>
      </c>
      <c r="F9" s="4">
        <v>50</v>
      </c>
      <c r="G9" s="10">
        <f t="shared" si="0"/>
        <v>8.4833333333333325</v>
      </c>
      <c r="H9" s="4">
        <v>50</v>
      </c>
      <c r="I9" s="5">
        <f>G9*D9</f>
        <v>381.74999999999994</v>
      </c>
      <c r="J9" s="5">
        <f>I9-H9</f>
        <v>331.74999999999994</v>
      </c>
      <c r="K9">
        <v>29</v>
      </c>
      <c r="N9" s="51">
        <v>0</v>
      </c>
    </row>
    <row r="10" spans="1:16" ht="16" thickBot="1">
      <c r="A10" s="6"/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10">
        <v>0</v>
      </c>
      <c r="H10" s="4">
        <v>0</v>
      </c>
      <c r="I10" s="5">
        <f>G10*D10</f>
        <v>0</v>
      </c>
      <c r="J10" s="88">
        <v>0</v>
      </c>
      <c r="K10">
        <v>0</v>
      </c>
      <c r="N10" s="51">
        <v>0</v>
      </c>
    </row>
    <row r="11" spans="1:16" s="86" customFormat="1" ht="20" thickBot="1">
      <c r="A11" s="91" t="s">
        <v>11</v>
      </c>
      <c r="B11" s="92">
        <f>SUM(B12:B18)</f>
        <v>48</v>
      </c>
      <c r="C11" s="92">
        <f>SUM(C12:C18)</f>
        <v>99</v>
      </c>
      <c r="D11" s="92">
        <f>SUM(D12)</f>
        <v>45</v>
      </c>
      <c r="E11" s="92">
        <f>SUM(E12:E18)</f>
        <v>7</v>
      </c>
      <c r="F11" s="92">
        <f>SUM(F12:F18)</f>
        <v>350</v>
      </c>
      <c r="G11" s="93">
        <f t="shared" si="0"/>
        <v>49.65</v>
      </c>
      <c r="H11" s="92">
        <f>SUM(H12:H18)</f>
        <v>362.4</v>
      </c>
      <c r="I11" s="94">
        <f>SUM(I12:I18)</f>
        <v>2234.25</v>
      </c>
      <c r="J11" s="95">
        <f>SUM(J12:J18)</f>
        <v>1871.85</v>
      </c>
      <c r="K11" s="8">
        <f>SUM(K12:K18)</f>
        <v>145</v>
      </c>
      <c r="L11" s="9">
        <v>0</v>
      </c>
      <c r="M11" s="96">
        <f>J11+L11</f>
        <v>1871.85</v>
      </c>
      <c r="N11" s="97">
        <f>SUM(N12:N18)</f>
        <v>3510</v>
      </c>
      <c r="O11" s="98">
        <f>3650-N11</f>
        <v>140</v>
      </c>
    </row>
    <row r="12" spans="1:16">
      <c r="A12" s="80" t="s">
        <v>359</v>
      </c>
      <c r="B12" s="4">
        <v>0</v>
      </c>
      <c r="C12" s="4">
        <v>0</v>
      </c>
      <c r="D12" s="4">
        <v>45</v>
      </c>
      <c r="E12" s="4">
        <v>1</v>
      </c>
      <c r="F12" s="4">
        <v>50</v>
      </c>
      <c r="G12" s="10">
        <f t="shared" si="0"/>
        <v>0</v>
      </c>
      <c r="H12" s="4">
        <v>0</v>
      </c>
      <c r="I12" s="5">
        <f t="shared" ref="I12:I18" si="1">G12*D12</f>
        <v>0</v>
      </c>
      <c r="J12" s="5">
        <f t="shared" ref="J12:J18" si="2">I12-H12</f>
        <v>0</v>
      </c>
      <c r="K12">
        <v>0</v>
      </c>
      <c r="M12" t="s">
        <v>26</v>
      </c>
      <c r="N12" s="83">
        <f>450+150</f>
        <v>600</v>
      </c>
      <c r="P12" t="s">
        <v>27</v>
      </c>
    </row>
    <row r="13" spans="1:16">
      <c r="A13" s="80" t="s">
        <v>360</v>
      </c>
      <c r="B13" s="4">
        <v>8</v>
      </c>
      <c r="C13" s="4">
        <v>6</v>
      </c>
      <c r="D13" s="4">
        <v>45</v>
      </c>
      <c r="E13" s="4">
        <v>1</v>
      </c>
      <c r="F13" s="4">
        <v>50</v>
      </c>
      <c r="G13" s="10">
        <f t="shared" si="0"/>
        <v>8.1</v>
      </c>
      <c r="H13" s="4">
        <v>50</v>
      </c>
      <c r="I13" s="5">
        <f t="shared" si="1"/>
        <v>364.5</v>
      </c>
      <c r="J13" s="5">
        <f t="shared" si="2"/>
        <v>314.5</v>
      </c>
      <c r="K13">
        <v>24</v>
      </c>
      <c r="N13" s="83">
        <v>590</v>
      </c>
    </row>
    <row r="14" spans="1:16">
      <c r="A14" s="80" t="s">
        <v>361</v>
      </c>
      <c r="B14" s="4">
        <v>7</v>
      </c>
      <c r="C14" s="4">
        <v>20</v>
      </c>
      <c r="D14" s="4">
        <v>45</v>
      </c>
      <c r="E14" s="4">
        <v>1</v>
      </c>
      <c r="F14" s="4">
        <v>50</v>
      </c>
      <c r="G14" s="10">
        <f t="shared" si="0"/>
        <v>7.333333333333333</v>
      </c>
      <c r="H14" s="4">
        <v>50</v>
      </c>
      <c r="I14" s="5">
        <f t="shared" si="1"/>
        <v>330</v>
      </c>
      <c r="J14" s="5">
        <f t="shared" si="2"/>
        <v>280</v>
      </c>
      <c r="K14">
        <v>23</v>
      </c>
      <c r="N14" s="82">
        <v>470</v>
      </c>
      <c r="P14" t="s">
        <v>362</v>
      </c>
    </row>
    <row r="15" spans="1:16">
      <c r="A15" s="80" t="s">
        <v>363</v>
      </c>
      <c r="B15" s="4">
        <v>9</v>
      </c>
      <c r="C15" s="4">
        <v>32</v>
      </c>
      <c r="D15" s="4">
        <v>45</v>
      </c>
      <c r="E15" s="4">
        <v>1</v>
      </c>
      <c r="F15" s="4">
        <v>50</v>
      </c>
      <c r="G15" s="10">
        <f t="shared" si="0"/>
        <v>9.5333333333333332</v>
      </c>
      <c r="H15" s="4">
        <v>50</v>
      </c>
      <c r="I15" s="5">
        <f t="shared" si="1"/>
        <v>429</v>
      </c>
      <c r="J15" s="5">
        <f t="shared" si="2"/>
        <v>379</v>
      </c>
      <c r="K15">
        <v>26</v>
      </c>
      <c r="N15" s="82">
        <v>560</v>
      </c>
      <c r="P15" t="s">
        <v>364</v>
      </c>
    </row>
    <row r="16" spans="1:16">
      <c r="A16" s="80" t="s">
        <v>365</v>
      </c>
      <c r="B16" s="4">
        <v>9</v>
      </c>
      <c r="C16" s="4">
        <v>24</v>
      </c>
      <c r="D16" s="4">
        <v>45</v>
      </c>
      <c r="E16" s="4">
        <v>1</v>
      </c>
      <c r="F16" s="4">
        <v>50</v>
      </c>
      <c r="G16" s="10">
        <f t="shared" si="0"/>
        <v>9.4</v>
      </c>
      <c r="H16" s="4">
        <v>50</v>
      </c>
      <c r="I16" s="5">
        <f t="shared" si="1"/>
        <v>423</v>
      </c>
      <c r="J16" s="5">
        <f t="shared" si="2"/>
        <v>373</v>
      </c>
      <c r="K16">
        <v>25</v>
      </c>
      <c r="N16" s="82">
        <f>460+150</f>
        <v>610</v>
      </c>
      <c r="P16" t="s">
        <v>27</v>
      </c>
    </row>
    <row r="17" spans="1:16">
      <c r="A17" s="80" t="s">
        <v>366</v>
      </c>
      <c r="B17" s="4">
        <v>8</v>
      </c>
      <c r="C17" s="4">
        <v>13</v>
      </c>
      <c r="D17" s="4">
        <v>45</v>
      </c>
      <c r="E17" s="4">
        <v>1</v>
      </c>
      <c r="F17" s="4">
        <v>50</v>
      </c>
      <c r="G17" s="10">
        <f t="shared" si="0"/>
        <v>8.2166666666666668</v>
      </c>
      <c r="H17" s="4">
        <f>50+62.4</f>
        <v>112.4</v>
      </c>
      <c r="I17" s="5">
        <f t="shared" si="1"/>
        <v>369.75</v>
      </c>
      <c r="J17" s="5">
        <f t="shared" si="2"/>
        <v>257.35000000000002</v>
      </c>
      <c r="K17">
        <v>22</v>
      </c>
      <c r="N17" s="82">
        <f>150+430+100</f>
        <v>680</v>
      </c>
      <c r="P17" t="s">
        <v>367</v>
      </c>
    </row>
    <row r="18" spans="1:16" ht="16" thickBot="1">
      <c r="A18" s="80" t="s">
        <v>368</v>
      </c>
      <c r="B18" s="4">
        <v>7</v>
      </c>
      <c r="C18" s="4">
        <v>4</v>
      </c>
      <c r="D18" s="4">
        <v>45</v>
      </c>
      <c r="E18" s="4">
        <v>1</v>
      </c>
      <c r="F18" s="4">
        <v>50</v>
      </c>
      <c r="G18" s="10">
        <f t="shared" si="0"/>
        <v>7.0666666666666664</v>
      </c>
      <c r="H18" s="4">
        <v>50</v>
      </c>
      <c r="I18" s="5">
        <f t="shared" si="1"/>
        <v>318</v>
      </c>
      <c r="J18" s="5">
        <f t="shared" si="2"/>
        <v>268</v>
      </c>
      <c r="K18">
        <v>25</v>
      </c>
      <c r="N18" s="51"/>
      <c r="P18" t="s">
        <v>369</v>
      </c>
    </row>
    <row r="19" spans="1:16" s="86" customFormat="1" ht="20" thickBot="1">
      <c r="A19" s="91" t="s">
        <v>275</v>
      </c>
      <c r="B19" s="8">
        <f>SUM(B20:B26)</f>
        <v>20</v>
      </c>
      <c r="C19" s="8">
        <f>SUM(C20:C26)</f>
        <v>48</v>
      </c>
      <c r="D19" s="8">
        <f>SUM(D20)</f>
        <v>45</v>
      </c>
      <c r="E19" s="8">
        <f>SUM(E20:E26)</f>
        <v>7</v>
      </c>
      <c r="F19" s="8">
        <f>SUM(F20:F26)</f>
        <v>350</v>
      </c>
      <c r="G19" s="93">
        <f t="shared" si="0"/>
        <v>20.8</v>
      </c>
      <c r="H19" s="8">
        <f>SUM(H20:H26)</f>
        <v>572.1</v>
      </c>
      <c r="I19" s="9">
        <f>SUM(I20:I26)</f>
        <v>936</v>
      </c>
      <c r="J19" s="14">
        <f>SUM(J20:J26)</f>
        <v>363.9</v>
      </c>
      <c r="K19" s="8">
        <f>SUM(K20:K26)</f>
        <v>25</v>
      </c>
      <c r="L19" s="9">
        <v>0</v>
      </c>
      <c r="M19" s="96">
        <f>J19+L19</f>
        <v>363.9</v>
      </c>
      <c r="N19" s="99">
        <f>SUM(N20:N26)</f>
        <v>0</v>
      </c>
      <c r="O19" s="98">
        <f>572-N19</f>
        <v>572</v>
      </c>
    </row>
    <row r="20" spans="1:16">
      <c r="A20" s="6">
        <v>46076</v>
      </c>
      <c r="B20" s="4">
        <v>0</v>
      </c>
      <c r="C20" s="4">
        <v>0</v>
      </c>
      <c r="D20" s="4">
        <v>45</v>
      </c>
      <c r="E20" s="4">
        <v>1</v>
      </c>
      <c r="F20" s="4">
        <v>50</v>
      </c>
      <c r="G20" s="10">
        <f t="shared" si="0"/>
        <v>0</v>
      </c>
      <c r="H20" s="4">
        <v>0</v>
      </c>
      <c r="I20" s="5">
        <f t="shared" ref="I20:I26" si="3">G20*D20</f>
        <v>0</v>
      </c>
      <c r="J20" s="5">
        <f t="shared" ref="J20:J26" si="4">I20-H20</f>
        <v>0</v>
      </c>
      <c r="N20" s="51">
        <v>0</v>
      </c>
      <c r="P20" t="s">
        <v>370</v>
      </c>
    </row>
    <row r="21" spans="1:16">
      <c r="A21" s="80" t="s">
        <v>371</v>
      </c>
      <c r="B21" s="4">
        <v>9</v>
      </c>
      <c r="C21" s="4">
        <v>21</v>
      </c>
      <c r="D21" s="4">
        <v>45</v>
      </c>
      <c r="E21" s="4">
        <v>1</v>
      </c>
      <c r="F21" s="4">
        <v>50</v>
      </c>
      <c r="G21" s="10">
        <f t="shared" si="0"/>
        <v>9.35</v>
      </c>
      <c r="H21" s="4">
        <v>108.8</v>
      </c>
      <c r="I21" s="5">
        <f t="shared" si="3"/>
        <v>420.75</v>
      </c>
      <c r="J21" s="5">
        <f t="shared" si="4"/>
        <v>311.95</v>
      </c>
      <c r="K21">
        <v>7</v>
      </c>
      <c r="N21" s="83">
        <v>0</v>
      </c>
    </row>
    <row r="22" spans="1:16">
      <c r="A22" s="80" t="s">
        <v>372</v>
      </c>
      <c r="B22" s="4">
        <v>4</v>
      </c>
      <c r="C22" s="4">
        <v>25</v>
      </c>
      <c r="D22" s="4">
        <v>45</v>
      </c>
      <c r="E22" s="4">
        <v>1</v>
      </c>
      <c r="F22" s="4">
        <v>50</v>
      </c>
      <c r="G22" s="10">
        <f t="shared" si="0"/>
        <v>4.416666666666667</v>
      </c>
      <c r="H22" s="4">
        <f>50+204.3</f>
        <v>254.3</v>
      </c>
      <c r="I22" s="5">
        <f t="shared" si="3"/>
        <v>198.75</v>
      </c>
      <c r="J22" s="5">
        <f t="shared" si="4"/>
        <v>-55.550000000000011</v>
      </c>
      <c r="K22">
        <v>7</v>
      </c>
      <c r="N22" s="83">
        <v>0</v>
      </c>
      <c r="P22" t="s">
        <v>373</v>
      </c>
    </row>
    <row r="23" spans="1:16">
      <c r="A23" s="80" t="s">
        <v>363</v>
      </c>
      <c r="B23" s="4">
        <v>7</v>
      </c>
      <c r="C23" s="4">
        <v>2</v>
      </c>
      <c r="D23" s="4">
        <v>45</v>
      </c>
      <c r="E23" s="4">
        <v>1</v>
      </c>
      <c r="F23" s="4">
        <v>50</v>
      </c>
      <c r="G23" s="10">
        <f t="shared" si="0"/>
        <v>7.0333333333333332</v>
      </c>
      <c r="H23" s="4">
        <f>50+159</f>
        <v>209</v>
      </c>
      <c r="I23" s="5">
        <f t="shared" si="3"/>
        <v>316.5</v>
      </c>
      <c r="J23" s="5">
        <f t="shared" si="4"/>
        <v>107.5</v>
      </c>
      <c r="K23">
        <v>11</v>
      </c>
      <c r="N23" s="51">
        <v>0</v>
      </c>
      <c r="P23" t="s">
        <v>374</v>
      </c>
    </row>
    <row r="24" spans="1:16">
      <c r="A24" s="80" t="s">
        <v>365</v>
      </c>
      <c r="B24" s="4">
        <v>0</v>
      </c>
      <c r="C24" s="4">
        <v>0</v>
      </c>
      <c r="D24" s="4">
        <v>45</v>
      </c>
      <c r="E24" s="4">
        <v>1</v>
      </c>
      <c r="F24" s="4">
        <v>50</v>
      </c>
      <c r="G24" s="10">
        <f t="shared" si="0"/>
        <v>0</v>
      </c>
      <c r="H24" s="4">
        <v>0</v>
      </c>
      <c r="I24" s="5">
        <f t="shared" si="3"/>
        <v>0</v>
      </c>
      <c r="J24" s="5">
        <f t="shared" si="4"/>
        <v>0</v>
      </c>
      <c r="K24">
        <v>0</v>
      </c>
      <c r="N24" s="51">
        <v>0</v>
      </c>
    </row>
    <row r="25" spans="1:16">
      <c r="A25" s="6">
        <v>46081</v>
      </c>
      <c r="B25" s="4">
        <v>0</v>
      </c>
      <c r="C25" s="4">
        <v>0</v>
      </c>
      <c r="D25" s="4">
        <v>45</v>
      </c>
      <c r="E25" s="4">
        <v>1</v>
      </c>
      <c r="F25" s="4">
        <v>50</v>
      </c>
      <c r="G25" s="10">
        <f t="shared" si="0"/>
        <v>0</v>
      </c>
      <c r="H25" s="4">
        <v>0</v>
      </c>
      <c r="I25" s="5">
        <f t="shared" si="3"/>
        <v>0</v>
      </c>
      <c r="J25" s="5">
        <f t="shared" si="4"/>
        <v>0</v>
      </c>
      <c r="K25">
        <v>0</v>
      </c>
      <c r="N25" s="51">
        <v>0</v>
      </c>
    </row>
    <row r="26" spans="1:16" ht="16" thickBot="1">
      <c r="A26" s="6">
        <v>46082</v>
      </c>
      <c r="B26" s="4">
        <v>0</v>
      </c>
      <c r="C26" s="4">
        <v>0</v>
      </c>
      <c r="D26" s="4">
        <v>45</v>
      </c>
      <c r="E26" s="4">
        <v>1</v>
      </c>
      <c r="F26" s="4">
        <v>50</v>
      </c>
      <c r="G26" s="10">
        <f t="shared" si="0"/>
        <v>0</v>
      </c>
      <c r="H26" s="4">
        <v>0</v>
      </c>
      <c r="I26" s="5">
        <f t="shared" si="3"/>
        <v>0</v>
      </c>
      <c r="J26" s="5">
        <f t="shared" si="4"/>
        <v>0</v>
      </c>
      <c r="K26">
        <v>0</v>
      </c>
      <c r="N26" s="51">
        <v>0</v>
      </c>
    </row>
    <row r="27" spans="1:16" s="86" customFormat="1" ht="20" thickBot="1">
      <c r="A27" s="91" t="s">
        <v>15</v>
      </c>
      <c r="B27" s="8">
        <f>SUM(B28:B34)</f>
        <v>19</v>
      </c>
      <c r="C27" s="8">
        <f>SUM(C28:C34)</f>
        <v>56</v>
      </c>
      <c r="D27" s="8">
        <f>SUM(D28)</f>
        <v>45</v>
      </c>
      <c r="E27" s="8">
        <f>SUM(E28:E34)</f>
        <v>7</v>
      </c>
      <c r="F27" s="8">
        <f>SUM(F28:F34)</f>
        <v>350</v>
      </c>
      <c r="G27" s="93">
        <f t="shared" si="0"/>
        <v>19.933333333333334</v>
      </c>
      <c r="H27" s="8">
        <f>SUM(H28:H34)</f>
        <v>100</v>
      </c>
      <c r="I27" s="9">
        <f>SUM(I28:I34)</f>
        <v>897</v>
      </c>
      <c r="J27" s="14">
        <f>SUM(J28:J34)</f>
        <v>797</v>
      </c>
      <c r="K27" s="8">
        <f>SUM(K28:K33)</f>
        <v>51</v>
      </c>
      <c r="L27" s="9">
        <v>0</v>
      </c>
      <c r="M27" s="96">
        <f>J27+L27</f>
        <v>797</v>
      </c>
      <c r="N27" s="99">
        <f>SUM(N28:N34)</f>
        <v>1312</v>
      </c>
      <c r="O27" s="98">
        <f>1312-N27</f>
        <v>0</v>
      </c>
    </row>
    <row r="28" spans="1:16">
      <c r="A28" s="6">
        <v>46076</v>
      </c>
      <c r="B28" s="4">
        <v>0</v>
      </c>
      <c r="C28" s="4">
        <v>0</v>
      </c>
      <c r="D28" s="4">
        <v>45</v>
      </c>
      <c r="E28" s="4">
        <v>1</v>
      </c>
      <c r="F28" s="4">
        <v>50</v>
      </c>
      <c r="G28" s="10">
        <f t="shared" si="0"/>
        <v>0</v>
      </c>
      <c r="H28" s="4">
        <v>0</v>
      </c>
      <c r="I28" s="5">
        <f t="shared" ref="I28:I34" si="5">G28*D28</f>
        <v>0</v>
      </c>
      <c r="J28" s="5">
        <f t="shared" ref="J28:J34" si="6">I28-H28</f>
        <v>0</v>
      </c>
      <c r="K28">
        <v>0</v>
      </c>
      <c r="N28" s="135">
        <v>0</v>
      </c>
    </row>
    <row r="29" spans="1:16">
      <c r="A29" s="80" t="s">
        <v>371</v>
      </c>
      <c r="B29" s="4">
        <v>10</v>
      </c>
      <c r="C29" s="4">
        <v>46</v>
      </c>
      <c r="D29" s="4">
        <v>45</v>
      </c>
      <c r="E29" s="4">
        <v>1</v>
      </c>
      <c r="F29" s="4">
        <v>50</v>
      </c>
      <c r="G29" s="10">
        <f t="shared" si="0"/>
        <v>10.766666666666667</v>
      </c>
      <c r="H29" s="4">
        <v>50</v>
      </c>
      <c r="I29" s="5">
        <f t="shared" si="5"/>
        <v>484.50000000000006</v>
      </c>
      <c r="J29" s="5">
        <f t="shared" si="6"/>
        <v>434.50000000000006</v>
      </c>
      <c r="K29">
        <v>25</v>
      </c>
      <c r="N29" s="51">
        <v>0</v>
      </c>
    </row>
    <row r="30" spans="1:16">
      <c r="A30" s="80" t="s">
        <v>372</v>
      </c>
      <c r="B30" s="4">
        <v>0</v>
      </c>
      <c r="C30" s="4">
        <v>0</v>
      </c>
      <c r="D30" s="4">
        <v>45</v>
      </c>
      <c r="E30" s="4">
        <v>1</v>
      </c>
      <c r="F30" s="4">
        <v>50</v>
      </c>
      <c r="G30" s="10">
        <f t="shared" si="0"/>
        <v>0</v>
      </c>
      <c r="H30" s="4">
        <v>0</v>
      </c>
      <c r="I30" s="5">
        <f t="shared" si="5"/>
        <v>0</v>
      </c>
      <c r="J30" s="5">
        <f t="shared" si="6"/>
        <v>0</v>
      </c>
      <c r="K30">
        <v>0</v>
      </c>
      <c r="N30" s="51">
        <v>0</v>
      </c>
    </row>
    <row r="31" spans="1:16">
      <c r="A31" s="80" t="s">
        <v>363</v>
      </c>
      <c r="B31" s="4">
        <v>9</v>
      </c>
      <c r="C31" s="4">
        <v>10</v>
      </c>
      <c r="D31" s="4">
        <v>45</v>
      </c>
      <c r="E31" s="4">
        <v>1</v>
      </c>
      <c r="F31" s="4">
        <v>50</v>
      </c>
      <c r="G31" s="10">
        <f t="shared" si="0"/>
        <v>9.1666666666666661</v>
      </c>
      <c r="H31" s="4">
        <v>50</v>
      </c>
      <c r="I31" s="5">
        <f t="shared" si="5"/>
        <v>412.5</v>
      </c>
      <c r="J31" s="5">
        <f t="shared" si="6"/>
        <v>362.5</v>
      </c>
      <c r="K31">
        <v>26</v>
      </c>
      <c r="N31" s="135">
        <v>810</v>
      </c>
    </row>
    <row r="32" spans="1:16">
      <c r="A32" s="6">
        <v>46080</v>
      </c>
      <c r="B32" s="4">
        <v>0</v>
      </c>
      <c r="C32" s="4">
        <v>0</v>
      </c>
      <c r="D32" s="4">
        <v>45</v>
      </c>
      <c r="E32" s="4">
        <v>1</v>
      </c>
      <c r="F32" s="4">
        <v>50</v>
      </c>
      <c r="G32" s="10">
        <f t="shared" si="0"/>
        <v>0</v>
      </c>
      <c r="H32" s="4">
        <v>0</v>
      </c>
      <c r="I32" s="5">
        <f t="shared" si="5"/>
        <v>0</v>
      </c>
      <c r="J32" s="5">
        <f t="shared" si="6"/>
        <v>0</v>
      </c>
      <c r="K32">
        <v>0</v>
      </c>
      <c r="N32" s="51">
        <v>0</v>
      </c>
    </row>
    <row r="33" spans="1:16">
      <c r="A33" s="6">
        <v>46081</v>
      </c>
      <c r="B33" s="4">
        <v>0</v>
      </c>
      <c r="C33" s="4">
        <v>0</v>
      </c>
      <c r="D33" s="4">
        <v>45</v>
      </c>
      <c r="E33" s="4">
        <v>1</v>
      </c>
      <c r="F33" s="4">
        <v>50</v>
      </c>
      <c r="G33" s="10">
        <f t="shared" si="0"/>
        <v>0</v>
      </c>
      <c r="H33" s="4">
        <v>0</v>
      </c>
      <c r="I33" s="5">
        <f t="shared" si="5"/>
        <v>0</v>
      </c>
      <c r="J33" s="5">
        <f t="shared" si="6"/>
        <v>0</v>
      </c>
      <c r="K33">
        <v>0</v>
      </c>
      <c r="N33" s="51">
        <v>0</v>
      </c>
    </row>
    <row r="34" spans="1:16" ht="16" thickBot="1">
      <c r="A34" s="6">
        <v>46082</v>
      </c>
      <c r="B34" s="4">
        <v>0</v>
      </c>
      <c r="C34" s="4">
        <v>0</v>
      </c>
      <c r="D34" s="4">
        <v>45</v>
      </c>
      <c r="E34" s="4">
        <v>1</v>
      </c>
      <c r="F34" s="4">
        <v>50</v>
      </c>
      <c r="G34" s="10">
        <f t="shared" si="0"/>
        <v>0</v>
      </c>
      <c r="H34" s="4">
        <v>0</v>
      </c>
      <c r="I34" s="5">
        <f t="shared" si="5"/>
        <v>0</v>
      </c>
      <c r="J34" s="5">
        <f t="shared" si="6"/>
        <v>0</v>
      </c>
      <c r="K34">
        <v>0</v>
      </c>
      <c r="N34" s="51">
        <v>502</v>
      </c>
    </row>
    <row r="35" spans="1:16" s="54" customFormat="1" ht="20" thickBot="1">
      <c r="A35" s="72" t="s">
        <v>18</v>
      </c>
      <c r="B35" s="44">
        <f>SUM(B36:B42)</f>
        <v>55</v>
      </c>
      <c r="C35" s="44">
        <f>SUM(C36:C42)</f>
        <v>163</v>
      </c>
      <c r="D35" s="44">
        <f>SUM(D36)</f>
        <v>45</v>
      </c>
      <c r="E35" s="44">
        <f>SUM(E36:E42)</f>
        <v>6</v>
      </c>
      <c r="F35" s="44">
        <f>SUM(F36:F42)</f>
        <v>300</v>
      </c>
      <c r="G35" s="67">
        <f t="shared" si="0"/>
        <v>57.716666666666669</v>
      </c>
      <c r="H35" s="44">
        <f>SUM(H36:H42)</f>
        <v>362.1</v>
      </c>
      <c r="I35" s="46">
        <f>SUM(I36:I42)</f>
        <v>3005.583333333333</v>
      </c>
      <c r="J35" s="47">
        <f>SUM(J36:J42)</f>
        <v>2643.4833333333331</v>
      </c>
      <c r="K35" s="44">
        <f>SUM(K36:K42)</f>
        <v>155</v>
      </c>
      <c r="L35" s="46">
        <v>0</v>
      </c>
      <c r="M35" s="69">
        <f>J35+L35</f>
        <v>2643.4833333333331</v>
      </c>
      <c r="N35" s="55">
        <f>SUM(N36:N42)</f>
        <v>3660</v>
      </c>
      <c r="O35" s="90">
        <f>3653-N35</f>
        <v>-7</v>
      </c>
    </row>
    <row r="36" spans="1:16" ht="19.25" customHeight="1">
      <c r="A36" s="6">
        <v>46076</v>
      </c>
      <c r="B36" s="4">
        <v>9</v>
      </c>
      <c r="C36" s="4">
        <v>37</v>
      </c>
      <c r="D36" s="4">
        <v>45</v>
      </c>
      <c r="E36" s="4">
        <v>1</v>
      </c>
      <c r="F36" s="4">
        <v>50</v>
      </c>
      <c r="G36" s="10">
        <f t="shared" si="0"/>
        <v>9.6166666666666671</v>
      </c>
      <c r="H36" s="4">
        <v>50</v>
      </c>
      <c r="I36" s="5">
        <f t="shared" ref="I36:I42" si="7">G36*D36</f>
        <v>432.75</v>
      </c>
      <c r="J36" s="5">
        <f t="shared" ref="J36:J42" si="8">I36-H36</f>
        <v>382.75</v>
      </c>
      <c r="K36">
        <v>23</v>
      </c>
      <c r="N36" s="119">
        <v>200</v>
      </c>
      <c r="O36" s="49"/>
      <c r="P36" t="s">
        <v>375</v>
      </c>
    </row>
    <row r="37" spans="1:16" ht="16.25" customHeight="1">
      <c r="A37" s="6">
        <v>46077</v>
      </c>
      <c r="B37" s="4">
        <v>9</v>
      </c>
      <c r="C37" s="4">
        <v>0</v>
      </c>
      <c r="D37" s="4">
        <v>45</v>
      </c>
      <c r="E37" s="4">
        <v>1</v>
      </c>
      <c r="F37" s="4">
        <v>50</v>
      </c>
      <c r="G37" s="10">
        <f t="shared" si="0"/>
        <v>9</v>
      </c>
      <c r="H37" s="4">
        <f>50+62.1</f>
        <v>112.1</v>
      </c>
      <c r="I37" s="5">
        <f t="shared" si="7"/>
        <v>405</v>
      </c>
      <c r="J37" s="5">
        <f>I37-H37</f>
        <v>292.89999999999998</v>
      </c>
      <c r="K37">
        <v>19</v>
      </c>
      <c r="N37" s="119">
        <f>660+200</f>
        <v>860</v>
      </c>
      <c r="O37" s="49"/>
      <c r="P37" t="s">
        <v>376</v>
      </c>
    </row>
    <row r="38" spans="1:16">
      <c r="A38" s="6">
        <v>46078</v>
      </c>
      <c r="B38" s="4">
        <v>10</v>
      </c>
      <c r="C38" s="4">
        <v>14</v>
      </c>
      <c r="D38" s="4">
        <v>65</v>
      </c>
      <c r="E38" s="4">
        <v>1</v>
      </c>
      <c r="F38" s="4">
        <v>50</v>
      </c>
      <c r="G38" s="10">
        <f t="shared" si="0"/>
        <v>10.233333333333333</v>
      </c>
      <c r="H38" s="4">
        <v>50</v>
      </c>
      <c r="I38" s="5">
        <f t="shared" si="7"/>
        <v>665.16666666666663</v>
      </c>
      <c r="J38" s="5">
        <f>I38-H38</f>
        <v>615.16666666666663</v>
      </c>
      <c r="K38">
        <v>33</v>
      </c>
      <c r="N38" s="136">
        <v>200</v>
      </c>
      <c r="P38" t="s">
        <v>377</v>
      </c>
    </row>
    <row r="39" spans="1:16">
      <c r="A39" s="6">
        <v>46079</v>
      </c>
      <c r="B39" s="4">
        <v>9</v>
      </c>
      <c r="C39" s="4">
        <v>48</v>
      </c>
      <c r="D39" s="4">
        <v>45</v>
      </c>
      <c r="E39" s="4">
        <v>1</v>
      </c>
      <c r="F39" s="4">
        <v>50</v>
      </c>
      <c r="G39" s="10">
        <f t="shared" si="0"/>
        <v>9.8000000000000007</v>
      </c>
      <c r="H39" s="4">
        <v>50</v>
      </c>
      <c r="I39" s="5">
        <f t="shared" si="7"/>
        <v>441.00000000000006</v>
      </c>
      <c r="J39" s="5">
        <f>I39-H39</f>
        <v>391.00000000000006</v>
      </c>
      <c r="K39">
        <v>21</v>
      </c>
      <c r="N39" s="119">
        <v>600</v>
      </c>
    </row>
    <row r="40" spans="1:16">
      <c r="A40" s="6">
        <v>46080</v>
      </c>
      <c r="B40" s="4">
        <v>8</v>
      </c>
      <c r="C40" s="4">
        <v>53</v>
      </c>
      <c r="D40" s="4">
        <v>45</v>
      </c>
      <c r="E40" s="4">
        <v>1</v>
      </c>
      <c r="F40" s="4">
        <v>50</v>
      </c>
      <c r="G40" s="10">
        <f t="shared" si="0"/>
        <v>8.8833333333333329</v>
      </c>
      <c r="H40" s="4">
        <v>50</v>
      </c>
      <c r="I40" s="5">
        <f t="shared" si="7"/>
        <v>399.75</v>
      </c>
      <c r="J40" s="5">
        <f>I40-H40</f>
        <v>349.75</v>
      </c>
      <c r="K40">
        <v>26</v>
      </c>
      <c r="N40" s="136">
        <v>200</v>
      </c>
      <c r="P40" t="s">
        <v>53</v>
      </c>
    </row>
    <row r="41" spans="1:16">
      <c r="A41" s="6">
        <v>46081</v>
      </c>
      <c r="B41" s="4">
        <v>10</v>
      </c>
      <c r="C41" s="4">
        <v>11</v>
      </c>
      <c r="D41" s="4">
        <v>65</v>
      </c>
      <c r="E41" s="4">
        <v>1</v>
      </c>
      <c r="F41" s="4">
        <v>50</v>
      </c>
      <c r="G41" s="10">
        <f t="shared" si="0"/>
        <v>10.183333333333334</v>
      </c>
      <c r="H41" s="4">
        <v>50</v>
      </c>
      <c r="I41" s="5">
        <f>G41*D41</f>
        <v>661.91666666666663</v>
      </c>
      <c r="J41" s="5">
        <f>I41-H41</f>
        <v>611.91666666666663</v>
      </c>
      <c r="K41">
        <v>33</v>
      </c>
      <c r="N41" s="136">
        <v>150</v>
      </c>
      <c r="P41" s="51" t="s">
        <v>53</v>
      </c>
    </row>
    <row r="42" spans="1:16" ht="16" thickBot="1">
      <c r="A42" s="6">
        <v>46082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10">
        <v>0</v>
      </c>
      <c r="H42" s="4">
        <v>0</v>
      </c>
      <c r="I42" s="5">
        <f t="shared" si="7"/>
        <v>0</v>
      </c>
      <c r="J42" s="5">
        <f t="shared" si="8"/>
        <v>0</v>
      </c>
      <c r="K42">
        <v>0</v>
      </c>
      <c r="L42" s="1"/>
      <c r="N42" s="136">
        <f>940+400+110</f>
        <v>1450</v>
      </c>
    </row>
    <row r="43" spans="1:16" s="86" customFormat="1" ht="20" thickBot="1">
      <c r="A43" s="91" t="s">
        <v>48</v>
      </c>
      <c r="B43" s="8">
        <f>SUM(B44:B50)</f>
        <v>59</v>
      </c>
      <c r="C43" s="8">
        <f>SUM(C44:C50)</f>
        <v>202</v>
      </c>
      <c r="D43" s="8">
        <f>SUM(D44)</f>
        <v>45</v>
      </c>
      <c r="E43" s="8">
        <f>SUM(E44:E50)</f>
        <v>7</v>
      </c>
      <c r="F43" s="8">
        <f>SUM(F44:F50)</f>
        <v>350</v>
      </c>
      <c r="G43" s="93">
        <f t="shared" ref="G43:G72" si="9">B43+C43/60</f>
        <v>62.366666666666667</v>
      </c>
      <c r="H43" s="8">
        <f>SUM(H44:H50)</f>
        <v>976.5</v>
      </c>
      <c r="I43" s="100">
        <f>SUM(I44:I50)</f>
        <v>3247.5</v>
      </c>
      <c r="J43" s="101">
        <f>SUM(J44:J50)</f>
        <v>2271</v>
      </c>
      <c r="K43" s="8">
        <f>SUM(K44:K50)</f>
        <v>164</v>
      </c>
      <c r="L43" s="104">
        <v>0</v>
      </c>
      <c r="M43" s="96">
        <f>J43+L43</f>
        <v>2271</v>
      </c>
      <c r="N43" s="99">
        <f>SUM(N44:N50)</f>
        <v>4300</v>
      </c>
      <c r="O43" s="98">
        <f>4153-N43</f>
        <v>-147</v>
      </c>
    </row>
    <row r="44" spans="1:16">
      <c r="A44" s="6">
        <v>46076</v>
      </c>
      <c r="B44" s="4">
        <v>8</v>
      </c>
      <c r="C44" s="4">
        <v>45</v>
      </c>
      <c r="D44" s="4">
        <v>45</v>
      </c>
      <c r="E44" s="4">
        <v>1</v>
      </c>
      <c r="F44" s="4">
        <v>50</v>
      </c>
      <c r="G44" s="10">
        <f t="shared" si="9"/>
        <v>8.75</v>
      </c>
      <c r="H44" s="4">
        <f>50+203.7</f>
        <v>253.7</v>
      </c>
      <c r="I44" s="5">
        <f t="shared" ref="I44:I50" si="10">G44*D44</f>
        <v>393.75</v>
      </c>
      <c r="J44" s="5">
        <f t="shared" ref="J44:J50" si="11">I44-H44</f>
        <v>140.05000000000001</v>
      </c>
      <c r="K44">
        <v>24</v>
      </c>
      <c r="N44" s="81">
        <v>350</v>
      </c>
      <c r="P44" s="128" t="s">
        <v>378</v>
      </c>
    </row>
    <row r="45" spans="1:16">
      <c r="A45" s="6">
        <v>46077</v>
      </c>
      <c r="B45" s="4">
        <v>10</v>
      </c>
      <c r="C45" s="4">
        <v>48</v>
      </c>
      <c r="D45" s="4">
        <v>55</v>
      </c>
      <c r="E45" s="4">
        <v>1</v>
      </c>
      <c r="F45" s="4">
        <v>50</v>
      </c>
      <c r="G45" s="10">
        <f t="shared" si="9"/>
        <v>10.8</v>
      </c>
      <c r="H45" s="4">
        <f>50+89.7</f>
        <v>139.69999999999999</v>
      </c>
      <c r="I45" s="5">
        <f t="shared" si="10"/>
        <v>594</v>
      </c>
      <c r="J45" s="5">
        <f t="shared" si="11"/>
        <v>454.3</v>
      </c>
      <c r="K45">
        <v>29</v>
      </c>
      <c r="N45" s="81">
        <v>600</v>
      </c>
      <c r="P45" s="128" t="s">
        <v>379</v>
      </c>
    </row>
    <row r="46" spans="1:16">
      <c r="A46" s="6">
        <v>46078</v>
      </c>
      <c r="B46" s="4">
        <v>11</v>
      </c>
      <c r="C46" s="4">
        <v>18</v>
      </c>
      <c r="D46" s="4">
        <v>65</v>
      </c>
      <c r="E46" s="4">
        <v>1</v>
      </c>
      <c r="F46" s="4">
        <v>50</v>
      </c>
      <c r="G46" s="10">
        <f t="shared" si="9"/>
        <v>11.3</v>
      </c>
      <c r="H46" s="4">
        <f>50+95.4</f>
        <v>145.4</v>
      </c>
      <c r="I46" s="5">
        <f t="shared" si="10"/>
        <v>734.5</v>
      </c>
      <c r="J46" s="5">
        <f t="shared" si="11"/>
        <v>589.1</v>
      </c>
      <c r="K46">
        <v>32</v>
      </c>
      <c r="N46" s="81">
        <v>660</v>
      </c>
      <c r="P46" s="128" t="s">
        <v>380</v>
      </c>
    </row>
    <row r="47" spans="1:16">
      <c r="A47" s="6">
        <v>46079</v>
      </c>
      <c r="B47" s="4">
        <v>10</v>
      </c>
      <c r="C47" s="4">
        <v>42</v>
      </c>
      <c r="D47" s="4">
        <v>55</v>
      </c>
      <c r="E47" s="4">
        <v>1</v>
      </c>
      <c r="F47" s="4">
        <v>50</v>
      </c>
      <c r="G47" s="10">
        <f t="shared" si="9"/>
        <v>10.7</v>
      </c>
      <c r="H47" s="4">
        <f>50+143.7</f>
        <v>193.7</v>
      </c>
      <c r="I47" s="5">
        <f t="shared" si="10"/>
        <v>588.5</v>
      </c>
      <c r="J47" s="5">
        <f t="shared" si="11"/>
        <v>394.8</v>
      </c>
      <c r="K47">
        <v>27</v>
      </c>
      <c r="N47" s="118">
        <f>150+460+200</f>
        <v>810</v>
      </c>
      <c r="P47" s="128" t="s">
        <v>381</v>
      </c>
    </row>
    <row r="48" spans="1:16">
      <c r="A48" s="6">
        <v>46080</v>
      </c>
      <c r="B48" s="4">
        <v>10</v>
      </c>
      <c r="C48" s="4">
        <v>46</v>
      </c>
      <c r="D48" s="4">
        <v>45</v>
      </c>
      <c r="E48" s="4">
        <v>1</v>
      </c>
      <c r="F48" s="4">
        <v>50</v>
      </c>
      <c r="G48" s="10">
        <f t="shared" si="9"/>
        <v>10.766666666666667</v>
      </c>
      <c r="H48" s="4">
        <f>50+144</f>
        <v>194</v>
      </c>
      <c r="I48" s="5">
        <f t="shared" si="10"/>
        <v>484.50000000000006</v>
      </c>
      <c r="J48" s="5">
        <f t="shared" si="11"/>
        <v>290.50000000000006</v>
      </c>
      <c r="K48">
        <v>26</v>
      </c>
      <c r="N48" s="118">
        <v>770</v>
      </c>
      <c r="P48" s="128" t="s">
        <v>382</v>
      </c>
    </row>
    <row r="49" spans="1:17">
      <c r="A49" s="6">
        <v>46081</v>
      </c>
      <c r="B49" s="4">
        <v>0</v>
      </c>
      <c r="C49" s="4">
        <v>0</v>
      </c>
      <c r="D49" s="4">
        <v>45</v>
      </c>
      <c r="E49" s="4">
        <v>1</v>
      </c>
      <c r="F49" s="4">
        <v>50</v>
      </c>
      <c r="G49" s="10">
        <f t="shared" si="9"/>
        <v>0</v>
      </c>
      <c r="H49" s="4">
        <v>0</v>
      </c>
      <c r="I49" s="5">
        <f t="shared" si="10"/>
        <v>0</v>
      </c>
      <c r="J49" s="5">
        <f t="shared" si="11"/>
        <v>0</v>
      </c>
      <c r="K49">
        <v>0</v>
      </c>
      <c r="N49" s="118">
        <v>0</v>
      </c>
    </row>
    <row r="50" spans="1:17" ht="16" thickBot="1">
      <c r="A50" s="6">
        <v>46082</v>
      </c>
      <c r="B50" s="4">
        <v>10</v>
      </c>
      <c r="C50" s="4">
        <v>3</v>
      </c>
      <c r="D50" s="4">
        <v>45</v>
      </c>
      <c r="E50" s="4">
        <v>1</v>
      </c>
      <c r="F50" s="4">
        <v>50</v>
      </c>
      <c r="G50" s="10">
        <f t="shared" si="9"/>
        <v>10.050000000000001</v>
      </c>
      <c r="H50" s="4">
        <v>50</v>
      </c>
      <c r="I50" s="5">
        <f t="shared" si="10"/>
        <v>452.25000000000006</v>
      </c>
      <c r="J50" s="5">
        <f t="shared" si="11"/>
        <v>402.25000000000006</v>
      </c>
      <c r="K50">
        <v>26</v>
      </c>
      <c r="N50" s="118">
        <f>750+360</f>
        <v>1110</v>
      </c>
    </row>
    <row r="51" spans="1:17" s="54" customFormat="1" ht="20" thickBot="1">
      <c r="A51" s="72" t="s">
        <v>50</v>
      </c>
      <c r="B51" s="44">
        <f>SUM(B52:B58)</f>
        <v>58</v>
      </c>
      <c r="C51" s="44">
        <f>SUM(C52:C58)</f>
        <v>257</v>
      </c>
      <c r="D51" s="44">
        <f>SUM(D52)</f>
        <v>65</v>
      </c>
      <c r="E51" s="44">
        <f>SUM(E52:E58)</f>
        <v>6</v>
      </c>
      <c r="F51" s="44">
        <f>SUM(F52:F58)</f>
        <v>350</v>
      </c>
      <c r="G51" s="67">
        <f t="shared" si="9"/>
        <v>62.283333333333331</v>
      </c>
      <c r="H51" s="44">
        <f>SUM(H52:H58)</f>
        <v>300</v>
      </c>
      <c r="I51" s="46">
        <f>SUM(I52:I58)</f>
        <v>3942.75</v>
      </c>
      <c r="J51" s="47">
        <f>SUM(J52:J58)</f>
        <v>3642.75</v>
      </c>
      <c r="K51" s="44">
        <f>SUM(K52:K58)</f>
        <v>237</v>
      </c>
      <c r="L51" s="46">
        <v>0</v>
      </c>
      <c r="M51" s="69">
        <f>J51</f>
        <v>3642.75</v>
      </c>
      <c r="N51" s="63">
        <f>SUM(N52:N58)</f>
        <v>5519</v>
      </c>
      <c r="O51" s="90">
        <f>5514-N51</f>
        <v>-5</v>
      </c>
    </row>
    <row r="52" spans="1:17" ht="19">
      <c r="A52" s="6">
        <v>46076</v>
      </c>
      <c r="B52" s="4">
        <v>9</v>
      </c>
      <c r="C52" s="4">
        <v>52</v>
      </c>
      <c r="D52" s="4">
        <v>65</v>
      </c>
      <c r="E52" s="4">
        <v>1</v>
      </c>
      <c r="F52" s="4">
        <v>50</v>
      </c>
      <c r="G52" s="10">
        <f t="shared" si="9"/>
        <v>9.8666666666666671</v>
      </c>
      <c r="H52" s="4">
        <v>50</v>
      </c>
      <c r="I52" s="5">
        <f t="shared" ref="I52:I56" si="12">G52*D52</f>
        <v>641.33333333333337</v>
      </c>
      <c r="J52" s="5">
        <f>I52-H52</f>
        <v>591.33333333333337</v>
      </c>
      <c r="K52">
        <v>41</v>
      </c>
      <c r="N52" s="51">
        <v>0</v>
      </c>
      <c r="O52" s="49"/>
      <c r="P52" t="s">
        <v>383</v>
      </c>
    </row>
    <row r="53" spans="1:17">
      <c r="A53" s="6">
        <v>46077</v>
      </c>
      <c r="B53" s="4">
        <v>9</v>
      </c>
      <c r="C53" s="4">
        <v>41</v>
      </c>
      <c r="D53" s="4">
        <v>65</v>
      </c>
      <c r="E53" s="4">
        <v>1</v>
      </c>
      <c r="F53" s="4">
        <v>50</v>
      </c>
      <c r="G53" s="10">
        <f t="shared" si="9"/>
        <v>9.6833333333333336</v>
      </c>
      <c r="H53" s="4">
        <v>50</v>
      </c>
      <c r="I53" s="5">
        <f t="shared" si="12"/>
        <v>629.41666666666663</v>
      </c>
      <c r="J53" s="5">
        <f>I53-H53</f>
        <v>579.41666666666663</v>
      </c>
      <c r="K53">
        <v>47</v>
      </c>
      <c r="N53" s="51">
        <v>1900</v>
      </c>
      <c r="P53" t="s">
        <v>384</v>
      </c>
    </row>
    <row r="54" spans="1:17">
      <c r="A54" s="6">
        <v>46078</v>
      </c>
      <c r="B54" s="4">
        <v>9</v>
      </c>
      <c r="C54" s="4">
        <v>44</v>
      </c>
      <c r="D54" s="4">
        <v>65</v>
      </c>
      <c r="E54" s="4">
        <v>1</v>
      </c>
      <c r="F54" s="4">
        <v>50</v>
      </c>
      <c r="G54" s="10">
        <f t="shared" si="9"/>
        <v>9.7333333333333325</v>
      </c>
      <c r="H54" s="4">
        <v>50</v>
      </c>
      <c r="I54" s="5">
        <f t="shared" si="12"/>
        <v>632.66666666666663</v>
      </c>
      <c r="J54" s="5">
        <f>I54-H54</f>
        <v>582.66666666666663</v>
      </c>
      <c r="K54">
        <v>35</v>
      </c>
      <c r="N54" s="135">
        <v>640</v>
      </c>
      <c r="P54" t="s">
        <v>385</v>
      </c>
    </row>
    <row r="55" spans="1:17">
      <c r="A55" s="6">
        <v>46079</v>
      </c>
      <c r="B55" s="4">
        <v>10</v>
      </c>
      <c r="C55" s="4">
        <v>58</v>
      </c>
      <c r="D55" s="4">
        <v>65</v>
      </c>
      <c r="E55" s="4">
        <v>1</v>
      </c>
      <c r="F55" s="4">
        <v>50</v>
      </c>
      <c r="G55" s="10">
        <f t="shared" si="9"/>
        <v>10.966666666666667</v>
      </c>
      <c r="H55" s="4">
        <v>50</v>
      </c>
      <c r="I55" s="5">
        <f t="shared" si="12"/>
        <v>712.83333333333337</v>
      </c>
      <c r="J55" s="5">
        <f>I55-H55</f>
        <v>662.83333333333337</v>
      </c>
      <c r="K55">
        <v>45</v>
      </c>
      <c r="N55" s="51">
        <v>909</v>
      </c>
      <c r="P55" t="s">
        <v>386</v>
      </c>
    </row>
    <row r="56" spans="1:17">
      <c r="A56" s="6">
        <v>46080</v>
      </c>
      <c r="B56" s="4">
        <v>11</v>
      </c>
      <c r="C56" s="4">
        <v>28</v>
      </c>
      <c r="D56" s="4">
        <v>65</v>
      </c>
      <c r="E56" s="4">
        <v>1</v>
      </c>
      <c r="F56" s="4">
        <v>50</v>
      </c>
      <c r="G56" s="10">
        <f t="shared" si="9"/>
        <v>11.466666666666667</v>
      </c>
      <c r="H56" s="4">
        <v>50</v>
      </c>
      <c r="I56" s="5">
        <f t="shared" si="12"/>
        <v>745.33333333333337</v>
      </c>
      <c r="J56" s="5">
        <f>I56-H56</f>
        <v>695.33333333333337</v>
      </c>
      <c r="K56">
        <v>39</v>
      </c>
      <c r="N56" s="135">
        <f>900+200</f>
        <v>1100</v>
      </c>
      <c r="P56" t="s">
        <v>387</v>
      </c>
    </row>
    <row r="57" spans="1:17">
      <c r="A57" s="6">
        <v>46081</v>
      </c>
      <c r="B57" s="4">
        <v>0</v>
      </c>
      <c r="C57" s="4">
        <v>0</v>
      </c>
      <c r="D57" s="4">
        <v>45</v>
      </c>
      <c r="E57" s="4">
        <v>0</v>
      </c>
      <c r="F57" s="4">
        <v>50</v>
      </c>
      <c r="G57" s="10">
        <f t="shared" si="9"/>
        <v>0</v>
      </c>
      <c r="H57" s="4">
        <v>0</v>
      </c>
      <c r="I57" s="5">
        <f>G57*D57</f>
        <v>0</v>
      </c>
      <c r="J57" s="5">
        <v>0</v>
      </c>
      <c r="K57">
        <v>0</v>
      </c>
      <c r="N57" s="135">
        <v>0</v>
      </c>
    </row>
    <row r="58" spans="1:17" ht="16" thickBot="1">
      <c r="A58" s="6">
        <v>46082</v>
      </c>
      <c r="B58" s="4">
        <v>10</v>
      </c>
      <c r="C58" s="4">
        <v>34</v>
      </c>
      <c r="D58" s="4">
        <v>55</v>
      </c>
      <c r="E58" s="4">
        <v>1</v>
      </c>
      <c r="F58" s="4">
        <v>50</v>
      </c>
      <c r="G58" s="10">
        <f t="shared" si="9"/>
        <v>10.566666666666666</v>
      </c>
      <c r="H58" s="4">
        <v>50</v>
      </c>
      <c r="I58" s="5">
        <f>G58*D58</f>
        <v>581.16666666666663</v>
      </c>
      <c r="J58" s="5">
        <f>I58-H58</f>
        <v>531.16666666666663</v>
      </c>
      <c r="K58">
        <v>30</v>
      </c>
      <c r="N58" s="135">
        <f>830+140</f>
        <v>970</v>
      </c>
      <c r="P58">
        <f ca="1">+P56+P58</f>
        <v>0</v>
      </c>
    </row>
    <row r="59" spans="1:17" s="54" customFormat="1" ht="20" thickBot="1">
      <c r="A59" s="72" t="s">
        <v>388</v>
      </c>
      <c r="B59" s="44">
        <f>SUM(B60:B66)</f>
        <v>55</v>
      </c>
      <c r="C59" s="44">
        <f>SUM(C60:C66)</f>
        <v>209</v>
      </c>
      <c r="D59" s="44">
        <f>SUM(D60)</f>
        <v>65</v>
      </c>
      <c r="E59" s="44">
        <f>SUM(E60:E66)</f>
        <v>7</v>
      </c>
      <c r="F59" s="44">
        <f>SUM(F60:F66)</f>
        <v>350</v>
      </c>
      <c r="G59" s="67">
        <f t="shared" si="9"/>
        <v>58.483333333333334</v>
      </c>
      <c r="H59" s="44">
        <f>SUM(H60:H66)</f>
        <v>350</v>
      </c>
      <c r="I59" s="46">
        <f>SUM(I60:I66)</f>
        <v>3607.9166666666665</v>
      </c>
      <c r="J59" s="47">
        <f>SUM(J60:J66)</f>
        <v>3257.9166666666665</v>
      </c>
      <c r="K59" s="44">
        <f>SUM(K60:K66)</f>
        <v>230</v>
      </c>
      <c r="L59" s="46">
        <v>0</v>
      </c>
      <c r="M59" s="69">
        <f>J59</f>
        <v>3257.9166666666665</v>
      </c>
      <c r="N59" s="63">
        <f>SUM(N60:N66)</f>
        <v>6341</v>
      </c>
      <c r="O59" s="90">
        <f>6341-N59</f>
        <v>0</v>
      </c>
    </row>
    <row r="60" spans="1:17">
      <c r="A60" s="80" t="s">
        <v>359</v>
      </c>
      <c r="B60" s="4">
        <v>7</v>
      </c>
      <c r="C60" s="4">
        <v>48</v>
      </c>
      <c r="D60" s="4">
        <v>65</v>
      </c>
      <c r="E60" s="4">
        <v>1</v>
      </c>
      <c r="F60" s="4">
        <v>50</v>
      </c>
      <c r="G60" s="10">
        <f t="shared" si="9"/>
        <v>7.8</v>
      </c>
      <c r="H60" s="4">
        <v>50</v>
      </c>
      <c r="I60" s="5">
        <f t="shared" ref="I60:I66" si="13">G60*D60</f>
        <v>507</v>
      </c>
      <c r="J60" s="5">
        <f t="shared" ref="J60:J66" si="14">I60-H60</f>
        <v>457</v>
      </c>
      <c r="K60">
        <v>32</v>
      </c>
      <c r="N60" s="51">
        <v>200</v>
      </c>
      <c r="O60" s="51"/>
      <c r="P60" t="s">
        <v>389</v>
      </c>
    </row>
    <row r="61" spans="1:17">
      <c r="A61" s="80" t="s">
        <v>390</v>
      </c>
      <c r="B61" s="4">
        <v>9</v>
      </c>
      <c r="C61" s="4">
        <v>6</v>
      </c>
      <c r="D61" s="4">
        <v>65</v>
      </c>
      <c r="E61" s="4">
        <v>1</v>
      </c>
      <c r="F61" s="4">
        <v>50</v>
      </c>
      <c r="G61" s="10">
        <f t="shared" si="9"/>
        <v>9.1</v>
      </c>
      <c r="H61" s="4">
        <v>50</v>
      </c>
      <c r="I61" s="5">
        <f t="shared" si="13"/>
        <v>591.5</v>
      </c>
      <c r="J61" s="5">
        <f t="shared" si="14"/>
        <v>541.5</v>
      </c>
      <c r="K61">
        <v>37</v>
      </c>
      <c r="N61" s="51">
        <v>1300</v>
      </c>
      <c r="P61" t="s">
        <v>391</v>
      </c>
    </row>
    <row r="62" spans="1:17">
      <c r="A62" s="80" t="s">
        <v>392</v>
      </c>
      <c r="B62" s="4">
        <v>9</v>
      </c>
      <c r="C62" s="4">
        <v>33</v>
      </c>
      <c r="D62" s="4">
        <v>65</v>
      </c>
      <c r="E62" s="4">
        <v>1</v>
      </c>
      <c r="F62" s="4">
        <v>50</v>
      </c>
      <c r="G62" s="10">
        <f t="shared" si="9"/>
        <v>9.5500000000000007</v>
      </c>
      <c r="H62" s="4">
        <v>50</v>
      </c>
      <c r="I62" s="5">
        <f t="shared" si="13"/>
        <v>620.75</v>
      </c>
      <c r="J62" s="5">
        <f t="shared" si="14"/>
        <v>570.75</v>
      </c>
      <c r="K62">
        <v>37</v>
      </c>
      <c r="N62" s="51">
        <v>200</v>
      </c>
      <c r="P62" t="s">
        <v>393</v>
      </c>
      <c r="Q62" t="s">
        <v>64</v>
      </c>
    </row>
    <row r="63" spans="1:17">
      <c r="A63" s="80" t="s">
        <v>363</v>
      </c>
      <c r="B63" s="4">
        <v>7</v>
      </c>
      <c r="C63" s="4">
        <v>15</v>
      </c>
      <c r="D63" s="4">
        <v>55</v>
      </c>
      <c r="E63" s="4">
        <v>1</v>
      </c>
      <c r="F63" s="4">
        <v>50</v>
      </c>
      <c r="G63" s="10">
        <f t="shared" si="9"/>
        <v>7.25</v>
      </c>
      <c r="H63" s="4">
        <v>50</v>
      </c>
      <c r="I63" s="5">
        <f t="shared" si="13"/>
        <v>398.75</v>
      </c>
      <c r="J63" s="5">
        <f t="shared" si="14"/>
        <v>348.75</v>
      </c>
      <c r="K63">
        <v>30</v>
      </c>
      <c r="N63" s="51">
        <v>1200</v>
      </c>
      <c r="P63" t="s">
        <v>394</v>
      </c>
    </row>
    <row r="64" spans="1:17">
      <c r="A64" s="80" t="s">
        <v>395</v>
      </c>
      <c r="B64" s="4">
        <v>9</v>
      </c>
      <c r="C64" s="4">
        <v>53</v>
      </c>
      <c r="D64" s="4">
        <v>65</v>
      </c>
      <c r="E64" s="4">
        <v>1</v>
      </c>
      <c r="F64" s="4">
        <v>50</v>
      </c>
      <c r="G64" s="10">
        <f t="shared" si="9"/>
        <v>9.8833333333333329</v>
      </c>
      <c r="H64" s="4">
        <v>50</v>
      </c>
      <c r="I64" s="5">
        <f t="shared" si="13"/>
        <v>642.41666666666663</v>
      </c>
      <c r="J64" s="5">
        <f t="shared" si="14"/>
        <v>592.41666666666663</v>
      </c>
      <c r="K64">
        <v>38</v>
      </c>
      <c r="N64" s="51">
        <v>200</v>
      </c>
      <c r="P64" t="s">
        <v>53</v>
      </c>
      <c r="Q64" t="s">
        <v>64</v>
      </c>
    </row>
    <row r="65" spans="1:17">
      <c r="A65" s="80" t="s">
        <v>396</v>
      </c>
      <c r="B65" s="4">
        <v>8</v>
      </c>
      <c r="C65" s="4">
        <v>51</v>
      </c>
      <c r="D65" s="4">
        <v>65</v>
      </c>
      <c r="E65" s="4">
        <v>1</v>
      </c>
      <c r="F65" s="4">
        <v>50</v>
      </c>
      <c r="G65" s="10">
        <f t="shared" si="9"/>
        <v>8.85</v>
      </c>
      <c r="H65" s="4">
        <v>50</v>
      </c>
      <c r="I65" s="5">
        <f>G65*D65</f>
        <v>575.25</v>
      </c>
      <c r="J65" s="5">
        <f t="shared" si="14"/>
        <v>525.25</v>
      </c>
      <c r="K65">
        <v>35</v>
      </c>
      <c r="N65" s="51">
        <v>441</v>
      </c>
    </row>
    <row r="66" spans="1:17" ht="16" thickBot="1">
      <c r="A66" s="6">
        <v>46082</v>
      </c>
      <c r="B66" s="4">
        <v>6</v>
      </c>
      <c r="C66" s="4">
        <v>3</v>
      </c>
      <c r="D66" s="4">
        <v>45</v>
      </c>
      <c r="E66" s="4">
        <v>1</v>
      </c>
      <c r="F66" s="4">
        <v>50</v>
      </c>
      <c r="G66" s="10">
        <f t="shared" si="9"/>
        <v>6.05</v>
      </c>
      <c r="H66" s="4">
        <v>50</v>
      </c>
      <c r="I66" s="5">
        <f t="shared" si="13"/>
        <v>272.25</v>
      </c>
      <c r="J66" s="5">
        <f t="shared" si="14"/>
        <v>222.25</v>
      </c>
      <c r="K66">
        <v>21</v>
      </c>
      <c r="N66" s="51">
        <f>2700+100</f>
        <v>2800</v>
      </c>
      <c r="P66" t="s">
        <v>397</v>
      </c>
    </row>
    <row r="67" spans="1:17" s="54" customFormat="1" ht="20" thickBot="1">
      <c r="A67" s="72" t="s">
        <v>398</v>
      </c>
      <c r="B67" s="44">
        <f>SUM(B68:B74)</f>
        <v>50</v>
      </c>
      <c r="C67" s="44">
        <f>SUM(C68:C74)</f>
        <v>84</v>
      </c>
      <c r="D67" s="44">
        <f>SUM(D68)</f>
        <v>45</v>
      </c>
      <c r="E67" s="44">
        <f>SUM(E68:E74)</f>
        <v>7</v>
      </c>
      <c r="F67" s="44">
        <f>SUM(F68:F74)</f>
        <v>350</v>
      </c>
      <c r="G67" s="67">
        <f t="shared" si="9"/>
        <v>51.4</v>
      </c>
      <c r="H67" s="44">
        <f>SUM(H68:H74)</f>
        <v>300</v>
      </c>
      <c r="I67" s="46">
        <f>SUM(I68:I74)</f>
        <v>2403.3333333333335</v>
      </c>
      <c r="J67" s="47">
        <f>SUM(J68:J74)</f>
        <v>2103.3333333333335</v>
      </c>
      <c r="K67" s="44">
        <f>SUM(K68:K74)</f>
        <v>129</v>
      </c>
      <c r="L67" s="46">
        <v>0</v>
      </c>
      <c r="M67" s="69">
        <f>J67</f>
        <v>2103.3333333333335</v>
      </c>
      <c r="N67" s="63">
        <f>SUM(N68:N74)</f>
        <v>3220</v>
      </c>
      <c r="O67" s="90">
        <f>3245-N67</f>
        <v>25</v>
      </c>
    </row>
    <row r="68" spans="1:17">
      <c r="A68" s="80" t="s">
        <v>359</v>
      </c>
      <c r="B68" s="4">
        <v>9</v>
      </c>
      <c r="C68" s="4">
        <v>5</v>
      </c>
      <c r="D68" s="4">
        <v>45</v>
      </c>
      <c r="E68" s="4">
        <v>1</v>
      </c>
      <c r="F68" s="4">
        <v>50</v>
      </c>
      <c r="G68" s="10">
        <f t="shared" si="9"/>
        <v>9.0833333333333339</v>
      </c>
      <c r="H68" s="4">
        <v>50</v>
      </c>
      <c r="I68" s="5">
        <f t="shared" ref="I68" si="15">G68*D68</f>
        <v>408.75</v>
      </c>
      <c r="J68" s="5">
        <f t="shared" ref="J68:J74" si="16">I68-H68</f>
        <v>358.75</v>
      </c>
      <c r="K68">
        <v>15</v>
      </c>
      <c r="N68" s="119">
        <v>0</v>
      </c>
      <c r="O68" s="51"/>
      <c r="P68" t="s">
        <v>399</v>
      </c>
    </row>
    <row r="69" spans="1:17">
      <c r="A69" s="80" t="s">
        <v>390</v>
      </c>
      <c r="B69" s="4">
        <v>9</v>
      </c>
      <c r="C69" s="4">
        <v>10</v>
      </c>
      <c r="D69" s="4">
        <v>45</v>
      </c>
      <c r="E69" s="4">
        <v>1</v>
      </c>
      <c r="F69" s="4">
        <v>50</v>
      </c>
      <c r="G69" s="10">
        <f t="shared" si="9"/>
        <v>9.1666666666666661</v>
      </c>
      <c r="H69" s="4">
        <v>50</v>
      </c>
      <c r="I69" s="5">
        <f t="shared" ref="I69:I74" si="17">G69*D69</f>
        <v>412.5</v>
      </c>
      <c r="J69" s="5">
        <f t="shared" si="16"/>
        <v>362.5</v>
      </c>
      <c r="K69">
        <v>15</v>
      </c>
      <c r="N69" s="119">
        <v>1200</v>
      </c>
      <c r="P69" t="s">
        <v>400</v>
      </c>
    </row>
    <row r="70" spans="1:17">
      <c r="A70" s="80" t="s">
        <v>392</v>
      </c>
      <c r="B70" s="4">
        <v>8</v>
      </c>
      <c r="C70" s="4">
        <v>12</v>
      </c>
      <c r="D70" s="4">
        <v>45</v>
      </c>
      <c r="E70" s="4">
        <v>1</v>
      </c>
      <c r="F70" s="4">
        <v>50</v>
      </c>
      <c r="G70" s="10">
        <f t="shared" si="9"/>
        <v>8.1999999999999993</v>
      </c>
      <c r="H70" s="4">
        <v>50</v>
      </c>
      <c r="I70" s="5">
        <f t="shared" si="17"/>
        <v>368.99999999999994</v>
      </c>
      <c r="J70" s="5">
        <f t="shared" si="16"/>
        <v>318.99999999999994</v>
      </c>
      <c r="K70">
        <v>24</v>
      </c>
      <c r="N70" s="119">
        <v>200</v>
      </c>
      <c r="P70" t="s">
        <v>401</v>
      </c>
      <c r="Q70" t="s">
        <v>64</v>
      </c>
    </row>
    <row r="71" spans="1:17">
      <c r="A71" s="80" t="s">
        <v>363</v>
      </c>
      <c r="B71" s="4">
        <v>8</v>
      </c>
      <c r="C71" s="4">
        <v>12</v>
      </c>
      <c r="D71" s="4">
        <v>45</v>
      </c>
      <c r="E71" s="4">
        <v>1</v>
      </c>
      <c r="F71" s="4">
        <v>50</v>
      </c>
      <c r="G71" s="10">
        <f t="shared" si="9"/>
        <v>8.1999999999999993</v>
      </c>
      <c r="H71" s="4">
        <v>50</v>
      </c>
      <c r="I71" s="5">
        <f t="shared" si="17"/>
        <v>368.99999999999994</v>
      </c>
      <c r="J71" s="5">
        <f t="shared" si="16"/>
        <v>318.99999999999994</v>
      </c>
      <c r="K71">
        <v>22</v>
      </c>
      <c r="N71" s="119"/>
    </row>
    <row r="72" spans="1:17">
      <c r="A72" s="80" t="s">
        <v>402</v>
      </c>
      <c r="B72" s="4">
        <v>7</v>
      </c>
      <c r="C72" s="4">
        <v>43</v>
      </c>
      <c r="D72" s="4">
        <v>45</v>
      </c>
      <c r="E72" s="4">
        <v>1</v>
      </c>
      <c r="F72" s="4">
        <v>50</v>
      </c>
      <c r="G72" s="10">
        <f t="shared" si="9"/>
        <v>7.7166666666666668</v>
      </c>
      <c r="H72" s="4">
        <v>50</v>
      </c>
      <c r="I72" s="5">
        <f t="shared" si="17"/>
        <v>347.25</v>
      </c>
      <c r="J72" s="5">
        <f t="shared" si="16"/>
        <v>297.25</v>
      </c>
      <c r="K72">
        <v>25</v>
      </c>
      <c r="N72" s="119">
        <v>100</v>
      </c>
      <c r="P72" t="s">
        <v>61</v>
      </c>
    </row>
    <row r="73" spans="1:17">
      <c r="A73" s="80" t="s">
        <v>403</v>
      </c>
      <c r="B73" s="4">
        <v>0</v>
      </c>
      <c r="C73" s="4">
        <v>0</v>
      </c>
      <c r="D73" s="4">
        <v>45</v>
      </c>
      <c r="E73" s="4">
        <v>1</v>
      </c>
      <c r="F73" s="4">
        <v>50</v>
      </c>
      <c r="G73" s="10">
        <f>B73+C73/60</f>
        <v>0</v>
      </c>
      <c r="H73" s="4">
        <v>0</v>
      </c>
      <c r="I73" s="5">
        <f t="shared" si="17"/>
        <v>0</v>
      </c>
      <c r="J73" s="5">
        <f t="shared" si="16"/>
        <v>0</v>
      </c>
      <c r="K73">
        <v>0</v>
      </c>
      <c r="N73" s="119">
        <v>200</v>
      </c>
      <c r="P73" t="s">
        <v>61</v>
      </c>
    </row>
    <row r="74" spans="1:17" ht="16" thickBot="1">
      <c r="A74" s="80" t="s">
        <v>404</v>
      </c>
      <c r="B74" s="4">
        <v>9</v>
      </c>
      <c r="C74" s="4">
        <v>2</v>
      </c>
      <c r="D74" s="4">
        <v>55</v>
      </c>
      <c r="E74" s="4">
        <v>1</v>
      </c>
      <c r="F74" s="4">
        <v>50</v>
      </c>
      <c r="G74" s="10">
        <f>B74+C74/60</f>
        <v>9.0333333333333332</v>
      </c>
      <c r="H74" s="4">
        <v>50</v>
      </c>
      <c r="I74" s="5">
        <f t="shared" si="17"/>
        <v>496.83333333333331</v>
      </c>
      <c r="J74" s="5">
        <f t="shared" si="16"/>
        <v>446.83333333333331</v>
      </c>
      <c r="K74">
        <v>28</v>
      </c>
      <c r="N74" s="119">
        <v>1520</v>
      </c>
      <c r="P74" t="s">
        <v>51</v>
      </c>
    </row>
    <row r="75" spans="1:17" s="86" customFormat="1" ht="20" thickBot="1">
      <c r="A75" s="91" t="s">
        <v>74</v>
      </c>
      <c r="B75" s="8">
        <f>SUM(B76:B82)</f>
        <v>48</v>
      </c>
      <c r="C75" s="8">
        <f>SUM(C76:C82)</f>
        <v>261</v>
      </c>
      <c r="D75" s="8">
        <f>SUM(D76)</f>
        <v>45</v>
      </c>
      <c r="E75" s="8">
        <f>SUM(E76:E82)</f>
        <v>7</v>
      </c>
      <c r="F75" s="8">
        <f>SUM(F76:F82)</f>
        <v>350</v>
      </c>
      <c r="G75" s="93">
        <f t="shared" ref="G75:G81" si="18">B75+C75/60</f>
        <v>52.35</v>
      </c>
      <c r="H75" s="8">
        <f>SUM(H76:H82)</f>
        <v>300</v>
      </c>
      <c r="I75" s="9">
        <f>SUM(I76:I82)</f>
        <v>2004.75</v>
      </c>
      <c r="J75" s="14">
        <f>SUM(J76:J82)</f>
        <v>1704.75</v>
      </c>
      <c r="K75" s="8">
        <f>SUM(K76:K82)</f>
        <v>123</v>
      </c>
      <c r="L75" s="9">
        <v>0</v>
      </c>
      <c r="M75" s="96">
        <f>J75</f>
        <v>1704.75</v>
      </c>
      <c r="N75" s="102">
        <f>SUM(N76:N82)</f>
        <v>2170</v>
      </c>
      <c r="O75" s="98">
        <f>2155-N75</f>
        <v>-15</v>
      </c>
    </row>
    <row r="76" spans="1:17">
      <c r="A76" s="6">
        <v>46076</v>
      </c>
      <c r="B76" s="4">
        <v>0</v>
      </c>
      <c r="C76" s="4">
        <v>0</v>
      </c>
      <c r="D76" s="4">
        <v>45</v>
      </c>
      <c r="E76" s="4">
        <v>1</v>
      </c>
      <c r="F76" s="4">
        <v>50</v>
      </c>
      <c r="G76" s="10">
        <f t="shared" si="18"/>
        <v>0</v>
      </c>
      <c r="H76" s="4">
        <v>0</v>
      </c>
      <c r="I76" s="5">
        <f t="shared" ref="I76:I81" si="19">G76*D76</f>
        <v>0</v>
      </c>
      <c r="J76" s="5">
        <f t="shared" ref="J76:J82" si="20">I76-H76</f>
        <v>0</v>
      </c>
      <c r="K76">
        <v>0</v>
      </c>
      <c r="N76" s="83">
        <v>0</v>
      </c>
      <c r="O76" s="51"/>
      <c r="P76" t="s">
        <v>280</v>
      </c>
    </row>
    <row r="77" spans="1:17">
      <c r="A77" s="6">
        <v>46077</v>
      </c>
      <c r="B77" s="4">
        <v>6</v>
      </c>
      <c r="C77" s="4">
        <v>48</v>
      </c>
      <c r="D77" s="4">
        <v>45</v>
      </c>
      <c r="E77" s="4">
        <v>1</v>
      </c>
      <c r="F77" s="4">
        <v>50</v>
      </c>
      <c r="G77" s="10">
        <f t="shared" si="18"/>
        <v>6.8</v>
      </c>
      <c r="H77" s="4">
        <v>50</v>
      </c>
      <c r="I77" s="5">
        <f t="shared" si="19"/>
        <v>306</v>
      </c>
      <c r="J77" s="5">
        <f t="shared" si="20"/>
        <v>256</v>
      </c>
      <c r="K77">
        <v>17</v>
      </c>
      <c r="N77" s="137">
        <v>0</v>
      </c>
    </row>
    <row r="78" spans="1:17">
      <c r="A78" s="6">
        <v>46078</v>
      </c>
      <c r="B78" s="4">
        <v>8</v>
      </c>
      <c r="C78" s="4">
        <v>46</v>
      </c>
      <c r="D78" s="4">
        <v>45</v>
      </c>
      <c r="E78" s="4">
        <v>1</v>
      </c>
      <c r="F78" s="4">
        <v>50</v>
      </c>
      <c r="G78" s="10">
        <f t="shared" si="18"/>
        <v>8.7666666666666675</v>
      </c>
      <c r="H78" s="4">
        <v>50</v>
      </c>
      <c r="I78" s="5">
        <f t="shared" si="19"/>
        <v>394.50000000000006</v>
      </c>
      <c r="J78" s="5">
        <f t="shared" si="20"/>
        <v>344.50000000000006</v>
      </c>
      <c r="K78">
        <v>21</v>
      </c>
      <c r="N78" s="119">
        <v>0</v>
      </c>
      <c r="Q78" t="s">
        <v>64</v>
      </c>
    </row>
    <row r="79" spans="1:17">
      <c r="A79" s="6">
        <v>46079</v>
      </c>
      <c r="B79" s="4">
        <v>9</v>
      </c>
      <c r="C79" s="4">
        <v>57</v>
      </c>
      <c r="D79" s="4">
        <v>45</v>
      </c>
      <c r="E79" s="4">
        <v>1</v>
      </c>
      <c r="F79" s="4">
        <v>50</v>
      </c>
      <c r="G79" s="10">
        <f t="shared" si="18"/>
        <v>9.9499999999999993</v>
      </c>
      <c r="H79" s="4">
        <v>50</v>
      </c>
      <c r="I79" s="5">
        <f t="shared" si="19"/>
        <v>447.74999999999994</v>
      </c>
      <c r="J79" s="5">
        <f t="shared" si="20"/>
        <v>397.74999999999994</v>
      </c>
      <c r="K79">
        <v>24</v>
      </c>
      <c r="N79" s="119">
        <v>810</v>
      </c>
    </row>
    <row r="80" spans="1:17">
      <c r="A80" s="6">
        <v>46080</v>
      </c>
      <c r="B80" s="4">
        <v>10</v>
      </c>
      <c r="C80" s="4">
        <v>3</v>
      </c>
      <c r="D80" s="4">
        <v>45</v>
      </c>
      <c r="E80" s="4">
        <v>1</v>
      </c>
      <c r="F80" s="4">
        <v>50</v>
      </c>
      <c r="G80" s="10">
        <f t="shared" si="18"/>
        <v>10.050000000000001</v>
      </c>
      <c r="H80" s="4">
        <v>50</v>
      </c>
      <c r="I80" s="5">
        <f t="shared" si="19"/>
        <v>452.25000000000006</v>
      </c>
      <c r="J80" s="5">
        <f t="shared" si="20"/>
        <v>402.25000000000006</v>
      </c>
      <c r="K80">
        <v>22</v>
      </c>
      <c r="N80" s="119">
        <f>200+100</f>
        <v>300</v>
      </c>
      <c r="P80" t="s">
        <v>405</v>
      </c>
    </row>
    <row r="81" spans="1:17">
      <c r="A81" s="6">
        <v>46081</v>
      </c>
      <c r="B81" s="4">
        <v>8</v>
      </c>
      <c r="C81" s="4">
        <v>59</v>
      </c>
      <c r="D81" s="4">
        <v>45</v>
      </c>
      <c r="E81" s="4">
        <v>1</v>
      </c>
      <c r="F81" s="4">
        <v>50</v>
      </c>
      <c r="G81" s="10">
        <f t="shared" si="18"/>
        <v>8.9833333333333325</v>
      </c>
      <c r="H81" s="4">
        <v>50</v>
      </c>
      <c r="I81" s="5">
        <f t="shared" si="19"/>
        <v>404.24999999999994</v>
      </c>
      <c r="J81" s="5">
        <f t="shared" si="20"/>
        <v>354.24999999999994</v>
      </c>
      <c r="K81">
        <v>20</v>
      </c>
      <c r="N81" s="119">
        <f>150+100</f>
        <v>250</v>
      </c>
      <c r="P81" t="s">
        <v>406</v>
      </c>
    </row>
    <row r="82" spans="1:17" ht="16" thickBot="1">
      <c r="A82" s="6">
        <v>46082</v>
      </c>
      <c r="B82" s="4">
        <v>7</v>
      </c>
      <c r="C82" s="4">
        <v>48</v>
      </c>
      <c r="D82" s="4">
        <v>45</v>
      </c>
      <c r="E82" s="4">
        <v>1</v>
      </c>
      <c r="F82" s="4">
        <v>50</v>
      </c>
      <c r="G82" s="10">
        <v>0</v>
      </c>
      <c r="H82" s="4">
        <v>50</v>
      </c>
      <c r="I82" s="5">
        <v>0</v>
      </c>
      <c r="J82" s="5">
        <f t="shared" si="20"/>
        <v>-50</v>
      </c>
      <c r="K82">
        <v>19</v>
      </c>
      <c r="N82" s="119">
        <v>810</v>
      </c>
    </row>
    <row r="83" spans="1:17" ht="20" thickBot="1">
      <c r="A83" s="91" t="s">
        <v>76</v>
      </c>
      <c r="B83" s="8">
        <f>SUM(B84:B90)</f>
        <v>43</v>
      </c>
      <c r="C83" s="8">
        <f>SUM(C84:C90)</f>
        <v>122</v>
      </c>
      <c r="D83" s="8">
        <f>SUM(D84)</f>
        <v>45</v>
      </c>
      <c r="E83" s="8">
        <f>SUM(E84:E90)</f>
        <v>7</v>
      </c>
      <c r="F83" s="8">
        <f>SUM(F84:F90)</f>
        <v>350</v>
      </c>
      <c r="G83" s="93">
        <f t="shared" ref="G83:G100" si="21">B83+C83/60</f>
        <v>45.033333333333331</v>
      </c>
      <c r="H83" s="8">
        <f>SUM(H84:H90)</f>
        <v>250</v>
      </c>
      <c r="I83" s="9">
        <f>SUM(I84:I90)</f>
        <v>2130.6666666666665</v>
      </c>
      <c r="J83" s="14">
        <f>SUM(J84:J90)</f>
        <v>1880.6666666666665</v>
      </c>
      <c r="K83" s="8">
        <f>SUM(K84:K90)</f>
        <v>106</v>
      </c>
      <c r="L83" s="9">
        <v>0</v>
      </c>
      <c r="M83" s="96">
        <f>J83</f>
        <v>1880.6666666666665</v>
      </c>
      <c r="N83" s="102">
        <f>SUM(N84:N90)</f>
        <v>890</v>
      </c>
      <c r="O83" s="98">
        <f>3481-N83</f>
        <v>2591</v>
      </c>
      <c r="P83" s="86"/>
      <c r="Q83" s="86"/>
    </row>
    <row r="84" spans="1:17">
      <c r="A84" s="80" t="s">
        <v>359</v>
      </c>
      <c r="B84" s="4">
        <v>7</v>
      </c>
      <c r="C84" s="4">
        <v>8</v>
      </c>
      <c r="D84" s="4">
        <v>45</v>
      </c>
      <c r="E84" s="4">
        <v>1</v>
      </c>
      <c r="F84" s="4">
        <v>50</v>
      </c>
      <c r="G84" s="10">
        <f t="shared" si="21"/>
        <v>7.1333333333333337</v>
      </c>
      <c r="H84" s="4">
        <v>50</v>
      </c>
      <c r="I84" s="5">
        <f t="shared" ref="I84:I90" si="22">G84*D84</f>
        <v>321</v>
      </c>
      <c r="J84" s="5">
        <f t="shared" ref="J84:J90" si="23">I84-H84</f>
        <v>271</v>
      </c>
      <c r="K84">
        <v>19</v>
      </c>
      <c r="N84" s="119">
        <v>0</v>
      </c>
      <c r="O84" s="51"/>
      <c r="P84" s="115" t="s">
        <v>407</v>
      </c>
    </row>
    <row r="85" spans="1:17">
      <c r="A85" s="80" t="s">
        <v>371</v>
      </c>
      <c r="B85" s="4">
        <v>10</v>
      </c>
      <c r="C85" s="4">
        <v>25</v>
      </c>
      <c r="D85" s="4">
        <v>55</v>
      </c>
      <c r="E85" s="4">
        <v>1</v>
      </c>
      <c r="F85" s="4">
        <v>50</v>
      </c>
      <c r="G85" s="10">
        <f t="shared" si="21"/>
        <v>10.416666666666666</v>
      </c>
      <c r="H85" s="4">
        <v>50</v>
      </c>
      <c r="I85" s="5">
        <f t="shared" si="22"/>
        <v>572.91666666666663</v>
      </c>
      <c r="J85" s="5">
        <f t="shared" si="23"/>
        <v>522.91666666666663</v>
      </c>
      <c r="K85">
        <v>28</v>
      </c>
      <c r="N85" s="119">
        <f>150+420</f>
        <v>570</v>
      </c>
      <c r="P85" t="s">
        <v>408</v>
      </c>
    </row>
    <row r="86" spans="1:17">
      <c r="A86" s="80" t="s">
        <v>372</v>
      </c>
      <c r="B86" s="4">
        <v>10</v>
      </c>
      <c r="C86" s="4">
        <v>30</v>
      </c>
      <c r="D86" s="4">
        <v>45</v>
      </c>
      <c r="E86" s="4">
        <v>1</v>
      </c>
      <c r="F86" s="4">
        <v>50</v>
      </c>
      <c r="G86" s="10">
        <f t="shared" si="21"/>
        <v>10.5</v>
      </c>
      <c r="H86" s="4">
        <v>50</v>
      </c>
      <c r="I86" s="5">
        <f t="shared" si="22"/>
        <v>472.5</v>
      </c>
      <c r="J86" s="5">
        <f t="shared" si="23"/>
        <v>422.5</v>
      </c>
      <c r="K86">
        <v>25</v>
      </c>
      <c r="N86" s="82">
        <v>320</v>
      </c>
      <c r="P86" t="s">
        <v>409</v>
      </c>
      <c r="Q86" t="s">
        <v>64</v>
      </c>
    </row>
    <row r="87" spans="1:17">
      <c r="A87" s="80" t="s">
        <v>363</v>
      </c>
      <c r="B87" s="4">
        <v>9</v>
      </c>
      <c r="C87" s="4">
        <v>13</v>
      </c>
      <c r="D87" s="4">
        <v>45</v>
      </c>
      <c r="E87" s="4">
        <v>1</v>
      </c>
      <c r="F87" s="4">
        <v>50</v>
      </c>
      <c r="G87" s="10">
        <f t="shared" si="21"/>
        <v>9.2166666666666668</v>
      </c>
      <c r="H87" s="4">
        <v>50</v>
      </c>
      <c r="I87" s="5">
        <f t="shared" si="22"/>
        <v>414.75</v>
      </c>
      <c r="J87" s="5">
        <f t="shared" si="23"/>
        <v>364.75</v>
      </c>
      <c r="K87">
        <v>19</v>
      </c>
      <c r="N87" s="119">
        <v>0</v>
      </c>
      <c r="P87" t="s">
        <v>410</v>
      </c>
    </row>
    <row r="88" spans="1:17">
      <c r="A88" s="80" t="s">
        <v>365</v>
      </c>
      <c r="B88" s="4">
        <v>7</v>
      </c>
      <c r="C88" s="4">
        <v>46</v>
      </c>
      <c r="D88" s="4">
        <v>45</v>
      </c>
      <c r="E88" s="4">
        <v>1</v>
      </c>
      <c r="F88" s="4">
        <v>50</v>
      </c>
      <c r="G88" s="10">
        <f t="shared" si="21"/>
        <v>7.7666666666666666</v>
      </c>
      <c r="H88" s="4">
        <v>50</v>
      </c>
      <c r="I88" s="5">
        <f t="shared" si="22"/>
        <v>349.5</v>
      </c>
      <c r="J88" s="5">
        <f t="shared" si="23"/>
        <v>299.5</v>
      </c>
      <c r="K88">
        <v>15</v>
      </c>
      <c r="N88" s="119">
        <v>0</v>
      </c>
    </row>
    <row r="89" spans="1:17">
      <c r="A89" s="80" t="s">
        <v>366</v>
      </c>
      <c r="B89" s="4">
        <v>0</v>
      </c>
      <c r="C89" s="4">
        <v>0</v>
      </c>
      <c r="D89" s="4">
        <v>45</v>
      </c>
      <c r="E89" s="4">
        <v>1</v>
      </c>
      <c r="F89" s="4">
        <v>50</v>
      </c>
      <c r="G89" s="10">
        <f t="shared" si="21"/>
        <v>0</v>
      </c>
      <c r="H89" s="4">
        <v>0</v>
      </c>
      <c r="I89" s="5">
        <f t="shared" si="22"/>
        <v>0</v>
      </c>
      <c r="J89" s="5">
        <f t="shared" si="23"/>
        <v>0</v>
      </c>
      <c r="K89">
        <v>0</v>
      </c>
      <c r="N89" s="119">
        <v>0</v>
      </c>
    </row>
    <row r="90" spans="1:17" ht="16" thickBot="1">
      <c r="A90" s="80" t="s">
        <v>411</v>
      </c>
      <c r="B90" s="4">
        <v>0</v>
      </c>
      <c r="C90" s="4">
        <v>0</v>
      </c>
      <c r="D90" s="4">
        <v>45</v>
      </c>
      <c r="E90" s="4">
        <v>1</v>
      </c>
      <c r="F90" s="4">
        <v>50</v>
      </c>
      <c r="G90" s="10">
        <f t="shared" si="21"/>
        <v>0</v>
      </c>
      <c r="H90" s="4">
        <v>0</v>
      </c>
      <c r="I90" s="5">
        <f t="shared" si="22"/>
        <v>0</v>
      </c>
      <c r="J90" s="5">
        <f t="shared" si="23"/>
        <v>0</v>
      </c>
      <c r="K90">
        <v>0</v>
      </c>
      <c r="N90" s="119">
        <v>0</v>
      </c>
    </row>
    <row r="91" spans="1:17" ht="20" thickBot="1">
      <c r="A91" s="91" t="s">
        <v>412</v>
      </c>
      <c r="B91" s="8">
        <f>SUM(B92:B98)</f>
        <v>46</v>
      </c>
      <c r="C91" s="8">
        <f>SUM(C92:C98)</f>
        <v>135</v>
      </c>
      <c r="D91" s="8">
        <v>45</v>
      </c>
      <c r="E91" s="8">
        <f>SUM(E92:E98)</f>
        <v>7</v>
      </c>
      <c r="F91" s="8">
        <f>SUM(F92:F98)</f>
        <v>350</v>
      </c>
      <c r="G91" s="93">
        <f t="shared" si="21"/>
        <v>48.25</v>
      </c>
      <c r="H91" s="8">
        <f>SUM(H92:H98)</f>
        <v>250</v>
      </c>
      <c r="I91" s="9">
        <f>SUM(I92:I98)</f>
        <v>2171.25</v>
      </c>
      <c r="J91" s="14">
        <f>SUM(J92:J98)</f>
        <v>1921.25</v>
      </c>
      <c r="K91" s="8">
        <f>SUM(K92:K98)</f>
        <v>84</v>
      </c>
      <c r="L91" s="9">
        <v>0</v>
      </c>
      <c r="M91" s="96">
        <f>J91</f>
        <v>1921.25</v>
      </c>
      <c r="N91" s="102">
        <f>SUM(N92:N98)</f>
        <v>2500</v>
      </c>
      <c r="O91" s="98">
        <f>2713-N91</f>
        <v>213</v>
      </c>
      <c r="P91" s="86"/>
      <c r="Q91" s="86"/>
    </row>
    <row r="92" spans="1:17">
      <c r="A92" s="6">
        <v>46076</v>
      </c>
      <c r="B92" s="4">
        <v>0</v>
      </c>
      <c r="C92" s="4">
        <v>0</v>
      </c>
      <c r="D92" s="4">
        <v>45</v>
      </c>
      <c r="E92" s="4">
        <v>1</v>
      </c>
      <c r="F92" s="4">
        <v>50</v>
      </c>
      <c r="G92" s="10">
        <f t="shared" si="21"/>
        <v>0</v>
      </c>
      <c r="H92" s="4">
        <v>0</v>
      </c>
      <c r="I92" s="5">
        <f t="shared" ref="I92:I98" si="24">G92*D92</f>
        <v>0</v>
      </c>
      <c r="J92" s="5">
        <f t="shared" ref="J92:J98" si="25">I92-H92</f>
        <v>0</v>
      </c>
      <c r="N92" s="136">
        <v>0</v>
      </c>
      <c r="O92" s="51"/>
    </row>
    <row r="93" spans="1:17">
      <c r="A93" s="6">
        <v>46077</v>
      </c>
      <c r="B93" s="4">
        <v>9</v>
      </c>
      <c r="C93" s="4">
        <v>59</v>
      </c>
      <c r="D93" s="4">
        <v>45</v>
      </c>
      <c r="E93" s="4">
        <v>1</v>
      </c>
      <c r="F93" s="4">
        <v>50</v>
      </c>
      <c r="G93" s="10">
        <f t="shared" si="21"/>
        <v>9.9833333333333325</v>
      </c>
      <c r="H93" s="4">
        <v>50</v>
      </c>
      <c r="I93" s="5">
        <f t="shared" si="24"/>
        <v>449.24999999999994</v>
      </c>
      <c r="J93" s="5">
        <f t="shared" si="25"/>
        <v>399.24999999999994</v>
      </c>
      <c r="K93">
        <v>18</v>
      </c>
      <c r="N93" s="136">
        <v>280</v>
      </c>
    </row>
    <row r="94" spans="1:17">
      <c r="A94" s="6">
        <v>46078</v>
      </c>
      <c r="B94" s="4">
        <v>11</v>
      </c>
      <c r="C94" s="4">
        <v>3</v>
      </c>
      <c r="D94" s="4">
        <v>45</v>
      </c>
      <c r="E94" s="4">
        <v>1</v>
      </c>
      <c r="F94" s="4">
        <v>50</v>
      </c>
      <c r="G94" s="10">
        <f t="shared" si="21"/>
        <v>11.05</v>
      </c>
      <c r="H94" s="4">
        <v>50</v>
      </c>
      <c r="I94" s="5">
        <f t="shared" si="24"/>
        <v>497.25000000000006</v>
      </c>
      <c r="J94" s="5">
        <f t="shared" si="25"/>
        <v>447.25000000000006</v>
      </c>
      <c r="K94">
        <v>18</v>
      </c>
      <c r="N94" s="119">
        <v>0</v>
      </c>
      <c r="Q94" t="s">
        <v>64</v>
      </c>
    </row>
    <row r="95" spans="1:17">
      <c r="A95" s="80" t="s">
        <v>363</v>
      </c>
      <c r="B95" s="4">
        <v>11</v>
      </c>
      <c r="C95" s="4">
        <v>0</v>
      </c>
      <c r="D95" s="4">
        <v>45</v>
      </c>
      <c r="E95" s="4">
        <v>1</v>
      </c>
      <c r="F95" s="4">
        <v>50</v>
      </c>
      <c r="G95" s="10">
        <f t="shared" si="21"/>
        <v>11</v>
      </c>
      <c r="H95" s="4">
        <v>50</v>
      </c>
      <c r="I95" s="5">
        <f t="shared" si="24"/>
        <v>495</v>
      </c>
      <c r="J95" s="5">
        <f t="shared" si="25"/>
        <v>445</v>
      </c>
      <c r="K95">
        <v>17</v>
      </c>
      <c r="N95" s="136">
        <v>0</v>
      </c>
      <c r="P95" t="s">
        <v>413</v>
      </c>
    </row>
    <row r="96" spans="1:17">
      <c r="A96" s="80" t="s">
        <v>365</v>
      </c>
      <c r="B96" s="4">
        <v>7</v>
      </c>
      <c r="C96" s="4">
        <v>30</v>
      </c>
      <c r="D96" s="4">
        <v>45</v>
      </c>
      <c r="E96" s="4">
        <v>1</v>
      </c>
      <c r="F96" s="4">
        <v>50</v>
      </c>
      <c r="G96" s="10">
        <f t="shared" si="21"/>
        <v>7.5</v>
      </c>
      <c r="H96" s="4">
        <v>50</v>
      </c>
      <c r="I96" s="5">
        <f t="shared" si="24"/>
        <v>337.5</v>
      </c>
      <c r="J96" s="5">
        <f t="shared" si="25"/>
        <v>287.5</v>
      </c>
      <c r="K96">
        <v>13</v>
      </c>
      <c r="N96" s="119">
        <v>690</v>
      </c>
    </row>
    <row r="97" spans="1:17">
      <c r="A97" s="80" t="s">
        <v>366</v>
      </c>
      <c r="B97" s="4">
        <v>8</v>
      </c>
      <c r="C97" s="4">
        <v>43</v>
      </c>
      <c r="D97" s="4">
        <v>45</v>
      </c>
      <c r="E97" s="4">
        <v>1</v>
      </c>
      <c r="F97" s="4">
        <v>50</v>
      </c>
      <c r="G97" s="10">
        <f t="shared" si="21"/>
        <v>8.7166666666666668</v>
      </c>
      <c r="H97" s="4">
        <v>50</v>
      </c>
      <c r="I97" s="5">
        <f t="shared" si="24"/>
        <v>392.25</v>
      </c>
      <c r="J97" s="5">
        <f t="shared" si="25"/>
        <v>342.25</v>
      </c>
      <c r="K97">
        <v>18</v>
      </c>
      <c r="N97" s="82">
        <v>1530</v>
      </c>
    </row>
    <row r="98" spans="1:17" ht="16" thickBot="1">
      <c r="A98" s="6">
        <v>46082</v>
      </c>
      <c r="B98" s="4">
        <v>0</v>
      </c>
      <c r="C98" s="4">
        <v>0</v>
      </c>
      <c r="D98" s="4">
        <v>45</v>
      </c>
      <c r="E98" s="4">
        <v>1</v>
      </c>
      <c r="F98" s="4">
        <v>50</v>
      </c>
      <c r="G98" s="10">
        <f t="shared" si="21"/>
        <v>0</v>
      </c>
      <c r="H98" s="4">
        <v>0</v>
      </c>
      <c r="I98" s="5">
        <f t="shared" si="24"/>
        <v>0</v>
      </c>
      <c r="J98" s="5">
        <f t="shared" si="25"/>
        <v>0</v>
      </c>
      <c r="K98">
        <v>0</v>
      </c>
      <c r="N98" s="119">
        <v>0</v>
      </c>
    </row>
    <row r="99" spans="1:17" s="54" customFormat="1" ht="20" thickBot="1">
      <c r="A99" s="72" t="s">
        <v>81</v>
      </c>
      <c r="B99" s="44">
        <f>SUM(B100:B106)</f>
        <v>57</v>
      </c>
      <c r="C99" s="44">
        <f>SUM(C100:C106)</f>
        <v>210</v>
      </c>
      <c r="D99" s="44">
        <v>45</v>
      </c>
      <c r="E99" s="44">
        <f>SUM(E100:E106)</f>
        <v>6</v>
      </c>
      <c r="F99" s="44">
        <f>SUM(F100:F106)</f>
        <v>300</v>
      </c>
      <c r="G99" s="67">
        <f t="shared" si="21"/>
        <v>60.5</v>
      </c>
      <c r="H99" s="44">
        <f>SUM(H100:H106)</f>
        <v>300</v>
      </c>
      <c r="I99" s="47">
        <f>SUM(I100:I106)</f>
        <v>3147.333333333333</v>
      </c>
      <c r="J99" s="47">
        <f>SUM(J100:J106)</f>
        <v>2847.333333333333</v>
      </c>
      <c r="K99" s="44">
        <f>SUM(K100:K106)</f>
        <v>0</v>
      </c>
      <c r="L99" s="46">
        <v>0</v>
      </c>
      <c r="M99" s="69">
        <f>J99</f>
        <v>2847.333333333333</v>
      </c>
      <c r="N99" s="63">
        <f>SUM(N100:N106)</f>
        <v>3180</v>
      </c>
      <c r="O99" s="90">
        <f>3174-N99</f>
        <v>-6</v>
      </c>
    </row>
    <row r="100" spans="1:17">
      <c r="A100" s="80" t="s">
        <v>359</v>
      </c>
      <c r="B100" s="4">
        <v>7</v>
      </c>
      <c r="C100" s="4">
        <v>36</v>
      </c>
      <c r="D100" s="4">
        <v>45</v>
      </c>
      <c r="E100" s="4">
        <v>1</v>
      </c>
      <c r="F100" s="4">
        <v>50</v>
      </c>
      <c r="G100" s="10">
        <f t="shared" si="21"/>
        <v>7.6</v>
      </c>
      <c r="H100" s="4">
        <v>50</v>
      </c>
      <c r="I100" s="5">
        <f t="shared" ref="I100:I103" si="26">G100*D100</f>
        <v>342</v>
      </c>
      <c r="J100" s="5">
        <f t="shared" ref="J100" si="27">I100-H100</f>
        <v>292</v>
      </c>
      <c r="K100">
        <v>0</v>
      </c>
      <c r="L100">
        <v>24</v>
      </c>
      <c r="N100" s="136">
        <v>0</v>
      </c>
      <c r="O100" s="51"/>
      <c r="P100" t="s">
        <v>414</v>
      </c>
    </row>
    <row r="101" spans="1:17">
      <c r="A101" s="80">
        <v>46077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10">
        <v>0</v>
      </c>
      <c r="H101" s="4">
        <v>0</v>
      </c>
      <c r="I101" s="5">
        <f t="shared" si="26"/>
        <v>0</v>
      </c>
      <c r="J101" s="5">
        <f t="shared" ref="J101:J106" si="28">I101-H101</f>
        <v>0</v>
      </c>
      <c r="K101">
        <v>0</v>
      </c>
      <c r="N101" s="119">
        <v>0</v>
      </c>
    </row>
    <row r="102" spans="1:17">
      <c r="A102" s="80" t="s">
        <v>361</v>
      </c>
      <c r="B102" s="4">
        <v>10</v>
      </c>
      <c r="C102" s="4">
        <v>10</v>
      </c>
      <c r="D102" s="4">
        <v>55</v>
      </c>
      <c r="E102" s="4">
        <v>1</v>
      </c>
      <c r="F102" s="4">
        <v>50</v>
      </c>
      <c r="G102" s="10">
        <f t="shared" ref="G102:G148" si="29">B102+C102/60</f>
        <v>10.166666666666666</v>
      </c>
      <c r="H102" s="4">
        <v>50</v>
      </c>
      <c r="I102" s="5">
        <f t="shared" si="26"/>
        <v>559.16666666666663</v>
      </c>
      <c r="J102" s="5">
        <f t="shared" si="28"/>
        <v>509.16666666666663</v>
      </c>
      <c r="K102">
        <v>0</v>
      </c>
      <c r="L102">
        <v>27</v>
      </c>
      <c r="N102" s="136">
        <v>340</v>
      </c>
      <c r="Q102" t="s">
        <v>64</v>
      </c>
    </row>
    <row r="103" spans="1:17">
      <c r="A103" s="80" t="s">
        <v>363</v>
      </c>
      <c r="B103" s="4">
        <v>10</v>
      </c>
      <c r="C103" s="4">
        <v>25</v>
      </c>
      <c r="D103" s="4">
        <v>45</v>
      </c>
      <c r="E103" s="4">
        <v>1</v>
      </c>
      <c r="F103" s="4">
        <v>50</v>
      </c>
      <c r="G103" s="10">
        <f t="shared" si="29"/>
        <v>10.416666666666666</v>
      </c>
      <c r="H103" s="4">
        <v>50</v>
      </c>
      <c r="I103" s="5">
        <f t="shared" si="26"/>
        <v>468.75</v>
      </c>
      <c r="J103" s="5">
        <f t="shared" si="28"/>
        <v>418.75</v>
      </c>
      <c r="K103">
        <v>0</v>
      </c>
      <c r="L103">
        <v>26</v>
      </c>
      <c r="N103" s="119">
        <v>0</v>
      </c>
    </row>
    <row r="104" spans="1:17">
      <c r="A104" s="80" t="s">
        <v>415</v>
      </c>
      <c r="B104" s="4">
        <v>10</v>
      </c>
      <c r="C104" s="4">
        <v>53</v>
      </c>
      <c r="D104" s="4">
        <v>55</v>
      </c>
      <c r="E104" s="4">
        <v>1</v>
      </c>
      <c r="F104" s="4">
        <v>50</v>
      </c>
      <c r="G104" s="10">
        <f t="shared" si="29"/>
        <v>10.883333333333333</v>
      </c>
      <c r="H104" s="4">
        <v>50</v>
      </c>
      <c r="I104" s="5">
        <f>G104*D104</f>
        <v>598.58333333333326</v>
      </c>
      <c r="J104" s="5">
        <f t="shared" si="28"/>
        <v>548.58333333333326</v>
      </c>
      <c r="K104">
        <v>0</v>
      </c>
      <c r="L104">
        <v>30</v>
      </c>
      <c r="N104" s="136">
        <v>750</v>
      </c>
    </row>
    <row r="105" spans="1:17">
      <c r="A105" s="80" t="s">
        <v>416</v>
      </c>
      <c r="B105" s="4">
        <v>10</v>
      </c>
      <c r="C105" s="4">
        <v>37</v>
      </c>
      <c r="D105" s="4">
        <v>55</v>
      </c>
      <c r="E105" s="4">
        <v>1</v>
      </c>
      <c r="F105" s="4">
        <v>50</v>
      </c>
      <c r="G105" s="10">
        <f t="shared" si="29"/>
        <v>10.616666666666667</v>
      </c>
      <c r="H105" s="4">
        <v>50</v>
      </c>
      <c r="I105" s="5">
        <f>G105*D105</f>
        <v>583.91666666666674</v>
      </c>
      <c r="J105" s="5">
        <f t="shared" si="28"/>
        <v>533.91666666666674</v>
      </c>
      <c r="K105">
        <v>0</v>
      </c>
      <c r="L105">
        <v>27</v>
      </c>
      <c r="N105" s="136">
        <f>150+200</f>
        <v>350</v>
      </c>
      <c r="P105" t="s">
        <v>89</v>
      </c>
    </row>
    <row r="106" spans="1:17" ht="16" thickBot="1">
      <c r="A106" s="80" t="s">
        <v>417</v>
      </c>
      <c r="B106" s="4">
        <v>10</v>
      </c>
      <c r="C106" s="4">
        <v>49</v>
      </c>
      <c r="D106" s="4">
        <v>55</v>
      </c>
      <c r="E106" s="4">
        <v>1</v>
      </c>
      <c r="F106" s="4">
        <v>50</v>
      </c>
      <c r="G106" s="10">
        <f t="shared" si="29"/>
        <v>10.816666666666666</v>
      </c>
      <c r="H106" s="4">
        <v>50</v>
      </c>
      <c r="I106" s="5">
        <f>G106*D106</f>
        <v>594.91666666666663</v>
      </c>
      <c r="J106" s="5">
        <f t="shared" si="28"/>
        <v>544.91666666666663</v>
      </c>
      <c r="K106">
        <v>0</v>
      </c>
      <c r="L106">
        <v>30</v>
      </c>
      <c r="N106" s="136">
        <f>300+700+740</f>
        <v>1740</v>
      </c>
      <c r="P106" t="s">
        <v>418</v>
      </c>
    </row>
    <row r="107" spans="1:17" s="86" customFormat="1" ht="20" thickBot="1">
      <c r="A107" s="91" t="s">
        <v>90</v>
      </c>
      <c r="B107" s="8">
        <f>SUM(B108:B114)</f>
        <v>48</v>
      </c>
      <c r="C107" s="8">
        <f>SUM(C108:C114)</f>
        <v>142</v>
      </c>
      <c r="D107" s="8">
        <f>SUM(D108)</f>
        <v>45</v>
      </c>
      <c r="E107" s="8">
        <f>SUM(E108:E114)</f>
        <v>7</v>
      </c>
      <c r="F107" s="8">
        <f>SUM(F108:F114)</f>
        <v>350</v>
      </c>
      <c r="G107" s="93">
        <f t="shared" si="29"/>
        <v>50.366666666666667</v>
      </c>
      <c r="H107" s="8">
        <f>SUM(H108:H114)</f>
        <v>473.1</v>
      </c>
      <c r="I107" s="9">
        <f>SUM(I108:I114)</f>
        <v>2926.3333333333339</v>
      </c>
      <c r="J107" s="14">
        <f>SUM(J108:J114)</f>
        <v>2453.2333333333336</v>
      </c>
      <c r="K107" s="8">
        <f>SUM(K108:K114)</f>
        <v>183</v>
      </c>
      <c r="L107" s="9">
        <v>0</v>
      </c>
      <c r="M107" s="96">
        <f>J107</f>
        <v>2453.2333333333336</v>
      </c>
      <c r="N107" s="129">
        <f>SUM(N108:N114)</f>
        <v>5620</v>
      </c>
      <c r="O107" s="98">
        <f>5639-N107</f>
        <v>19</v>
      </c>
    </row>
    <row r="108" spans="1:17">
      <c r="A108" s="6">
        <v>46076</v>
      </c>
      <c r="B108" s="4">
        <v>0</v>
      </c>
      <c r="C108" s="4">
        <v>0</v>
      </c>
      <c r="D108" s="4">
        <v>45</v>
      </c>
      <c r="E108" s="4">
        <v>1</v>
      </c>
      <c r="F108" s="4">
        <v>50</v>
      </c>
      <c r="G108" s="10">
        <f t="shared" si="29"/>
        <v>0</v>
      </c>
      <c r="H108" s="4">
        <v>0</v>
      </c>
      <c r="I108" s="5">
        <f t="shared" ref="I108:I114" si="30">G108*D108</f>
        <v>0</v>
      </c>
      <c r="J108" s="5">
        <f t="shared" ref="J108:J114" si="31">I108-H108</f>
        <v>0</v>
      </c>
      <c r="K108">
        <v>0</v>
      </c>
      <c r="N108" s="119">
        <v>0</v>
      </c>
      <c r="O108" s="51"/>
    </row>
    <row r="109" spans="1:17">
      <c r="A109" s="6">
        <v>46077</v>
      </c>
      <c r="B109" s="4">
        <v>7</v>
      </c>
      <c r="C109" s="4">
        <v>9</v>
      </c>
      <c r="D109" s="4">
        <v>65</v>
      </c>
      <c r="E109" s="4">
        <v>1</v>
      </c>
      <c r="F109" s="4">
        <v>50</v>
      </c>
      <c r="G109" s="10">
        <f t="shared" si="29"/>
        <v>7.15</v>
      </c>
      <c r="H109" s="4">
        <v>50</v>
      </c>
      <c r="I109" s="5">
        <f t="shared" si="30"/>
        <v>464.75</v>
      </c>
      <c r="J109" s="5">
        <f t="shared" si="31"/>
        <v>414.75</v>
      </c>
      <c r="K109">
        <v>34</v>
      </c>
      <c r="N109" s="119">
        <f>500+200</f>
        <v>700</v>
      </c>
      <c r="P109" t="s">
        <v>419</v>
      </c>
    </row>
    <row r="110" spans="1:17">
      <c r="A110" s="6">
        <v>46078</v>
      </c>
      <c r="B110" s="4">
        <v>9</v>
      </c>
      <c r="C110" s="4">
        <v>11</v>
      </c>
      <c r="D110" s="4">
        <v>55</v>
      </c>
      <c r="E110" s="4">
        <v>1</v>
      </c>
      <c r="F110" s="4">
        <v>50</v>
      </c>
      <c r="G110" s="10">
        <f t="shared" si="29"/>
        <v>9.1833333333333336</v>
      </c>
      <c r="H110" s="4">
        <f>50+89.1</f>
        <v>139.1</v>
      </c>
      <c r="I110" s="5">
        <f t="shared" si="30"/>
        <v>505.08333333333337</v>
      </c>
      <c r="J110" s="5">
        <f>I110-H110</f>
        <v>365.98333333333335</v>
      </c>
      <c r="K110">
        <v>28</v>
      </c>
      <c r="N110" s="83">
        <f>530+200</f>
        <v>730</v>
      </c>
      <c r="P110" t="s">
        <v>420</v>
      </c>
      <c r="Q110" t="s">
        <v>64</v>
      </c>
    </row>
    <row r="111" spans="1:17">
      <c r="A111" s="6">
        <v>46079</v>
      </c>
      <c r="B111" s="4">
        <v>8</v>
      </c>
      <c r="C111" s="4">
        <v>22</v>
      </c>
      <c r="D111" s="4">
        <v>45</v>
      </c>
      <c r="E111" s="4">
        <v>1</v>
      </c>
      <c r="F111" s="4">
        <v>50</v>
      </c>
      <c r="G111" s="10">
        <f t="shared" si="29"/>
        <v>8.3666666666666671</v>
      </c>
      <c r="H111" s="4">
        <v>50</v>
      </c>
      <c r="I111" s="5">
        <f t="shared" si="30"/>
        <v>376.5</v>
      </c>
      <c r="J111" s="5">
        <f t="shared" si="31"/>
        <v>326.5</v>
      </c>
      <c r="K111">
        <v>24</v>
      </c>
      <c r="N111" s="119">
        <f>480+200</f>
        <v>680</v>
      </c>
      <c r="P111" s="128" t="s">
        <v>421</v>
      </c>
    </row>
    <row r="112" spans="1:17">
      <c r="A112" s="6">
        <v>46080</v>
      </c>
      <c r="B112" s="4">
        <v>8</v>
      </c>
      <c r="C112" s="4">
        <v>50</v>
      </c>
      <c r="D112" s="4">
        <v>55</v>
      </c>
      <c r="E112" s="4">
        <v>1</v>
      </c>
      <c r="F112" s="4">
        <v>50</v>
      </c>
      <c r="G112" s="10">
        <f t="shared" si="29"/>
        <v>8.8333333333333339</v>
      </c>
      <c r="H112" s="4">
        <f>50+84</f>
        <v>134</v>
      </c>
      <c r="I112" s="5">
        <f t="shared" si="30"/>
        <v>485.83333333333337</v>
      </c>
      <c r="J112" s="5">
        <f t="shared" si="31"/>
        <v>351.83333333333337</v>
      </c>
      <c r="K112">
        <v>28</v>
      </c>
      <c r="N112" s="119">
        <f>810+200</f>
        <v>1010</v>
      </c>
    </row>
    <row r="113" spans="1:17">
      <c r="A113" s="6">
        <v>46081</v>
      </c>
      <c r="B113" s="4">
        <v>9</v>
      </c>
      <c r="C113" s="4">
        <v>5</v>
      </c>
      <c r="D113" s="4">
        <v>65</v>
      </c>
      <c r="E113" s="4">
        <v>1</v>
      </c>
      <c r="F113" s="4">
        <v>50</v>
      </c>
      <c r="G113" s="10">
        <f t="shared" si="29"/>
        <v>9.0833333333333339</v>
      </c>
      <c r="H113" s="4">
        <v>50</v>
      </c>
      <c r="I113" s="5">
        <f t="shared" si="30"/>
        <v>590.41666666666674</v>
      </c>
      <c r="J113" s="5">
        <f t="shared" si="31"/>
        <v>540.41666666666674</v>
      </c>
      <c r="K113">
        <v>34</v>
      </c>
      <c r="N113" s="119">
        <v>200</v>
      </c>
      <c r="P113" s="128" t="s">
        <v>49</v>
      </c>
    </row>
    <row r="114" spans="1:17" ht="16" thickBot="1">
      <c r="A114" s="6">
        <v>46082</v>
      </c>
      <c r="B114" s="4">
        <v>7</v>
      </c>
      <c r="C114" s="4">
        <v>45</v>
      </c>
      <c r="D114" s="4">
        <v>65</v>
      </c>
      <c r="E114" s="4">
        <v>1</v>
      </c>
      <c r="F114" s="4">
        <v>50</v>
      </c>
      <c r="G114" s="10">
        <f t="shared" si="29"/>
        <v>7.75</v>
      </c>
      <c r="H114" s="4">
        <v>50</v>
      </c>
      <c r="I114" s="5">
        <f t="shared" si="30"/>
        <v>503.75</v>
      </c>
      <c r="J114" s="5">
        <f t="shared" si="31"/>
        <v>453.75</v>
      </c>
      <c r="K114">
        <v>35</v>
      </c>
      <c r="N114" s="119">
        <v>2300</v>
      </c>
    </row>
    <row r="115" spans="1:17" s="54" customFormat="1" ht="20" thickBot="1">
      <c r="A115" s="72" t="s">
        <v>246</v>
      </c>
      <c r="B115" s="44">
        <f>SUM(B116:B122)</f>
        <v>28</v>
      </c>
      <c r="C115" s="44">
        <f>SUM(C116:C122)</f>
        <v>94</v>
      </c>
      <c r="D115" s="44">
        <f>SUM(D116)</f>
        <v>45</v>
      </c>
      <c r="E115" s="44">
        <f>SUM(E116:E122)</f>
        <v>7</v>
      </c>
      <c r="F115" s="44">
        <f>SUM(F116:F122)</f>
        <v>300</v>
      </c>
      <c r="G115" s="67">
        <f t="shared" si="29"/>
        <v>29.566666666666666</v>
      </c>
      <c r="H115" s="44">
        <f>SUM(H116:H122)</f>
        <v>150</v>
      </c>
      <c r="I115" s="46">
        <f>SUM(I116:I122)</f>
        <v>1330.5</v>
      </c>
      <c r="J115" s="47">
        <f>SUM(J116:J122)</f>
        <v>1180.5</v>
      </c>
      <c r="K115" s="44">
        <f>SUM(K116:K122)</f>
        <v>60</v>
      </c>
      <c r="L115" s="46">
        <v>0</v>
      </c>
      <c r="M115" s="69">
        <f>J115</f>
        <v>1180.5</v>
      </c>
      <c r="N115" s="63">
        <f>SUM(N116:N122)</f>
        <v>1032</v>
      </c>
      <c r="O115" s="90">
        <f>1434-N115</f>
        <v>402</v>
      </c>
    </row>
    <row r="116" spans="1:17">
      <c r="A116" s="80" t="s">
        <v>422</v>
      </c>
      <c r="B116" s="4">
        <v>10</v>
      </c>
      <c r="C116" s="4">
        <v>57</v>
      </c>
      <c r="D116" s="4">
        <v>45</v>
      </c>
      <c r="E116" s="4">
        <v>1</v>
      </c>
      <c r="F116" s="4">
        <v>50</v>
      </c>
      <c r="G116" s="10">
        <f t="shared" si="29"/>
        <v>10.95</v>
      </c>
      <c r="H116" s="4">
        <v>50</v>
      </c>
      <c r="I116" s="5">
        <f t="shared" ref="I116:I122" si="32">G116*D116</f>
        <v>492.74999999999994</v>
      </c>
      <c r="J116" s="5">
        <f t="shared" ref="J116:J122" si="33">I116-H116</f>
        <v>442.74999999999994</v>
      </c>
      <c r="K116">
        <v>22</v>
      </c>
      <c r="N116" s="119">
        <v>570</v>
      </c>
      <c r="O116" s="51"/>
      <c r="P116" t="s">
        <v>423</v>
      </c>
    </row>
    <row r="117" spans="1:17">
      <c r="A117" s="80" t="s">
        <v>371</v>
      </c>
      <c r="B117" s="4">
        <v>9</v>
      </c>
      <c r="C117" s="4">
        <v>34</v>
      </c>
      <c r="D117" s="4">
        <v>45</v>
      </c>
      <c r="E117" s="4">
        <v>1</v>
      </c>
      <c r="F117" s="4">
        <v>50</v>
      </c>
      <c r="G117" s="10">
        <f t="shared" si="29"/>
        <v>9.5666666666666664</v>
      </c>
      <c r="H117" s="4">
        <v>50</v>
      </c>
      <c r="I117" s="5">
        <f t="shared" si="32"/>
        <v>430.5</v>
      </c>
      <c r="J117" s="5">
        <f t="shared" si="33"/>
        <v>380.5</v>
      </c>
      <c r="K117">
        <v>18</v>
      </c>
      <c r="N117" s="136">
        <v>202</v>
      </c>
      <c r="P117" t="s">
        <v>424</v>
      </c>
    </row>
    <row r="118" spans="1:17">
      <c r="A118" s="80" t="s">
        <v>361</v>
      </c>
      <c r="B118" s="4">
        <v>9</v>
      </c>
      <c r="C118" s="4">
        <v>3</v>
      </c>
      <c r="D118" s="4">
        <v>45</v>
      </c>
      <c r="E118" s="4">
        <v>1</v>
      </c>
      <c r="F118" s="4">
        <v>50</v>
      </c>
      <c r="G118" s="10">
        <f t="shared" si="29"/>
        <v>9.0500000000000007</v>
      </c>
      <c r="H118" s="4">
        <v>50</v>
      </c>
      <c r="I118" s="5">
        <f t="shared" si="32"/>
        <v>407.25000000000006</v>
      </c>
      <c r="J118" s="5">
        <f t="shared" si="33"/>
        <v>357.25000000000006</v>
      </c>
      <c r="K118">
        <v>20</v>
      </c>
      <c r="N118" s="119">
        <v>260</v>
      </c>
      <c r="P118" t="s">
        <v>425</v>
      </c>
      <c r="Q118" t="s">
        <v>64</v>
      </c>
    </row>
    <row r="119" spans="1:17">
      <c r="A119" s="80" t="s">
        <v>363</v>
      </c>
      <c r="B119" s="4">
        <v>0</v>
      </c>
      <c r="C119" s="4">
        <v>0</v>
      </c>
      <c r="D119" s="4">
        <v>0</v>
      </c>
      <c r="E119" s="4">
        <v>1</v>
      </c>
      <c r="F119" s="4">
        <v>0</v>
      </c>
      <c r="G119" s="10">
        <f t="shared" si="29"/>
        <v>0</v>
      </c>
      <c r="H119" s="4">
        <v>0</v>
      </c>
      <c r="I119" s="5">
        <f t="shared" si="32"/>
        <v>0</v>
      </c>
      <c r="J119" s="5">
        <f t="shared" si="33"/>
        <v>0</v>
      </c>
      <c r="K119">
        <v>0</v>
      </c>
      <c r="N119" s="136">
        <v>0</v>
      </c>
      <c r="P119" t="s">
        <v>426</v>
      </c>
    </row>
    <row r="120" spans="1:17">
      <c r="A120" s="80" t="s">
        <v>427</v>
      </c>
      <c r="B120" s="4">
        <v>0</v>
      </c>
      <c r="C120" s="4">
        <v>0</v>
      </c>
      <c r="D120" s="4">
        <v>45</v>
      </c>
      <c r="E120" s="4">
        <v>1</v>
      </c>
      <c r="F120" s="4">
        <v>50</v>
      </c>
      <c r="G120" s="10">
        <f t="shared" si="29"/>
        <v>0</v>
      </c>
      <c r="H120" s="4">
        <v>0</v>
      </c>
      <c r="I120" s="5">
        <f t="shared" si="32"/>
        <v>0</v>
      </c>
      <c r="J120" s="5">
        <f t="shared" si="33"/>
        <v>0</v>
      </c>
      <c r="K120">
        <v>0</v>
      </c>
      <c r="N120" s="136">
        <v>0</v>
      </c>
    </row>
    <row r="121" spans="1:17">
      <c r="A121" s="80" t="s">
        <v>428</v>
      </c>
      <c r="B121" s="4">
        <v>0</v>
      </c>
      <c r="C121" s="4">
        <v>0</v>
      </c>
      <c r="D121" s="4">
        <v>0</v>
      </c>
      <c r="E121" s="4">
        <v>1</v>
      </c>
      <c r="F121" s="4">
        <v>50</v>
      </c>
      <c r="G121" s="10">
        <f t="shared" si="29"/>
        <v>0</v>
      </c>
      <c r="H121" s="4">
        <v>0</v>
      </c>
      <c r="I121" s="5">
        <f t="shared" si="32"/>
        <v>0</v>
      </c>
      <c r="J121" s="5">
        <f t="shared" si="33"/>
        <v>0</v>
      </c>
      <c r="K121">
        <v>0</v>
      </c>
      <c r="N121" s="136">
        <v>0</v>
      </c>
    </row>
    <row r="122" spans="1:17" ht="16" thickBot="1">
      <c r="A122" s="6">
        <v>46082</v>
      </c>
      <c r="B122" s="4">
        <v>0</v>
      </c>
      <c r="C122" s="4">
        <v>0</v>
      </c>
      <c r="D122" s="4">
        <v>45</v>
      </c>
      <c r="E122" s="4">
        <v>1</v>
      </c>
      <c r="F122" s="4">
        <v>50</v>
      </c>
      <c r="G122" s="10">
        <f t="shared" si="29"/>
        <v>0</v>
      </c>
      <c r="H122" s="4">
        <v>0</v>
      </c>
      <c r="I122" s="5">
        <f t="shared" si="32"/>
        <v>0</v>
      </c>
      <c r="J122" s="5">
        <f t="shared" si="33"/>
        <v>0</v>
      </c>
      <c r="K122">
        <v>0</v>
      </c>
      <c r="N122" s="136">
        <v>0</v>
      </c>
    </row>
    <row r="123" spans="1:17" s="86" customFormat="1" ht="20" thickBot="1">
      <c r="A123" s="91" t="s">
        <v>255</v>
      </c>
      <c r="B123" s="8">
        <f>SUM(B124:B130)</f>
        <v>46</v>
      </c>
      <c r="C123" s="8">
        <f>SUM(C124:C130)</f>
        <v>127</v>
      </c>
      <c r="D123" s="126">
        <f>SUM(D124)</f>
        <v>45</v>
      </c>
      <c r="E123" s="126">
        <f>SUM(E124:E130)</f>
        <v>7</v>
      </c>
      <c r="F123" s="126">
        <f>SUM(F124:F130)</f>
        <v>350</v>
      </c>
      <c r="G123" s="123">
        <f t="shared" si="29"/>
        <v>48.116666666666667</v>
      </c>
      <c r="H123" s="8">
        <f>SUM(H124:H130)</f>
        <v>300</v>
      </c>
      <c r="I123" s="14">
        <f>SUM(I124:I130)</f>
        <v>2000</v>
      </c>
      <c r="J123" s="14">
        <f>SUM(J124:J130)</f>
        <v>1700</v>
      </c>
      <c r="K123" s="8"/>
      <c r="L123" s="9">
        <v>0</v>
      </c>
      <c r="M123" s="96">
        <f>J123</f>
        <v>1700</v>
      </c>
      <c r="N123" s="129">
        <f>SUM(N124:N130)</f>
        <v>2500</v>
      </c>
      <c r="O123" s="98">
        <f>2500-N123</f>
        <v>0</v>
      </c>
    </row>
    <row r="124" spans="1:17">
      <c r="A124" s="80" t="s">
        <v>422</v>
      </c>
      <c r="B124" s="4">
        <v>6</v>
      </c>
      <c r="C124" s="4">
        <v>43</v>
      </c>
      <c r="D124" s="4">
        <v>45</v>
      </c>
      <c r="E124" s="4">
        <v>1</v>
      </c>
      <c r="F124" s="4">
        <v>50</v>
      </c>
      <c r="G124" s="10">
        <f t="shared" si="29"/>
        <v>6.7166666666666668</v>
      </c>
      <c r="H124" s="4">
        <v>50</v>
      </c>
      <c r="I124" s="5">
        <f>G124*D124</f>
        <v>302.25</v>
      </c>
      <c r="J124" s="5">
        <f t="shared" ref="J124:J130" si="34">I124-H124</f>
        <v>252.25</v>
      </c>
      <c r="K124">
        <v>9</v>
      </c>
      <c r="N124" s="134">
        <v>161</v>
      </c>
      <c r="O124" s="51"/>
      <c r="P124" t="s">
        <v>429</v>
      </c>
    </row>
    <row r="125" spans="1:17">
      <c r="A125" s="80" t="s">
        <v>371</v>
      </c>
      <c r="B125" s="4">
        <v>7</v>
      </c>
      <c r="C125" s="4">
        <v>9</v>
      </c>
      <c r="D125" s="4">
        <v>55</v>
      </c>
      <c r="E125" s="4">
        <v>1</v>
      </c>
      <c r="F125" s="4">
        <v>50</v>
      </c>
      <c r="G125" s="10">
        <f t="shared" si="29"/>
        <v>7.15</v>
      </c>
      <c r="H125" s="4">
        <v>50</v>
      </c>
      <c r="I125" s="5">
        <f>G125*D125</f>
        <v>393.25</v>
      </c>
      <c r="J125" s="5">
        <f t="shared" si="34"/>
        <v>343.25</v>
      </c>
      <c r="K125">
        <v>7</v>
      </c>
      <c r="N125" s="83"/>
    </row>
    <row r="126" spans="1:17">
      <c r="A126" s="80" t="s">
        <v>372</v>
      </c>
      <c r="B126" s="4">
        <v>7</v>
      </c>
      <c r="C126" s="4">
        <v>33</v>
      </c>
      <c r="D126" s="4">
        <v>45</v>
      </c>
      <c r="E126" s="4">
        <v>1</v>
      </c>
      <c r="F126" s="4">
        <v>50</v>
      </c>
      <c r="G126" s="10">
        <f t="shared" si="29"/>
        <v>7.55</v>
      </c>
      <c r="H126" s="4">
        <v>50</v>
      </c>
      <c r="I126" s="5">
        <v>0</v>
      </c>
      <c r="J126" s="5">
        <f t="shared" si="34"/>
        <v>-50</v>
      </c>
      <c r="K126">
        <v>18</v>
      </c>
      <c r="N126" s="83">
        <v>0</v>
      </c>
      <c r="Q126" t="s">
        <v>64</v>
      </c>
    </row>
    <row r="127" spans="1:17">
      <c r="A127" s="80" t="s">
        <v>363</v>
      </c>
      <c r="B127" s="4">
        <v>6</v>
      </c>
      <c r="C127" s="4">
        <v>12</v>
      </c>
      <c r="D127" s="4">
        <v>45</v>
      </c>
      <c r="E127" s="4">
        <v>1</v>
      </c>
      <c r="F127" s="4">
        <v>50</v>
      </c>
      <c r="G127" s="10">
        <f t="shared" si="29"/>
        <v>6.2</v>
      </c>
      <c r="H127" s="4">
        <v>50</v>
      </c>
      <c r="I127" s="5">
        <f>G127*D127</f>
        <v>279</v>
      </c>
      <c r="J127" s="5">
        <f t="shared" si="34"/>
        <v>229</v>
      </c>
      <c r="K127">
        <v>19</v>
      </c>
      <c r="N127" s="83">
        <v>150</v>
      </c>
      <c r="P127" t="s">
        <v>430</v>
      </c>
    </row>
    <row r="128" spans="1:17">
      <c r="A128" s="80" t="s">
        <v>365</v>
      </c>
      <c r="B128" s="4">
        <v>10</v>
      </c>
      <c r="C128" s="4">
        <v>18</v>
      </c>
      <c r="D128" s="4">
        <v>55</v>
      </c>
      <c r="E128" s="4">
        <v>1</v>
      </c>
      <c r="F128" s="4">
        <v>50</v>
      </c>
      <c r="G128" s="10">
        <f t="shared" si="29"/>
        <v>10.3</v>
      </c>
      <c r="H128" s="4">
        <v>50</v>
      </c>
      <c r="I128" s="5">
        <f>G128*D128</f>
        <v>566.5</v>
      </c>
      <c r="J128" s="5">
        <f t="shared" si="34"/>
        <v>516.5</v>
      </c>
      <c r="K128">
        <v>28</v>
      </c>
      <c r="N128" s="119">
        <v>100</v>
      </c>
    </row>
    <row r="129" spans="1:17">
      <c r="A129" s="80" t="s">
        <v>431</v>
      </c>
      <c r="B129" s="4">
        <v>10</v>
      </c>
      <c r="C129" s="4">
        <v>12</v>
      </c>
      <c r="D129" s="4">
        <v>45</v>
      </c>
      <c r="E129" s="4">
        <v>1</v>
      </c>
      <c r="F129" s="4">
        <v>50</v>
      </c>
      <c r="G129" s="10">
        <f t="shared" si="29"/>
        <v>10.199999999999999</v>
      </c>
      <c r="H129" s="4">
        <v>50</v>
      </c>
      <c r="I129" s="5">
        <f>G129*D129</f>
        <v>458.99999999999994</v>
      </c>
      <c r="J129" s="5">
        <f t="shared" si="34"/>
        <v>408.99999999999994</v>
      </c>
      <c r="K129">
        <v>22</v>
      </c>
      <c r="N129" s="119">
        <f>180</f>
        <v>180</v>
      </c>
      <c r="P129" t="s">
        <v>432</v>
      </c>
    </row>
    <row r="130" spans="1:17" ht="16" thickBot="1">
      <c r="A130" s="80" t="s">
        <v>433</v>
      </c>
      <c r="B130" s="4">
        <v>0</v>
      </c>
      <c r="C130" s="4">
        <v>0</v>
      </c>
      <c r="D130" s="4">
        <v>45</v>
      </c>
      <c r="E130" s="4">
        <v>1</v>
      </c>
      <c r="F130" s="4">
        <v>50</v>
      </c>
      <c r="G130" s="10">
        <f t="shared" si="29"/>
        <v>0</v>
      </c>
      <c r="H130" s="4">
        <v>0</v>
      </c>
      <c r="I130" s="5">
        <f>G130*D130</f>
        <v>0</v>
      </c>
      <c r="J130" s="5">
        <f t="shared" si="34"/>
        <v>0</v>
      </c>
      <c r="K130">
        <v>0</v>
      </c>
      <c r="N130" s="119">
        <v>1909</v>
      </c>
    </row>
    <row r="131" spans="1:17" s="86" customFormat="1" ht="20" thickBot="1">
      <c r="A131" s="91" t="s">
        <v>334</v>
      </c>
      <c r="B131" s="8">
        <f>SUM(B132:B138)</f>
        <v>58</v>
      </c>
      <c r="C131" s="8">
        <f>SUM(C132:C138)</f>
        <v>143</v>
      </c>
      <c r="D131" s="8">
        <f>SUM(D132)</f>
        <v>45</v>
      </c>
      <c r="E131" s="8">
        <f>SUM(E132:E138)</f>
        <v>7</v>
      </c>
      <c r="F131" s="8">
        <f>SUM(F132:F138)</f>
        <v>350</v>
      </c>
      <c r="G131" s="93">
        <f t="shared" si="29"/>
        <v>60.383333333333333</v>
      </c>
      <c r="H131" s="8">
        <f>SUM(H132:H138)</f>
        <v>300</v>
      </c>
      <c r="I131" s="9">
        <f>SUM(I132:I138)</f>
        <v>2717.25</v>
      </c>
      <c r="J131" s="14">
        <f>SUM(J132:J138)</f>
        <v>2417.25</v>
      </c>
      <c r="K131" s="8">
        <f>SUM(K132:K139)</f>
        <v>252</v>
      </c>
      <c r="L131" s="9">
        <v>0</v>
      </c>
      <c r="M131" s="96">
        <f>J131</f>
        <v>2417.25</v>
      </c>
      <c r="N131" s="102">
        <f>SUM(N132:N138)</f>
        <v>3727</v>
      </c>
      <c r="O131" s="98">
        <f>3724-N131</f>
        <v>-3</v>
      </c>
    </row>
    <row r="132" spans="1:17">
      <c r="A132" s="6">
        <v>46076</v>
      </c>
      <c r="B132" s="4">
        <v>10</v>
      </c>
      <c r="C132" s="4">
        <v>7</v>
      </c>
      <c r="D132" s="4">
        <v>45</v>
      </c>
      <c r="E132" s="4">
        <v>1</v>
      </c>
      <c r="F132" s="4">
        <v>50</v>
      </c>
      <c r="G132" s="10">
        <f t="shared" si="29"/>
        <v>10.116666666666667</v>
      </c>
      <c r="H132" s="4">
        <v>50</v>
      </c>
      <c r="I132" s="5">
        <f t="shared" ref="I132:I138" si="35">G132*D132</f>
        <v>455.25</v>
      </c>
      <c r="J132" s="5">
        <f t="shared" ref="J132:J138" si="36">I132-H132</f>
        <v>405.25</v>
      </c>
      <c r="K132">
        <v>19</v>
      </c>
      <c r="N132" s="119">
        <f>250+160</f>
        <v>410</v>
      </c>
      <c r="O132" s="51"/>
    </row>
    <row r="133" spans="1:17">
      <c r="A133" s="6">
        <v>46077</v>
      </c>
      <c r="B133" s="4">
        <v>0</v>
      </c>
      <c r="C133" s="4">
        <v>0</v>
      </c>
      <c r="D133" s="4">
        <v>45</v>
      </c>
      <c r="E133" s="4">
        <v>1</v>
      </c>
      <c r="F133" s="4">
        <v>50</v>
      </c>
      <c r="G133" s="10">
        <f t="shared" si="29"/>
        <v>0</v>
      </c>
      <c r="H133" s="4">
        <v>0</v>
      </c>
      <c r="I133" s="5">
        <f t="shared" si="35"/>
        <v>0</v>
      </c>
      <c r="J133" s="5">
        <f t="shared" si="36"/>
        <v>0</v>
      </c>
      <c r="K133">
        <v>24</v>
      </c>
      <c r="N133" s="83">
        <f>200+100</f>
        <v>300</v>
      </c>
      <c r="P133" t="s">
        <v>434</v>
      </c>
    </row>
    <row r="134" spans="1:17">
      <c r="A134" s="6">
        <v>46078</v>
      </c>
      <c r="B134" s="4">
        <v>10</v>
      </c>
      <c r="C134" s="4">
        <v>13</v>
      </c>
      <c r="D134" s="4">
        <v>45</v>
      </c>
      <c r="E134" s="4">
        <v>1</v>
      </c>
      <c r="F134" s="4">
        <v>50</v>
      </c>
      <c r="G134" s="10">
        <f t="shared" si="29"/>
        <v>10.216666666666667</v>
      </c>
      <c r="H134" s="4">
        <v>50</v>
      </c>
      <c r="I134" s="5">
        <f t="shared" si="35"/>
        <v>459.75</v>
      </c>
      <c r="J134" s="5">
        <f t="shared" si="36"/>
        <v>409.75</v>
      </c>
      <c r="K134">
        <v>13</v>
      </c>
      <c r="N134" s="137">
        <f>330</f>
        <v>330</v>
      </c>
      <c r="Q134" t="s">
        <v>64</v>
      </c>
    </row>
    <row r="135" spans="1:17">
      <c r="A135" s="6">
        <v>46079</v>
      </c>
      <c r="B135" s="4">
        <v>10</v>
      </c>
      <c r="C135" s="4">
        <v>30</v>
      </c>
      <c r="D135" s="4">
        <v>45</v>
      </c>
      <c r="E135" s="4">
        <v>1</v>
      </c>
      <c r="F135" s="4">
        <v>50</v>
      </c>
      <c r="G135" s="10">
        <f t="shared" si="29"/>
        <v>10.5</v>
      </c>
      <c r="H135" s="4">
        <v>50</v>
      </c>
      <c r="I135" s="5">
        <f t="shared" si="35"/>
        <v>472.5</v>
      </c>
      <c r="J135" s="5">
        <f t="shared" si="36"/>
        <v>422.5</v>
      </c>
      <c r="K135">
        <v>20</v>
      </c>
      <c r="N135" s="119">
        <v>280</v>
      </c>
    </row>
    <row r="136" spans="1:17">
      <c r="A136" s="6">
        <v>46080</v>
      </c>
      <c r="B136" s="4">
        <v>9</v>
      </c>
      <c r="C136" s="4">
        <v>29</v>
      </c>
      <c r="D136" s="4">
        <v>45</v>
      </c>
      <c r="E136" s="4">
        <v>1</v>
      </c>
      <c r="F136" s="4">
        <v>50</v>
      </c>
      <c r="G136" s="10">
        <f t="shared" si="29"/>
        <v>9.4833333333333325</v>
      </c>
      <c r="H136" s="4">
        <v>50</v>
      </c>
      <c r="I136" s="5">
        <f t="shared" si="35"/>
        <v>426.74999999999994</v>
      </c>
      <c r="J136" s="5">
        <f t="shared" si="36"/>
        <v>376.74999999999994</v>
      </c>
      <c r="K136">
        <v>17</v>
      </c>
      <c r="N136" s="119">
        <v>567</v>
      </c>
    </row>
    <row r="137" spans="1:17">
      <c r="A137" s="6">
        <v>46081</v>
      </c>
      <c r="B137" s="4">
        <v>9</v>
      </c>
      <c r="C137" s="4">
        <v>43</v>
      </c>
      <c r="D137" s="4">
        <v>45</v>
      </c>
      <c r="E137" s="4">
        <v>1</v>
      </c>
      <c r="F137" s="4">
        <v>50</v>
      </c>
      <c r="G137" s="10">
        <f t="shared" si="29"/>
        <v>9.7166666666666668</v>
      </c>
      <c r="H137" s="4">
        <v>50</v>
      </c>
      <c r="I137" s="5">
        <f t="shared" si="35"/>
        <v>437.25</v>
      </c>
      <c r="J137" s="5">
        <f t="shared" si="36"/>
        <v>387.25</v>
      </c>
      <c r="K137">
        <v>17</v>
      </c>
      <c r="N137" s="82">
        <v>450</v>
      </c>
    </row>
    <row r="138" spans="1:17" ht="16" thickBot="1">
      <c r="A138" s="6">
        <v>46082</v>
      </c>
      <c r="B138" s="4">
        <v>10</v>
      </c>
      <c r="C138" s="4">
        <v>21</v>
      </c>
      <c r="D138" s="4">
        <v>45</v>
      </c>
      <c r="E138" s="4">
        <v>1</v>
      </c>
      <c r="F138" s="4">
        <v>50</v>
      </c>
      <c r="G138" s="10">
        <f t="shared" si="29"/>
        <v>10.35</v>
      </c>
      <c r="H138" s="4">
        <v>50</v>
      </c>
      <c r="I138" s="5">
        <f t="shared" si="35"/>
        <v>465.75</v>
      </c>
      <c r="J138" s="5">
        <f t="shared" si="36"/>
        <v>415.75</v>
      </c>
      <c r="K138">
        <v>23</v>
      </c>
      <c r="N138" s="119">
        <v>1390</v>
      </c>
    </row>
    <row r="139" spans="1:17" ht="20" thickBot="1">
      <c r="A139" s="72" t="s">
        <v>337</v>
      </c>
      <c r="B139" s="44">
        <f>SUM(B140:B146)</f>
        <v>60</v>
      </c>
      <c r="C139" s="44">
        <f>SUM(C140:C146)</f>
        <v>229</v>
      </c>
      <c r="D139" s="117">
        <f>SUM(D140)</f>
        <v>45</v>
      </c>
      <c r="E139" s="117">
        <f>SUM(E140:E146)</f>
        <v>7</v>
      </c>
      <c r="F139" s="117">
        <f>SUM(F140:F146)</f>
        <v>350</v>
      </c>
      <c r="G139" s="120">
        <f t="shared" si="29"/>
        <v>63.81666666666667</v>
      </c>
      <c r="H139" s="44">
        <f>SUM(H140:H146)</f>
        <v>300</v>
      </c>
      <c r="I139" s="46">
        <f>SUM(I140:I146)</f>
        <v>2871.75</v>
      </c>
      <c r="J139" s="47">
        <f>SUM(J140:J146)</f>
        <v>2571.75</v>
      </c>
      <c r="K139" s="44">
        <f>SUM(K140:K146)</f>
        <v>119</v>
      </c>
      <c r="L139" s="46">
        <v>0</v>
      </c>
      <c r="M139" s="69">
        <f>J139</f>
        <v>2571.75</v>
      </c>
      <c r="N139" s="63">
        <f>SUM(N140:N146)</f>
        <v>3824</v>
      </c>
      <c r="O139" s="90">
        <f>3804-N139</f>
        <v>-20</v>
      </c>
      <c r="P139" s="54"/>
      <c r="Q139" s="54"/>
    </row>
    <row r="140" spans="1:17">
      <c r="A140" s="6">
        <v>46076</v>
      </c>
      <c r="B140" s="7">
        <v>10</v>
      </c>
      <c r="C140" s="7">
        <v>56</v>
      </c>
      <c r="D140" s="4">
        <v>45</v>
      </c>
      <c r="E140" s="4">
        <v>1</v>
      </c>
      <c r="F140" s="4">
        <v>50</v>
      </c>
      <c r="G140" s="10">
        <f t="shared" si="29"/>
        <v>10.933333333333334</v>
      </c>
      <c r="H140" s="4">
        <v>50</v>
      </c>
      <c r="I140" s="5">
        <f t="shared" ref="I140:I146" si="37">G140*D140</f>
        <v>492</v>
      </c>
      <c r="J140" s="5">
        <f t="shared" ref="J140:J146" si="38">I140-H140</f>
        <v>442</v>
      </c>
      <c r="K140">
        <v>24</v>
      </c>
      <c r="N140" s="119"/>
      <c r="O140" s="51"/>
      <c r="P140" t="s">
        <v>435</v>
      </c>
    </row>
    <row r="141" spans="1:17">
      <c r="A141" s="6">
        <v>46077</v>
      </c>
      <c r="B141" s="4">
        <v>10</v>
      </c>
      <c r="C141" s="4">
        <v>45</v>
      </c>
      <c r="D141" s="4">
        <v>45</v>
      </c>
      <c r="E141" s="4">
        <v>1</v>
      </c>
      <c r="F141" s="4">
        <v>50</v>
      </c>
      <c r="G141" s="10">
        <f t="shared" si="29"/>
        <v>10.75</v>
      </c>
      <c r="H141" s="4">
        <v>50</v>
      </c>
      <c r="I141" s="5">
        <f t="shared" si="37"/>
        <v>483.75</v>
      </c>
      <c r="J141" s="5">
        <f>I141-H141</f>
        <v>433.75</v>
      </c>
      <c r="K141">
        <v>23</v>
      </c>
      <c r="N141" s="119"/>
      <c r="P141" t="s">
        <v>436</v>
      </c>
    </row>
    <row r="142" spans="1:17">
      <c r="A142" s="6">
        <v>46078</v>
      </c>
      <c r="B142" s="4">
        <v>11</v>
      </c>
      <c r="C142" s="4">
        <v>4</v>
      </c>
      <c r="D142" s="4">
        <v>45</v>
      </c>
      <c r="E142" s="4">
        <v>1</v>
      </c>
      <c r="F142" s="4">
        <v>50</v>
      </c>
      <c r="G142" s="10">
        <f t="shared" si="29"/>
        <v>11.066666666666666</v>
      </c>
      <c r="H142" s="4">
        <v>50</v>
      </c>
      <c r="I142" s="5">
        <f t="shared" si="37"/>
        <v>498</v>
      </c>
      <c r="J142" s="5">
        <f>I142-H142</f>
        <v>448</v>
      </c>
      <c r="K142">
        <v>20</v>
      </c>
      <c r="N142" s="119">
        <v>200</v>
      </c>
      <c r="P142" t="s">
        <v>437</v>
      </c>
      <c r="Q142" t="s">
        <v>64</v>
      </c>
    </row>
    <row r="143" spans="1:17">
      <c r="A143" s="6">
        <v>46079</v>
      </c>
      <c r="B143" s="4">
        <v>9</v>
      </c>
      <c r="C143" s="4">
        <v>49</v>
      </c>
      <c r="D143" s="4">
        <v>45</v>
      </c>
      <c r="E143" s="4">
        <v>1</v>
      </c>
      <c r="F143" s="4">
        <v>50</v>
      </c>
      <c r="G143" s="10">
        <f t="shared" si="29"/>
        <v>9.8166666666666664</v>
      </c>
      <c r="H143" s="4">
        <v>50</v>
      </c>
      <c r="I143" s="5">
        <f t="shared" si="37"/>
        <v>441.75</v>
      </c>
      <c r="J143" s="5">
        <f>I143-H143</f>
        <v>391.75</v>
      </c>
      <c r="K143">
        <v>18</v>
      </c>
      <c r="N143" s="119">
        <v>0</v>
      </c>
    </row>
    <row r="144" spans="1:17">
      <c r="A144" s="6">
        <v>46080</v>
      </c>
      <c r="B144" s="4">
        <v>10</v>
      </c>
      <c r="C144" s="4">
        <v>41</v>
      </c>
      <c r="D144" s="4">
        <v>45</v>
      </c>
      <c r="E144" s="4">
        <v>1</v>
      </c>
      <c r="F144" s="4">
        <v>50</v>
      </c>
      <c r="G144" s="10">
        <f t="shared" si="29"/>
        <v>10.683333333333334</v>
      </c>
      <c r="H144" s="4">
        <v>50</v>
      </c>
      <c r="I144" s="5">
        <f t="shared" si="37"/>
        <v>480.75</v>
      </c>
      <c r="J144" s="5">
        <f>I144-H144</f>
        <v>430.75</v>
      </c>
      <c r="K144">
        <v>17</v>
      </c>
      <c r="N144" s="119">
        <f>150+1380</f>
        <v>1530</v>
      </c>
      <c r="P144" t="s">
        <v>137</v>
      </c>
    </row>
    <row r="145" spans="1:26">
      <c r="A145" s="6">
        <v>46081</v>
      </c>
      <c r="B145" s="4">
        <v>10</v>
      </c>
      <c r="C145" s="4">
        <v>34</v>
      </c>
      <c r="D145" s="4">
        <v>45</v>
      </c>
      <c r="E145" s="4">
        <v>1</v>
      </c>
      <c r="F145" s="4">
        <v>50</v>
      </c>
      <c r="G145" s="10">
        <f t="shared" si="29"/>
        <v>10.566666666666666</v>
      </c>
      <c r="H145" s="4">
        <v>50</v>
      </c>
      <c r="I145" s="5">
        <f t="shared" si="37"/>
        <v>475.5</v>
      </c>
      <c r="J145" s="5">
        <f>I145-H145</f>
        <v>425.5</v>
      </c>
      <c r="K145">
        <v>17</v>
      </c>
      <c r="N145" s="119">
        <v>1450</v>
      </c>
    </row>
    <row r="146" spans="1:26" ht="16" thickBot="1">
      <c r="A146" s="6">
        <v>46082</v>
      </c>
      <c r="B146" s="4">
        <v>0</v>
      </c>
      <c r="C146" s="4">
        <v>0</v>
      </c>
      <c r="D146" s="4">
        <v>45</v>
      </c>
      <c r="E146" s="4">
        <v>1</v>
      </c>
      <c r="F146" s="4">
        <v>50</v>
      </c>
      <c r="G146" s="10">
        <f t="shared" si="29"/>
        <v>0</v>
      </c>
      <c r="H146" s="4">
        <v>0</v>
      </c>
      <c r="I146" s="5">
        <f t="shared" si="37"/>
        <v>0</v>
      </c>
      <c r="J146" s="5">
        <f t="shared" si="38"/>
        <v>0</v>
      </c>
      <c r="K146">
        <v>0</v>
      </c>
      <c r="N146" s="119">
        <f>467+100+77</f>
        <v>644</v>
      </c>
      <c r="P146" t="s">
        <v>51</v>
      </c>
    </row>
    <row r="147" spans="1:26" s="54" customFormat="1" ht="20" thickBot="1">
      <c r="A147" s="72" t="s">
        <v>346</v>
      </c>
      <c r="B147" s="44">
        <f>SUM(B148:B154)</f>
        <v>61</v>
      </c>
      <c r="C147" s="44">
        <f>SUM(C148:C154)</f>
        <v>123</v>
      </c>
      <c r="D147" s="44">
        <f>SUM(D148)</f>
        <v>45</v>
      </c>
      <c r="E147" s="44">
        <f>SUM(E148:E154)</f>
        <v>7</v>
      </c>
      <c r="F147" s="44">
        <f>SUM(F148:F154)</f>
        <v>350</v>
      </c>
      <c r="G147" s="67">
        <f t="shared" si="29"/>
        <v>63.05</v>
      </c>
      <c r="H147" s="44">
        <f>SUM(H148:H154)</f>
        <v>300</v>
      </c>
      <c r="I147" s="46">
        <f>SUM(I148:I154)</f>
        <v>2837.25</v>
      </c>
      <c r="J147" s="47">
        <f>SUM(J148:J154)</f>
        <v>2537.25</v>
      </c>
      <c r="K147" s="44">
        <f>SUM(K148:K154)</f>
        <v>94</v>
      </c>
      <c r="L147" s="46">
        <v>0</v>
      </c>
      <c r="M147" s="69">
        <f>J147</f>
        <v>2537.25</v>
      </c>
      <c r="N147" s="63">
        <f>SUM(N148:N154)</f>
        <v>2340</v>
      </c>
      <c r="O147" s="90">
        <f>2382-N147</f>
        <v>42</v>
      </c>
    </row>
    <row r="148" spans="1:26">
      <c r="A148" s="6">
        <v>46076</v>
      </c>
      <c r="B148" s="4">
        <v>11</v>
      </c>
      <c r="C148" s="4">
        <v>11</v>
      </c>
      <c r="D148" s="4">
        <v>45</v>
      </c>
      <c r="E148" s="4">
        <v>1</v>
      </c>
      <c r="F148" s="4">
        <v>50</v>
      </c>
      <c r="G148" s="10">
        <f t="shared" si="29"/>
        <v>11.183333333333334</v>
      </c>
      <c r="H148" s="4">
        <v>50</v>
      </c>
      <c r="I148" s="5">
        <f t="shared" ref="I148:I153" si="39">G148*D148</f>
        <v>503.25</v>
      </c>
      <c r="J148" s="5">
        <f t="shared" ref="J148:J151" si="40">I148-H148</f>
        <v>453.25</v>
      </c>
      <c r="K148">
        <v>21</v>
      </c>
      <c r="N148" s="119">
        <v>0</v>
      </c>
      <c r="O148" s="51"/>
      <c r="P148" t="s">
        <v>438</v>
      </c>
    </row>
    <row r="149" spans="1:26">
      <c r="A149" s="6">
        <v>46077</v>
      </c>
      <c r="B149" s="4">
        <v>9</v>
      </c>
      <c r="C149" s="4">
        <v>30</v>
      </c>
      <c r="D149" s="4">
        <v>45</v>
      </c>
      <c r="E149" s="4">
        <v>1</v>
      </c>
      <c r="F149" s="4">
        <v>50</v>
      </c>
      <c r="G149" s="10">
        <f>B149+C149/60</f>
        <v>9.5</v>
      </c>
      <c r="H149" s="4">
        <v>50</v>
      </c>
      <c r="I149" s="5">
        <f t="shared" si="39"/>
        <v>427.5</v>
      </c>
      <c r="J149" s="5">
        <f t="shared" si="40"/>
        <v>377.5</v>
      </c>
      <c r="K149">
        <v>8</v>
      </c>
      <c r="N149" s="136">
        <v>0</v>
      </c>
      <c r="P149" t="s">
        <v>439</v>
      </c>
    </row>
    <row r="150" spans="1:26">
      <c r="A150" s="6">
        <v>46078</v>
      </c>
      <c r="B150" s="4">
        <v>10</v>
      </c>
      <c r="C150" s="4">
        <v>49</v>
      </c>
      <c r="D150" s="4">
        <v>45</v>
      </c>
      <c r="E150" s="4">
        <v>1</v>
      </c>
      <c r="F150" s="4">
        <v>50</v>
      </c>
      <c r="G150" s="10">
        <f>B150+C150/60</f>
        <v>10.816666666666666</v>
      </c>
      <c r="H150" s="4">
        <v>50</v>
      </c>
      <c r="I150" s="5">
        <f t="shared" si="39"/>
        <v>486.75</v>
      </c>
      <c r="J150" s="5">
        <f t="shared" si="40"/>
        <v>436.75</v>
      </c>
      <c r="K150">
        <v>11</v>
      </c>
      <c r="N150" s="136">
        <f>270+160</f>
        <v>430</v>
      </c>
      <c r="P150" t="s">
        <v>440</v>
      </c>
      <c r="Q150" t="s">
        <v>64</v>
      </c>
    </row>
    <row r="151" spans="1:26">
      <c r="A151" s="6">
        <v>46079</v>
      </c>
      <c r="B151" s="4">
        <v>10</v>
      </c>
      <c r="C151" s="4">
        <v>18</v>
      </c>
      <c r="D151" s="4">
        <v>45</v>
      </c>
      <c r="E151" s="4">
        <v>1</v>
      </c>
      <c r="F151" s="4">
        <v>50</v>
      </c>
      <c r="G151" s="10">
        <f>B151+C151/60</f>
        <v>10.3</v>
      </c>
      <c r="H151" s="4">
        <v>50</v>
      </c>
      <c r="I151" s="5">
        <f t="shared" si="39"/>
        <v>463.50000000000006</v>
      </c>
      <c r="J151" s="5">
        <f t="shared" si="40"/>
        <v>413.50000000000006</v>
      </c>
      <c r="K151">
        <v>9</v>
      </c>
      <c r="N151" s="119">
        <v>150</v>
      </c>
      <c r="P151" t="s">
        <v>53</v>
      </c>
    </row>
    <row r="152" spans="1:26">
      <c r="A152" s="6">
        <v>46080</v>
      </c>
      <c r="B152" s="4">
        <v>10</v>
      </c>
      <c r="C152" s="4">
        <v>6</v>
      </c>
      <c r="D152" s="4">
        <v>45</v>
      </c>
      <c r="E152" s="4">
        <v>1</v>
      </c>
      <c r="F152" s="4">
        <v>50</v>
      </c>
      <c r="G152" s="10">
        <f>B152+C152/60</f>
        <v>10.1</v>
      </c>
      <c r="H152" s="4">
        <v>50</v>
      </c>
      <c r="I152" s="5">
        <f t="shared" si="39"/>
        <v>454.5</v>
      </c>
      <c r="J152" s="5">
        <f>I152-H152</f>
        <v>404.5</v>
      </c>
      <c r="K152">
        <v>25</v>
      </c>
      <c r="N152" s="119">
        <v>750</v>
      </c>
      <c r="P152" t="s">
        <v>51</v>
      </c>
    </row>
    <row r="153" spans="1:26">
      <c r="A153" s="6">
        <v>46081</v>
      </c>
      <c r="B153" s="4">
        <v>11</v>
      </c>
      <c r="C153" s="4">
        <v>9</v>
      </c>
      <c r="D153" s="4">
        <v>45</v>
      </c>
      <c r="E153" s="4">
        <v>1</v>
      </c>
      <c r="F153" s="4">
        <v>50</v>
      </c>
      <c r="G153" s="10">
        <f>B153+C153/60</f>
        <v>11.15</v>
      </c>
      <c r="H153" s="4">
        <v>50</v>
      </c>
      <c r="I153" s="5">
        <f t="shared" si="39"/>
        <v>501.75</v>
      </c>
      <c r="J153" s="5">
        <f>I153-H153</f>
        <v>451.75</v>
      </c>
      <c r="K153">
        <v>20</v>
      </c>
      <c r="N153" s="119">
        <v>100</v>
      </c>
      <c r="P153" t="s">
        <v>228</v>
      </c>
    </row>
    <row r="154" spans="1:26" ht="16" thickBot="1">
      <c r="A154" s="6">
        <v>46082</v>
      </c>
      <c r="B154" s="4">
        <v>0</v>
      </c>
      <c r="C154" s="4">
        <v>0</v>
      </c>
      <c r="D154" s="4">
        <v>45</v>
      </c>
      <c r="E154" s="4">
        <v>1</v>
      </c>
      <c r="F154" s="4">
        <v>50</v>
      </c>
      <c r="G154" s="10">
        <v>0</v>
      </c>
      <c r="H154" s="4">
        <v>0</v>
      </c>
      <c r="I154" s="5">
        <v>0</v>
      </c>
      <c r="J154" s="5">
        <f>I154-H154</f>
        <v>0</v>
      </c>
      <c r="K154">
        <v>0</v>
      </c>
      <c r="N154" s="119">
        <v>910</v>
      </c>
    </row>
    <row r="155" spans="1:26" ht="20" thickBot="1">
      <c r="A155" s="72" t="s">
        <v>351</v>
      </c>
      <c r="B155" s="44">
        <f>SUM(B156:B162)</f>
        <v>39</v>
      </c>
      <c r="C155" s="44">
        <f>SUM(C156:C162)</f>
        <v>227</v>
      </c>
      <c r="D155" s="44">
        <f>SUM(D156)</f>
        <v>45</v>
      </c>
      <c r="E155" s="44">
        <f>SUM(E156:E162)</f>
        <v>7</v>
      </c>
      <c r="F155" s="44">
        <f>SUM(F156:F162)</f>
        <v>350</v>
      </c>
      <c r="G155" s="67">
        <f t="shared" ref="G155:G194" si="41">B155+C155/60</f>
        <v>42.783333333333331</v>
      </c>
      <c r="H155" s="44">
        <f>SUM(H156:H162)</f>
        <v>1809.8000000000002</v>
      </c>
      <c r="I155" s="46">
        <f>SUM(I156:I162)</f>
        <v>1925.25</v>
      </c>
      <c r="J155" s="47">
        <f>SUM(J156:J162)</f>
        <v>115.45000000000005</v>
      </c>
      <c r="K155" s="44">
        <f>SUM(K156:K162)</f>
        <v>108</v>
      </c>
      <c r="L155" s="46">
        <v>0</v>
      </c>
      <c r="M155" s="69">
        <f>J155</f>
        <v>115.45000000000005</v>
      </c>
      <c r="N155" s="63">
        <f>SUM(N156:N162)</f>
        <v>1934</v>
      </c>
      <c r="O155" s="90">
        <f>2972-N155</f>
        <v>1038</v>
      </c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>
      <c r="A156" s="80" t="s">
        <v>359</v>
      </c>
      <c r="B156" s="4">
        <v>6</v>
      </c>
      <c r="C156" s="4">
        <v>41</v>
      </c>
      <c r="D156" s="4">
        <v>45</v>
      </c>
      <c r="E156" s="4">
        <v>1</v>
      </c>
      <c r="F156" s="4">
        <v>50</v>
      </c>
      <c r="G156" s="10">
        <f t="shared" si="41"/>
        <v>6.6833333333333336</v>
      </c>
      <c r="H156" s="4">
        <v>50</v>
      </c>
      <c r="I156" s="5">
        <f t="shared" ref="I156:I162" si="42">G156*D156</f>
        <v>300.75</v>
      </c>
      <c r="J156" s="5">
        <f t="shared" ref="J156:J157" si="43">I156-H156</f>
        <v>250.75</v>
      </c>
      <c r="K156">
        <v>6</v>
      </c>
      <c r="N156" s="119">
        <v>0</v>
      </c>
      <c r="O156" s="51"/>
    </row>
    <row r="157" spans="1:26">
      <c r="A157" s="80" t="s">
        <v>371</v>
      </c>
      <c r="B157" s="4">
        <v>5</v>
      </c>
      <c r="C157" s="4">
        <v>22</v>
      </c>
      <c r="D157" s="4">
        <v>45</v>
      </c>
      <c r="E157" s="4">
        <v>1</v>
      </c>
      <c r="F157" s="4">
        <v>50</v>
      </c>
      <c r="G157" s="10">
        <f t="shared" si="41"/>
        <v>5.3666666666666663</v>
      </c>
      <c r="H157" s="4">
        <v>50</v>
      </c>
      <c r="I157" s="5">
        <f t="shared" si="42"/>
        <v>241.49999999999997</v>
      </c>
      <c r="J157" s="5">
        <f t="shared" si="43"/>
        <v>191.49999999999997</v>
      </c>
      <c r="K157">
        <v>11</v>
      </c>
      <c r="N157" s="119">
        <v>0</v>
      </c>
    </row>
    <row r="158" spans="1:26">
      <c r="A158" s="80" t="s">
        <v>441</v>
      </c>
      <c r="B158" s="4">
        <v>4</v>
      </c>
      <c r="C158" s="4">
        <v>41</v>
      </c>
      <c r="D158" s="4">
        <v>45</v>
      </c>
      <c r="E158" s="4">
        <v>1</v>
      </c>
      <c r="F158" s="4">
        <v>50</v>
      </c>
      <c r="G158" s="10">
        <f t="shared" si="41"/>
        <v>4.6833333333333336</v>
      </c>
      <c r="H158" s="4">
        <f>50+407.7</f>
        <v>457.7</v>
      </c>
      <c r="I158" s="5">
        <f t="shared" si="42"/>
        <v>210.75</v>
      </c>
      <c r="J158" s="138">
        <f>I158-H158</f>
        <v>-246.95</v>
      </c>
      <c r="K158">
        <v>12</v>
      </c>
      <c r="N158" s="119">
        <v>100</v>
      </c>
      <c r="P158" t="s">
        <v>442</v>
      </c>
      <c r="Q158" t="s">
        <v>64</v>
      </c>
    </row>
    <row r="159" spans="1:26">
      <c r="A159" s="80" t="s">
        <v>443</v>
      </c>
      <c r="B159" s="4">
        <v>4</v>
      </c>
      <c r="C159" s="4">
        <v>10</v>
      </c>
      <c r="D159" s="4">
        <v>45</v>
      </c>
      <c r="E159" s="4">
        <v>1</v>
      </c>
      <c r="F159" s="4">
        <v>50</v>
      </c>
      <c r="G159" s="10">
        <f t="shared" si="41"/>
        <v>4.166666666666667</v>
      </c>
      <c r="H159" s="4">
        <f>50+301.2</f>
        <v>351.2</v>
      </c>
      <c r="I159" s="5">
        <f t="shared" si="42"/>
        <v>187.5</v>
      </c>
      <c r="J159" s="138">
        <f>I159-H159</f>
        <v>-163.69999999999999</v>
      </c>
      <c r="K159">
        <v>21</v>
      </c>
      <c r="N159" s="119">
        <v>200</v>
      </c>
    </row>
    <row r="160" spans="1:26">
      <c r="A160" s="80" t="s">
        <v>444</v>
      </c>
      <c r="B160" s="4">
        <v>9</v>
      </c>
      <c r="C160" s="4">
        <v>39</v>
      </c>
      <c r="D160" s="4">
        <v>45</v>
      </c>
      <c r="E160" s="4">
        <v>1</v>
      </c>
      <c r="F160" s="4">
        <v>50</v>
      </c>
      <c r="G160" s="10">
        <f t="shared" si="41"/>
        <v>9.65</v>
      </c>
      <c r="H160" s="4">
        <f>50+119.4</f>
        <v>169.4</v>
      </c>
      <c r="I160" s="5">
        <f t="shared" si="42"/>
        <v>434.25</v>
      </c>
      <c r="J160" s="138">
        <f>I160-H160</f>
        <v>264.85000000000002</v>
      </c>
      <c r="K160">
        <v>25</v>
      </c>
      <c r="N160" s="119">
        <v>150</v>
      </c>
      <c r="P160" t="s">
        <v>445</v>
      </c>
    </row>
    <row r="161" spans="1:17">
      <c r="A161" s="80" t="s">
        <v>446</v>
      </c>
      <c r="B161" s="4">
        <v>8</v>
      </c>
      <c r="C161" s="4">
        <v>23</v>
      </c>
      <c r="D161" s="4">
        <v>45</v>
      </c>
      <c r="E161" s="4">
        <v>1</v>
      </c>
      <c r="F161" s="4">
        <v>50</v>
      </c>
      <c r="G161" s="10">
        <f t="shared" si="41"/>
        <v>8.3833333333333329</v>
      </c>
      <c r="H161" s="4">
        <f>50+198.9</f>
        <v>248.9</v>
      </c>
      <c r="I161" s="5">
        <f t="shared" si="42"/>
        <v>377.25</v>
      </c>
      <c r="J161" s="138">
        <f>I161-H161</f>
        <v>128.35</v>
      </c>
      <c r="K161">
        <v>12</v>
      </c>
      <c r="N161" s="119">
        <f>200+50</f>
        <v>250</v>
      </c>
      <c r="P161" t="s">
        <v>447</v>
      </c>
    </row>
    <row r="162" spans="1:17" ht="16" thickBot="1">
      <c r="A162" s="80" t="s">
        <v>448</v>
      </c>
      <c r="B162" s="4">
        <v>3</v>
      </c>
      <c r="C162" s="4">
        <v>51</v>
      </c>
      <c r="D162" s="4">
        <v>45</v>
      </c>
      <c r="E162" s="4">
        <v>1</v>
      </c>
      <c r="F162" s="4">
        <v>50</v>
      </c>
      <c r="G162" s="10">
        <f t="shared" si="41"/>
        <v>3.85</v>
      </c>
      <c r="H162" s="4">
        <f>50+432.6</f>
        <v>482.6</v>
      </c>
      <c r="I162" s="5">
        <f t="shared" si="42"/>
        <v>173.25</v>
      </c>
      <c r="J162" s="138">
        <f>I162-H162</f>
        <v>-309.35000000000002</v>
      </c>
      <c r="K162">
        <v>21</v>
      </c>
      <c r="N162" s="119">
        <v>1234</v>
      </c>
      <c r="P162" t="s">
        <v>449</v>
      </c>
    </row>
    <row r="163" spans="1:17" s="86" customFormat="1" ht="20" thickBot="1">
      <c r="A163" s="91" t="s">
        <v>352</v>
      </c>
      <c r="B163" s="8">
        <f>SUM(B164:B170)</f>
        <v>52</v>
      </c>
      <c r="C163" s="8">
        <f>SUM(C164:C170)</f>
        <v>149</v>
      </c>
      <c r="D163" s="8">
        <f>SUM(D164)</f>
        <v>45</v>
      </c>
      <c r="E163" s="8">
        <f>SUM(E164:E170)</f>
        <v>7</v>
      </c>
      <c r="F163" s="8">
        <f>SUM(F164:F170)</f>
        <v>350</v>
      </c>
      <c r="G163" s="93">
        <f t="shared" si="41"/>
        <v>54.483333333333334</v>
      </c>
      <c r="H163" s="8">
        <f>SUM(H164:H170)</f>
        <v>250</v>
      </c>
      <c r="I163" s="9">
        <f>SUM(I164:I170)</f>
        <v>3100.916666666667</v>
      </c>
      <c r="J163" s="14">
        <f>SUM(J164:J170)</f>
        <v>2850.916666666667</v>
      </c>
      <c r="K163" s="8">
        <f>SUM(K164:K170)</f>
        <v>143</v>
      </c>
      <c r="L163" s="9">
        <v>0</v>
      </c>
      <c r="M163" s="96">
        <f>J163</f>
        <v>2850.916666666667</v>
      </c>
      <c r="N163" s="102">
        <f>SUM(N164:N170)</f>
        <v>3074</v>
      </c>
      <c r="O163" s="98">
        <f>3070-N163</f>
        <v>-4</v>
      </c>
    </row>
    <row r="164" spans="1:17">
      <c r="A164" s="6">
        <v>46076</v>
      </c>
      <c r="B164" s="4">
        <v>0</v>
      </c>
      <c r="C164" s="4">
        <v>0</v>
      </c>
      <c r="D164" s="4">
        <v>45</v>
      </c>
      <c r="E164" s="4">
        <v>1</v>
      </c>
      <c r="F164" s="4">
        <v>50</v>
      </c>
      <c r="G164" s="10">
        <f t="shared" si="41"/>
        <v>0</v>
      </c>
      <c r="H164" s="4">
        <v>0</v>
      </c>
      <c r="I164" s="5">
        <f t="shared" ref="I164:I170" si="44">G164*D164</f>
        <v>0</v>
      </c>
      <c r="J164" s="5">
        <f t="shared" ref="J164:J170" si="45">I164-H164</f>
        <v>0</v>
      </c>
      <c r="K164">
        <v>0</v>
      </c>
      <c r="N164" s="119">
        <v>0</v>
      </c>
      <c r="O164" s="51"/>
    </row>
    <row r="165" spans="1:17">
      <c r="A165" s="6">
        <v>46077</v>
      </c>
      <c r="B165" s="4">
        <v>11</v>
      </c>
      <c r="C165" s="4">
        <v>8</v>
      </c>
      <c r="D165" s="4">
        <v>45</v>
      </c>
      <c r="E165" s="4">
        <v>1</v>
      </c>
      <c r="F165" s="4">
        <v>50</v>
      </c>
      <c r="G165" s="10">
        <f t="shared" si="41"/>
        <v>11.133333333333333</v>
      </c>
      <c r="H165" s="4">
        <v>50</v>
      </c>
      <c r="I165" s="5">
        <f t="shared" si="44"/>
        <v>501</v>
      </c>
      <c r="J165" s="5">
        <f t="shared" si="45"/>
        <v>451</v>
      </c>
      <c r="K165">
        <v>24</v>
      </c>
      <c r="N165" s="119">
        <v>0</v>
      </c>
    </row>
    <row r="166" spans="1:17">
      <c r="A166" s="6">
        <v>46078</v>
      </c>
      <c r="B166" s="4">
        <v>11</v>
      </c>
      <c r="C166" s="4">
        <v>2</v>
      </c>
      <c r="D166" s="4">
        <v>55</v>
      </c>
      <c r="E166" s="4">
        <v>1</v>
      </c>
      <c r="F166" s="4">
        <v>50</v>
      </c>
      <c r="G166" s="10">
        <f t="shared" si="41"/>
        <v>11.033333333333333</v>
      </c>
      <c r="H166" s="4">
        <v>50</v>
      </c>
      <c r="I166" s="5">
        <f t="shared" si="44"/>
        <v>606.83333333333337</v>
      </c>
      <c r="J166" s="5">
        <f t="shared" si="45"/>
        <v>556.83333333333337</v>
      </c>
      <c r="K166">
        <v>27</v>
      </c>
      <c r="N166" s="83">
        <v>981</v>
      </c>
      <c r="Q166" t="s">
        <v>64</v>
      </c>
    </row>
    <row r="167" spans="1:17">
      <c r="A167" s="6">
        <v>46079</v>
      </c>
      <c r="B167" s="4">
        <v>10</v>
      </c>
      <c r="C167" s="4">
        <v>45</v>
      </c>
      <c r="D167" s="4">
        <v>55</v>
      </c>
      <c r="E167" s="4">
        <v>1</v>
      </c>
      <c r="F167" s="4">
        <v>50</v>
      </c>
      <c r="G167" s="10">
        <f t="shared" si="41"/>
        <v>10.75</v>
      </c>
      <c r="H167" s="4">
        <v>50</v>
      </c>
      <c r="I167" s="5">
        <f t="shared" si="44"/>
        <v>591.25</v>
      </c>
      <c r="J167" s="5">
        <f t="shared" si="45"/>
        <v>541.25</v>
      </c>
      <c r="K167">
        <v>27</v>
      </c>
      <c r="N167" s="136">
        <v>0</v>
      </c>
    </row>
    <row r="168" spans="1:17">
      <c r="A168" s="6">
        <v>46080</v>
      </c>
      <c r="B168" s="4">
        <v>10</v>
      </c>
      <c r="C168" s="4">
        <v>37</v>
      </c>
      <c r="D168" s="4">
        <v>65</v>
      </c>
      <c r="E168" s="4">
        <v>1</v>
      </c>
      <c r="F168" s="4">
        <v>50</v>
      </c>
      <c r="G168" s="10">
        <f t="shared" si="41"/>
        <v>10.616666666666667</v>
      </c>
      <c r="H168" s="4">
        <v>50</v>
      </c>
      <c r="I168" s="5">
        <f t="shared" si="44"/>
        <v>690.08333333333337</v>
      </c>
      <c r="J168" s="5">
        <f t="shared" si="45"/>
        <v>640.08333333333337</v>
      </c>
      <c r="K168">
        <v>33</v>
      </c>
      <c r="N168" s="136">
        <v>983</v>
      </c>
    </row>
    <row r="169" spans="1:17">
      <c r="A169" s="6">
        <v>46081</v>
      </c>
      <c r="B169" s="4">
        <v>10</v>
      </c>
      <c r="C169" s="4">
        <v>57</v>
      </c>
      <c r="D169" s="4">
        <v>65</v>
      </c>
      <c r="E169" s="4">
        <v>1</v>
      </c>
      <c r="F169" s="4">
        <v>50</v>
      </c>
      <c r="G169" s="10">
        <f t="shared" si="41"/>
        <v>10.95</v>
      </c>
      <c r="H169" s="4">
        <v>50</v>
      </c>
      <c r="I169" s="5">
        <f t="shared" si="44"/>
        <v>711.75</v>
      </c>
      <c r="J169" s="5">
        <f t="shared" si="45"/>
        <v>661.75</v>
      </c>
      <c r="K169">
        <v>32</v>
      </c>
      <c r="N169" s="136">
        <v>0</v>
      </c>
    </row>
    <row r="170" spans="1:17" ht="16" thickBot="1">
      <c r="A170" s="6">
        <v>46082</v>
      </c>
      <c r="B170" s="4">
        <v>0</v>
      </c>
      <c r="C170" s="4">
        <v>0</v>
      </c>
      <c r="D170" s="4">
        <v>45</v>
      </c>
      <c r="E170" s="4">
        <v>1</v>
      </c>
      <c r="F170" s="4">
        <v>50</v>
      </c>
      <c r="G170" s="10">
        <f t="shared" si="41"/>
        <v>0</v>
      </c>
      <c r="H170" s="4">
        <v>0</v>
      </c>
      <c r="I170" s="5">
        <f t="shared" si="44"/>
        <v>0</v>
      </c>
      <c r="J170" s="5">
        <f t="shared" si="45"/>
        <v>0</v>
      </c>
      <c r="K170">
        <v>0</v>
      </c>
      <c r="N170" s="136">
        <v>1110</v>
      </c>
    </row>
    <row r="171" spans="1:17" s="86" customFormat="1" ht="20" thickBot="1">
      <c r="A171" s="91" t="s">
        <v>450</v>
      </c>
      <c r="B171" s="8">
        <f>SUM(B172:B178)</f>
        <v>16</v>
      </c>
      <c r="C171" s="8">
        <f>SUM(C172:C178)</f>
        <v>87</v>
      </c>
      <c r="D171" s="8">
        <f>SUM(D172)</f>
        <v>45</v>
      </c>
      <c r="E171" s="8">
        <f>SUM(E172:E178)</f>
        <v>7</v>
      </c>
      <c r="F171" s="8">
        <f>SUM(F172:F178)</f>
        <v>350</v>
      </c>
      <c r="G171" s="93">
        <f t="shared" si="41"/>
        <v>17.45</v>
      </c>
      <c r="H171" s="8">
        <f>SUM(H172:H178)</f>
        <v>100</v>
      </c>
      <c r="I171" s="9">
        <f>SUM(I172:I178)</f>
        <v>785.25</v>
      </c>
      <c r="J171" s="14">
        <f>SUM(J172:J178)</f>
        <v>685.25</v>
      </c>
      <c r="K171" s="8">
        <f>SUM(K172:K178)</f>
        <v>29</v>
      </c>
      <c r="L171" s="9">
        <v>0</v>
      </c>
      <c r="M171" s="96">
        <f>J171</f>
        <v>685.25</v>
      </c>
      <c r="N171" s="102">
        <f>SUM(N172:N178)</f>
        <v>1200</v>
      </c>
      <c r="O171" s="98">
        <f>1462-N171</f>
        <v>262</v>
      </c>
    </row>
    <row r="172" spans="1:17">
      <c r="A172" s="6">
        <v>46076</v>
      </c>
      <c r="B172" s="4">
        <v>0</v>
      </c>
      <c r="C172" s="4">
        <v>0</v>
      </c>
      <c r="D172" s="4">
        <v>45</v>
      </c>
      <c r="E172" s="4">
        <v>1</v>
      </c>
      <c r="F172" s="4">
        <v>50</v>
      </c>
      <c r="G172" s="10">
        <f t="shared" si="41"/>
        <v>0</v>
      </c>
      <c r="H172" s="4">
        <v>0</v>
      </c>
      <c r="I172" s="5">
        <f t="shared" ref="I172:I178" si="46">G172*D172</f>
        <v>0</v>
      </c>
      <c r="J172" s="5">
        <f t="shared" ref="J172:J178" si="47">I172-H172</f>
        <v>0</v>
      </c>
      <c r="K172">
        <v>0</v>
      </c>
      <c r="N172" s="119">
        <v>0</v>
      </c>
      <c r="O172" s="51"/>
    </row>
    <row r="173" spans="1:17">
      <c r="A173" s="6">
        <v>46077</v>
      </c>
      <c r="B173" s="4">
        <v>0</v>
      </c>
      <c r="C173" s="4">
        <v>0</v>
      </c>
      <c r="D173" s="4">
        <v>45</v>
      </c>
      <c r="E173" s="4">
        <v>1</v>
      </c>
      <c r="F173" s="4">
        <v>50</v>
      </c>
      <c r="G173" s="10">
        <f t="shared" si="41"/>
        <v>0</v>
      </c>
      <c r="H173" s="4">
        <v>0</v>
      </c>
      <c r="I173" s="5">
        <f t="shared" si="46"/>
        <v>0</v>
      </c>
      <c r="J173" s="5">
        <f t="shared" si="47"/>
        <v>0</v>
      </c>
      <c r="K173">
        <v>0</v>
      </c>
      <c r="N173" s="136">
        <v>0</v>
      </c>
    </row>
    <row r="174" spans="1:17">
      <c r="A174" s="6">
        <v>46078</v>
      </c>
      <c r="B174" s="4">
        <v>0</v>
      </c>
      <c r="C174" s="4">
        <v>0</v>
      </c>
      <c r="D174" s="4">
        <v>45</v>
      </c>
      <c r="E174" s="4">
        <v>1</v>
      </c>
      <c r="F174" s="4">
        <v>50</v>
      </c>
      <c r="G174" s="10">
        <f t="shared" si="41"/>
        <v>0</v>
      </c>
      <c r="H174" s="4">
        <v>0</v>
      </c>
      <c r="I174" s="5">
        <f t="shared" si="46"/>
        <v>0</v>
      </c>
      <c r="J174" s="5">
        <f t="shared" si="47"/>
        <v>0</v>
      </c>
      <c r="K174">
        <v>0</v>
      </c>
      <c r="N174" s="119">
        <v>0</v>
      </c>
      <c r="Q174" t="s">
        <v>64</v>
      </c>
    </row>
    <row r="175" spans="1:17">
      <c r="A175" s="6">
        <v>46079</v>
      </c>
      <c r="B175" s="4">
        <v>0</v>
      </c>
      <c r="C175" s="4">
        <v>0</v>
      </c>
      <c r="D175" s="4">
        <v>45</v>
      </c>
      <c r="E175" s="4">
        <v>1</v>
      </c>
      <c r="F175" s="4">
        <v>50</v>
      </c>
      <c r="G175" s="10">
        <f t="shared" si="41"/>
        <v>0</v>
      </c>
      <c r="H175" s="4">
        <v>0</v>
      </c>
      <c r="I175" s="5">
        <f t="shared" si="46"/>
        <v>0</v>
      </c>
      <c r="J175" s="5">
        <f t="shared" si="47"/>
        <v>0</v>
      </c>
      <c r="K175">
        <v>0</v>
      </c>
      <c r="N175" s="119">
        <v>0</v>
      </c>
    </row>
    <row r="176" spans="1:17">
      <c r="A176" s="80" t="s">
        <v>427</v>
      </c>
      <c r="B176" s="4">
        <v>9</v>
      </c>
      <c r="C176" s="4">
        <v>44</v>
      </c>
      <c r="D176" s="4">
        <v>45</v>
      </c>
      <c r="E176" s="4">
        <v>1</v>
      </c>
      <c r="F176" s="4">
        <v>50</v>
      </c>
      <c r="G176" s="10">
        <f t="shared" si="41"/>
        <v>9.7333333333333325</v>
      </c>
      <c r="H176" s="4">
        <v>50</v>
      </c>
      <c r="I176" s="5">
        <f t="shared" si="46"/>
        <v>437.99999999999994</v>
      </c>
      <c r="J176" s="5">
        <f t="shared" si="47"/>
        <v>387.99999999999994</v>
      </c>
      <c r="K176">
        <v>14</v>
      </c>
      <c r="N176" s="119">
        <v>0</v>
      </c>
    </row>
    <row r="177" spans="1:17">
      <c r="A177" s="80" t="s">
        <v>366</v>
      </c>
      <c r="B177" s="4">
        <v>7</v>
      </c>
      <c r="C177" s="4">
        <v>43</v>
      </c>
      <c r="D177" s="4">
        <v>45</v>
      </c>
      <c r="E177" s="4">
        <v>1</v>
      </c>
      <c r="F177" s="4">
        <v>50</v>
      </c>
      <c r="G177" s="10">
        <f t="shared" si="41"/>
        <v>7.7166666666666668</v>
      </c>
      <c r="H177" s="4">
        <v>50</v>
      </c>
      <c r="I177" s="5">
        <f t="shared" si="46"/>
        <v>347.25</v>
      </c>
      <c r="J177" s="5">
        <f t="shared" si="47"/>
        <v>297.25</v>
      </c>
      <c r="K177">
        <v>15</v>
      </c>
      <c r="N177" s="119">
        <v>1000</v>
      </c>
    </row>
    <row r="178" spans="1:17" ht="16" thickBot="1">
      <c r="A178" s="6">
        <v>46082</v>
      </c>
      <c r="B178" s="4">
        <v>0</v>
      </c>
      <c r="C178" s="4">
        <v>0</v>
      </c>
      <c r="D178" s="4">
        <v>45</v>
      </c>
      <c r="E178" s="4">
        <v>1</v>
      </c>
      <c r="F178" s="4">
        <v>50</v>
      </c>
      <c r="G178" s="10">
        <f t="shared" si="41"/>
        <v>0</v>
      </c>
      <c r="H178" s="4">
        <v>0</v>
      </c>
      <c r="I178" s="5">
        <f t="shared" si="46"/>
        <v>0</v>
      </c>
      <c r="J178" s="5">
        <f t="shared" si="47"/>
        <v>0</v>
      </c>
      <c r="K178">
        <v>0</v>
      </c>
      <c r="N178" s="119">
        <v>200</v>
      </c>
      <c r="P178" t="s">
        <v>134</v>
      </c>
    </row>
    <row r="179" spans="1:17" s="54" customFormat="1" ht="20" thickBot="1">
      <c r="A179" s="72" t="s">
        <v>451</v>
      </c>
      <c r="B179" s="44">
        <f>SUM(B180:B186)</f>
        <v>17</v>
      </c>
      <c r="C179" s="44">
        <f>SUM(C180:C186)</f>
        <v>96</v>
      </c>
      <c r="D179" s="44">
        <f>SUM(D180)</f>
        <v>45</v>
      </c>
      <c r="E179" s="44">
        <f>SUM(E180:E186)</f>
        <v>7</v>
      </c>
      <c r="F179" s="44">
        <f>SUM(F180:F186)</f>
        <v>350</v>
      </c>
      <c r="G179" s="67">
        <f t="shared" si="41"/>
        <v>18.600000000000001</v>
      </c>
      <c r="H179" s="44">
        <f>SUM(H180:H186)</f>
        <v>150</v>
      </c>
      <c r="I179" s="46">
        <f>SUM(I180:I186)</f>
        <v>837</v>
      </c>
      <c r="J179" s="47">
        <f>SUM(J180:J186)</f>
        <v>687</v>
      </c>
      <c r="K179" s="44">
        <f>SUM(K180:K186)</f>
        <v>34</v>
      </c>
      <c r="L179" s="46">
        <v>0</v>
      </c>
      <c r="M179" s="69">
        <f>J179</f>
        <v>687</v>
      </c>
      <c r="N179" s="63">
        <f>SUM(N180:N186)</f>
        <v>450</v>
      </c>
      <c r="O179" s="90">
        <f>1410-N179</f>
        <v>960</v>
      </c>
    </row>
    <row r="180" spans="1:17">
      <c r="A180" s="6">
        <v>46076</v>
      </c>
      <c r="B180" s="4">
        <v>0</v>
      </c>
      <c r="C180" s="4">
        <v>0</v>
      </c>
      <c r="D180" s="4">
        <v>45</v>
      </c>
      <c r="E180" s="4">
        <v>1</v>
      </c>
      <c r="F180" s="4">
        <v>50</v>
      </c>
      <c r="G180" s="10">
        <f t="shared" si="41"/>
        <v>0</v>
      </c>
      <c r="H180" s="4">
        <v>0</v>
      </c>
      <c r="I180" s="5">
        <f t="shared" ref="I180:I186" si="48">G180*D180</f>
        <v>0</v>
      </c>
      <c r="J180" s="5">
        <f t="shared" ref="J180:J186" si="49">I180-H180</f>
        <v>0</v>
      </c>
      <c r="K180">
        <v>0</v>
      </c>
      <c r="N180" s="136">
        <v>0</v>
      </c>
      <c r="O180" s="51"/>
    </row>
    <row r="181" spans="1:17">
      <c r="A181" s="6">
        <v>46077</v>
      </c>
      <c r="B181" s="4">
        <v>0</v>
      </c>
      <c r="C181" s="4">
        <v>0</v>
      </c>
      <c r="D181" s="4">
        <v>45</v>
      </c>
      <c r="E181" s="4">
        <v>1</v>
      </c>
      <c r="F181" s="4">
        <v>50</v>
      </c>
      <c r="G181" s="10">
        <f t="shared" si="41"/>
        <v>0</v>
      </c>
      <c r="H181" s="4">
        <v>0</v>
      </c>
      <c r="I181" s="5">
        <f t="shared" si="48"/>
        <v>0</v>
      </c>
      <c r="J181" s="5">
        <f t="shared" si="49"/>
        <v>0</v>
      </c>
      <c r="K181">
        <v>0</v>
      </c>
      <c r="N181" s="119">
        <v>0</v>
      </c>
    </row>
    <row r="182" spans="1:17">
      <c r="A182" s="80" t="s">
        <v>361</v>
      </c>
      <c r="B182" s="4">
        <v>6</v>
      </c>
      <c r="C182" s="4">
        <v>33</v>
      </c>
      <c r="D182" s="4">
        <v>45</v>
      </c>
      <c r="E182" s="4">
        <v>1</v>
      </c>
      <c r="F182" s="4">
        <v>50</v>
      </c>
      <c r="G182" s="10">
        <f t="shared" si="41"/>
        <v>6.55</v>
      </c>
      <c r="H182" s="4">
        <v>50</v>
      </c>
      <c r="I182" s="5">
        <f t="shared" si="48"/>
        <v>294.75</v>
      </c>
      <c r="J182" s="5">
        <f t="shared" si="49"/>
        <v>244.75</v>
      </c>
      <c r="K182">
        <v>10</v>
      </c>
      <c r="N182" s="119">
        <v>0</v>
      </c>
      <c r="Q182" t="s">
        <v>64</v>
      </c>
    </row>
    <row r="183" spans="1:17">
      <c r="A183" s="6">
        <v>46079</v>
      </c>
      <c r="B183" s="4">
        <v>0</v>
      </c>
      <c r="C183" s="4">
        <v>0</v>
      </c>
      <c r="D183" s="4">
        <v>45</v>
      </c>
      <c r="E183" s="4">
        <v>1</v>
      </c>
      <c r="F183" s="4">
        <v>50</v>
      </c>
      <c r="G183" s="10">
        <f t="shared" si="41"/>
        <v>0</v>
      </c>
      <c r="H183" s="4">
        <v>0</v>
      </c>
      <c r="I183" s="5">
        <f t="shared" si="48"/>
        <v>0</v>
      </c>
      <c r="J183" s="5">
        <f t="shared" si="49"/>
        <v>0</v>
      </c>
      <c r="K183">
        <v>0</v>
      </c>
      <c r="N183" s="136">
        <v>150</v>
      </c>
      <c r="P183" t="s">
        <v>61</v>
      </c>
    </row>
    <row r="184" spans="1:17">
      <c r="A184" s="6">
        <v>46080</v>
      </c>
      <c r="B184" s="4">
        <v>5</v>
      </c>
      <c r="C184" s="4">
        <v>42</v>
      </c>
      <c r="D184" s="4">
        <v>45</v>
      </c>
      <c r="E184" s="4">
        <v>1</v>
      </c>
      <c r="F184" s="4">
        <v>50</v>
      </c>
      <c r="G184" s="10">
        <f t="shared" si="41"/>
        <v>5.7</v>
      </c>
      <c r="H184" s="4">
        <v>50</v>
      </c>
      <c r="I184" s="5">
        <f t="shared" si="48"/>
        <v>256.5</v>
      </c>
      <c r="J184" s="5">
        <f t="shared" si="49"/>
        <v>206.5</v>
      </c>
      <c r="K184">
        <v>12</v>
      </c>
      <c r="N184" s="136">
        <v>300</v>
      </c>
      <c r="P184" t="s">
        <v>51</v>
      </c>
    </row>
    <row r="185" spans="1:17">
      <c r="A185" s="6">
        <v>46081</v>
      </c>
      <c r="B185" s="4">
        <v>6</v>
      </c>
      <c r="C185" s="4">
        <v>21</v>
      </c>
      <c r="D185" s="4">
        <v>45</v>
      </c>
      <c r="E185" s="4">
        <v>1</v>
      </c>
      <c r="F185" s="4">
        <v>50</v>
      </c>
      <c r="G185" s="10">
        <f t="shared" si="41"/>
        <v>6.35</v>
      </c>
      <c r="H185" s="4">
        <v>50</v>
      </c>
      <c r="I185" s="5">
        <f>G185*D185</f>
        <v>285.75</v>
      </c>
      <c r="J185" s="5">
        <f t="shared" si="49"/>
        <v>235.75</v>
      </c>
      <c r="K185">
        <v>12</v>
      </c>
      <c r="N185" s="136">
        <v>0</v>
      </c>
    </row>
    <row r="186" spans="1:17" ht="16" thickBot="1">
      <c r="A186" s="6">
        <v>46082</v>
      </c>
      <c r="B186" s="4">
        <v>0</v>
      </c>
      <c r="C186" s="4">
        <v>0</v>
      </c>
      <c r="D186" s="4">
        <v>45</v>
      </c>
      <c r="E186" s="4">
        <v>1</v>
      </c>
      <c r="F186" s="4">
        <v>50</v>
      </c>
      <c r="G186" s="10">
        <f t="shared" si="41"/>
        <v>0</v>
      </c>
      <c r="H186" s="4">
        <v>0</v>
      </c>
      <c r="I186" s="5">
        <f t="shared" si="48"/>
        <v>0</v>
      </c>
      <c r="J186" s="5">
        <f t="shared" si="49"/>
        <v>0</v>
      </c>
      <c r="K186">
        <v>0</v>
      </c>
      <c r="N186" s="136">
        <v>0</v>
      </c>
    </row>
    <row r="187" spans="1:17" s="86" customFormat="1" ht="20" thickBot="1">
      <c r="A187" s="91" t="s">
        <v>452</v>
      </c>
      <c r="B187" s="8">
        <f>SUM(B188:B194)</f>
        <v>29</v>
      </c>
      <c r="C187" s="8">
        <f>SUM(C188:C194)</f>
        <v>107</v>
      </c>
      <c r="D187" s="8">
        <f>SUM(D188)</f>
        <v>45</v>
      </c>
      <c r="E187" s="8">
        <f>SUM(E188:E194)</f>
        <v>7</v>
      </c>
      <c r="F187" s="8">
        <f>SUM(F188:F194)</f>
        <v>350</v>
      </c>
      <c r="G187" s="93">
        <f t="shared" si="41"/>
        <v>30.783333333333335</v>
      </c>
      <c r="H187" s="8">
        <f>SUM(H188:H194)</f>
        <v>150</v>
      </c>
      <c r="I187" s="9">
        <f>SUM(I188:I194)</f>
        <v>1385.25</v>
      </c>
      <c r="J187" s="14">
        <f>SUM(J188:J194)</f>
        <v>1235.25</v>
      </c>
      <c r="K187" s="8">
        <f>SUM(K188:K194)</f>
        <v>61</v>
      </c>
      <c r="L187" s="9">
        <v>0</v>
      </c>
      <c r="M187" s="96">
        <f>J187</f>
        <v>1235.25</v>
      </c>
      <c r="N187" s="102">
        <f>SUM(N188:N194)</f>
        <v>2125</v>
      </c>
      <c r="O187" s="98">
        <f>2125-N187</f>
        <v>0</v>
      </c>
    </row>
    <row r="188" spans="1:17">
      <c r="A188" s="6">
        <v>46076</v>
      </c>
      <c r="B188" s="4">
        <v>0</v>
      </c>
      <c r="C188" s="4">
        <v>0</v>
      </c>
      <c r="D188" s="4">
        <v>45</v>
      </c>
      <c r="E188" s="4">
        <v>1</v>
      </c>
      <c r="F188" s="4">
        <v>50</v>
      </c>
      <c r="G188" s="10">
        <f t="shared" si="41"/>
        <v>0</v>
      </c>
      <c r="H188" s="4">
        <v>0</v>
      </c>
      <c r="I188" s="5">
        <f t="shared" ref="I188:I194" si="50">G188*D188</f>
        <v>0</v>
      </c>
      <c r="J188" s="5">
        <f t="shared" ref="J188:J194" si="51">I188-H188</f>
        <v>0</v>
      </c>
      <c r="K188">
        <v>0</v>
      </c>
      <c r="N188" s="119">
        <v>0</v>
      </c>
      <c r="O188" s="51"/>
    </row>
    <row r="189" spans="1:17">
      <c r="A189" s="6">
        <v>46077</v>
      </c>
      <c r="B189" s="4">
        <v>0</v>
      </c>
      <c r="C189" s="4">
        <v>0</v>
      </c>
      <c r="D189" s="4">
        <v>45</v>
      </c>
      <c r="E189" s="4">
        <v>1</v>
      </c>
      <c r="F189" s="4">
        <v>50</v>
      </c>
      <c r="G189" s="10">
        <f t="shared" si="41"/>
        <v>0</v>
      </c>
      <c r="H189" s="4">
        <v>0</v>
      </c>
      <c r="I189" s="5">
        <f t="shared" si="50"/>
        <v>0</v>
      </c>
      <c r="J189" s="5">
        <f t="shared" si="51"/>
        <v>0</v>
      </c>
      <c r="K189">
        <v>0</v>
      </c>
      <c r="N189" s="119">
        <v>0</v>
      </c>
    </row>
    <row r="190" spans="1:17">
      <c r="A190" s="6">
        <v>46078</v>
      </c>
      <c r="B190" s="4">
        <v>0</v>
      </c>
      <c r="C190" s="4">
        <v>0</v>
      </c>
      <c r="D190" s="4">
        <v>45</v>
      </c>
      <c r="E190" s="4">
        <v>1</v>
      </c>
      <c r="F190" s="4">
        <v>50</v>
      </c>
      <c r="G190" s="10">
        <f t="shared" si="41"/>
        <v>0</v>
      </c>
      <c r="H190" s="4">
        <v>0</v>
      </c>
      <c r="I190" s="5">
        <f t="shared" si="50"/>
        <v>0</v>
      </c>
      <c r="J190" s="5">
        <f t="shared" si="51"/>
        <v>0</v>
      </c>
      <c r="K190">
        <v>0</v>
      </c>
      <c r="N190" s="119">
        <v>0</v>
      </c>
      <c r="Q190" t="s">
        <v>64</v>
      </c>
    </row>
    <row r="191" spans="1:17">
      <c r="A191" s="6">
        <v>46079</v>
      </c>
      <c r="B191" s="4">
        <v>0</v>
      </c>
      <c r="C191" s="4">
        <v>0</v>
      </c>
      <c r="D191" s="4">
        <v>45</v>
      </c>
      <c r="E191" s="4">
        <v>1</v>
      </c>
      <c r="F191" s="4">
        <v>50</v>
      </c>
      <c r="G191" s="10">
        <f t="shared" si="41"/>
        <v>0</v>
      </c>
      <c r="H191" s="4">
        <v>0</v>
      </c>
      <c r="I191" s="5">
        <f t="shared" si="50"/>
        <v>0</v>
      </c>
      <c r="J191" s="5">
        <f t="shared" si="51"/>
        <v>0</v>
      </c>
      <c r="K191">
        <v>0</v>
      </c>
      <c r="N191" s="119">
        <v>0</v>
      </c>
    </row>
    <row r="192" spans="1:17">
      <c r="A192" s="80" t="s">
        <v>365</v>
      </c>
      <c r="B192" s="4">
        <v>10</v>
      </c>
      <c r="C192" s="4">
        <v>41</v>
      </c>
      <c r="D192" s="4">
        <v>45</v>
      </c>
      <c r="E192" s="4">
        <v>1</v>
      </c>
      <c r="F192" s="4">
        <v>50</v>
      </c>
      <c r="G192" s="10">
        <f t="shared" si="41"/>
        <v>10.683333333333334</v>
      </c>
      <c r="H192" s="4">
        <v>50</v>
      </c>
      <c r="I192" s="5">
        <f t="shared" si="50"/>
        <v>480.75</v>
      </c>
      <c r="J192" s="5">
        <f t="shared" si="51"/>
        <v>430.75</v>
      </c>
      <c r="K192">
        <v>22</v>
      </c>
      <c r="N192" s="119"/>
    </row>
    <row r="193" spans="1:16">
      <c r="A193" s="80" t="s">
        <v>366</v>
      </c>
      <c r="B193" s="4">
        <v>10</v>
      </c>
      <c r="C193" s="4">
        <v>44</v>
      </c>
      <c r="D193" s="4">
        <v>45</v>
      </c>
      <c r="E193" s="4">
        <v>1</v>
      </c>
      <c r="F193" s="4">
        <v>50</v>
      </c>
      <c r="G193" s="10">
        <f t="shared" si="41"/>
        <v>10.733333333333333</v>
      </c>
      <c r="H193" s="4">
        <v>50</v>
      </c>
      <c r="I193" s="5">
        <f t="shared" si="50"/>
        <v>482.99999999999994</v>
      </c>
      <c r="J193" s="5">
        <f t="shared" si="51"/>
        <v>432.99999999999994</v>
      </c>
      <c r="K193">
        <v>20</v>
      </c>
      <c r="N193" s="119">
        <v>150</v>
      </c>
      <c r="P193" t="s">
        <v>280</v>
      </c>
    </row>
    <row r="194" spans="1:16">
      <c r="A194" s="80" t="s">
        <v>368</v>
      </c>
      <c r="B194" s="4">
        <v>9</v>
      </c>
      <c r="C194" s="4">
        <v>22</v>
      </c>
      <c r="D194" s="4">
        <v>45</v>
      </c>
      <c r="E194" s="4">
        <v>1</v>
      </c>
      <c r="F194" s="4">
        <v>50</v>
      </c>
      <c r="G194" s="10">
        <f t="shared" si="41"/>
        <v>9.3666666666666671</v>
      </c>
      <c r="H194" s="4">
        <v>50</v>
      </c>
      <c r="I194" s="5">
        <f t="shared" si="50"/>
        <v>421.5</v>
      </c>
      <c r="J194" s="5">
        <f t="shared" si="51"/>
        <v>371.5</v>
      </c>
      <c r="K194">
        <v>19</v>
      </c>
      <c r="N194" s="119">
        <f>1500+300+175</f>
        <v>1975</v>
      </c>
    </row>
    <row r="195" spans="1:16">
      <c r="A195" s="6"/>
      <c r="G195" s="133"/>
      <c r="H195" s="131"/>
      <c r="I195" s="132"/>
      <c r="J195" s="132"/>
      <c r="N195" s="136"/>
    </row>
    <row r="196" spans="1:16" ht="33" customHeight="1" thickBot="1">
      <c r="A196" t="s">
        <v>17</v>
      </c>
      <c r="H196" s="121">
        <f t="shared" ref="H196:O196" si="52">H3+H11+H19+H27+H35+H43+H51+H59+H67+H75+H83+H91+H99+H107+H115+H123+H131+H139+H147+H155+H163+H171+H179+H187</f>
        <v>8906</v>
      </c>
      <c r="I196" s="121">
        <f t="shared" si="52"/>
        <v>53916.583333333328</v>
      </c>
      <c r="J196" s="121">
        <f t="shared" si="52"/>
        <v>45010.583333333328</v>
      </c>
      <c r="K196" s="122">
        <f t="shared" si="52"/>
        <v>2616</v>
      </c>
      <c r="L196" s="121">
        <f t="shared" si="52"/>
        <v>0</v>
      </c>
      <c r="M196" s="121">
        <f t="shared" si="52"/>
        <v>45010.583333333328</v>
      </c>
      <c r="N196" s="121">
        <f t="shared" si="52"/>
        <v>64848</v>
      </c>
      <c r="O196" s="125">
        <f t="shared" si="52"/>
        <v>6069</v>
      </c>
    </row>
    <row r="197" spans="1:16" ht="16" thickTop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983C-DD5B-A94C-BCC1-EDE40F259AC5}">
  <sheetPr>
    <pageSetUpPr fitToPage="1"/>
  </sheetPr>
  <dimension ref="A1:Q261"/>
  <sheetViews>
    <sheetView workbookViewId="0">
      <pane xSplit="1" ySplit="1" topLeftCell="G259" activePane="bottomRight" state="frozen"/>
      <selection pane="topRight" activeCell="B1" sqref="B1"/>
      <selection pane="bottomLeft" activeCell="A2" sqref="A2"/>
      <selection pane="bottomRight" activeCell="N110" sqref="N110"/>
    </sheetView>
  </sheetViews>
  <sheetFormatPr baseColWidth="10" defaultColWidth="8.6640625" defaultRowHeight="15"/>
  <cols>
    <col min="1" max="1" width="27.6640625" bestFit="1" customWidth="1"/>
    <col min="3" max="3" width="13.33203125" customWidth="1"/>
    <col min="4" max="4" width="17.6640625" customWidth="1"/>
    <col min="6" max="6" width="16.6640625" customWidth="1"/>
    <col min="7" max="7" width="19" customWidth="1"/>
    <col min="8" max="8" width="18" customWidth="1"/>
    <col min="9" max="9" width="20.5" customWidth="1"/>
    <col min="10" max="10" width="17.6640625" customWidth="1"/>
    <col min="11" max="11" width="11.33203125" customWidth="1"/>
    <col min="12" max="12" width="14.33203125" customWidth="1"/>
    <col min="13" max="13" width="19.6640625" customWidth="1"/>
    <col min="14" max="14" width="17.5" bestFit="1" customWidth="1"/>
    <col min="15" max="15" width="22.6640625" bestFit="1" customWidth="1"/>
    <col min="16" max="16" width="175.5" customWidth="1"/>
  </cols>
  <sheetData>
    <row r="1" spans="1:16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6" ht="20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6" s="86" customFormat="1" ht="20" thickBot="1">
      <c r="A3" s="91" t="s">
        <v>453</v>
      </c>
      <c r="B3" s="8">
        <f>SUM(B4:B10)</f>
        <v>37</v>
      </c>
      <c r="C3" s="8">
        <f>SUM(C4:C8)</f>
        <v>104</v>
      </c>
      <c r="D3" s="8">
        <f>SUM(D4)</f>
        <v>0</v>
      </c>
      <c r="E3" s="8">
        <f>SUM(E4:E10)</f>
        <v>6</v>
      </c>
      <c r="F3" s="8">
        <f>SUM(F4:F10)</f>
        <v>300</v>
      </c>
      <c r="G3" s="93">
        <f t="shared" ref="G3" si="0">B3+C3/60</f>
        <v>38.733333333333334</v>
      </c>
      <c r="H3" s="8">
        <f>SUM(H4:H10)</f>
        <v>350</v>
      </c>
      <c r="I3" s="9">
        <f>SUM(I4:I10)</f>
        <v>1670.6666666666667</v>
      </c>
      <c r="J3" s="14">
        <f>SUM(J4:J10)</f>
        <v>1320.6666666666667</v>
      </c>
      <c r="K3" s="8">
        <f>SUM(K4:K10)</f>
        <v>124</v>
      </c>
      <c r="L3" s="9">
        <v>0</v>
      </c>
      <c r="M3" s="96">
        <f>J3+L3</f>
        <v>1320.6666666666667</v>
      </c>
      <c r="N3" s="97">
        <f>SUM(N4:N9)</f>
        <v>3517</v>
      </c>
      <c r="O3" s="98">
        <f>4276-N3</f>
        <v>759</v>
      </c>
    </row>
    <row r="4" spans="1:16">
      <c r="A4" s="6">
        <v>46111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10">
        <v>0</v>
      </c>
      <c r="H4" s="4">
        <v>50</v>
      </c>
      <c r="I4" s="5">
        <v>0</v>
      </c>
      <c r="J4" s="5">
        <f t="shared" ref="J4:J10" si="1">I4-H4</f>
        <v>-50</v>
      </c>
      <c r="K4">
        <v>0</v>
      </c>
      <c r="N4" s="51">
        <v>0</v>
      </c>
      <c r="O4" s="1"/>
    </row>
    <row r="5" spans="1:16">
      <c r="A5" s="80" t="s">
        <v>454</v>
      </c>
      <c r="B5" s="4">
        <v>8</v>
      </c>
      <c r="C5" s="4">
        <v>31</v>
      </c>
      <c r="D5" s="4">
        <v>55</v>
      </c>
      <c r="E5" s="4">
        <v>1</v>
      </c>
      <c r="F5" s="4">
        <v>50</v>
      </c>
      <c r="G5" s="10">
        <f t="shared" ref="G5:G10" si="2">B5+C5/60</f>
        <v>8.5166666666666675</v>
      </c>
      <c r="H5" s="4">
        <v>50</v>
      </c>
      <c r="I5" s="5">
        <f t="shared" ref="I5:I10" si="3">G5*D5</f>
        <v>468.41666666666669</v>
      </c>
      <c r="J5" s="5">
        <f t="shared" si="1"/>
        <v>418.41666666666669</v>
      </c>
      <c r="K5">
        <v>27</v>
      </c>
      <c r="N5" s="83">
        <f>845+150</f>
        <v>995</v>
      </c>
      <c r="P5" t="s">
        <v>455</v>
      </c>
    </row>
    <row r="6" spans="1:16">
      <c r="A6" s="80" t="s">
        <v>456</v>
      </c>
      <c r="B6" s="4">
        <v>8</v>
      </c>
      <c r="C6" s="4">
        <v>17</v>
      </c>
      <c r="D6" s="4">
        <v>45</v>
      </c>
      <c r="E6" s="4">
        <v>1</v>
      </c>
      <c r="F6" s="4">
        <v>50</v>
      </c>
      <c r="G6" s="10">
        <f t="shared" si="2"/>
        <v>8.2833333333333332</v>
      </c>
      <c r="H6" s="4">
        <v>50</v>
      </c>
      <c r="I6" s="5">
        <f t="shared" si="3"/>
        <v>372.75</v>
      </c>
      <c r="J6" s="5">
        <f t="shared" si="1"/>
        <v>322.75</v>
      </c>
      <c r="K6">
        <v>22</v>
      </c>
      <c r="N6" s="83">
        <f>730+20</f>
        <v>750</v>
      </c>
    </row>
    <row r="7" spans="1:16">
      <c r="A7" s="80" t="s">
        <v>457</v>
      </c>
      <c r="B7" s="4">
        <v>4</v>
      </c>
      <c r="C7" s="4">
        <v>56</v>
      </c>
      <c r="D7" s="4">
        <v>45</v>
      </c>
      <c r="E7" s="4">
        <v>1</v>
      </c>
      <c r="F7" s="4">
        <v>50</v>
      </c>
      <c r="G7" s="10">
        <v>0</v>
      </c>
      <c r="H7" s="4">
        <v>50</v>
      </c>
      <c r="I7" s="5">
        <v>0</v>
      </c>
      <c r="J7" s="5">
        <f t="shared" si="1"/>
        <v>-50</v>
      </c>
      <c r="K7">
        <v>18</v>
      </c>
      <c r="N7" s="83">
        <f>424</f>
        <v>424</v>
      </c>
      <c r="P7" t="s">
        <v>458</v>
      </c>
    </row>
    <row r="8" spans="1:16">
      <c r="A8" s="80" t="s">
        <v>459</v>
      </c>
      <c r="B8" s="4">
        <v>6</v>
      </c>
      <c r="C8" s="4">
        <v>0</v>
      </c>
      <c r="D8" s="4">
        <v>45</v>
      </c>
      <c r="E8" s="4">
        <v>1</v>
      </c>
      <c r="F8" s="4">
        <v>50</v>
      </c>
      <c r="G8" s="10">
        <f t="shared" si="2"/>
        <v>6</v>
      </c>
      <c r="H8" s="4">
        <v>50</v>
      </c>
      <c r="I8" s="5">
        <f t="shared" si="3"/>
        <v>270</v>
      </c>
      <c r="J8" s="5">
        <f t="shared" si="1"/>
        <v>220</v>
      </c>
      <c r="K8">
        <v>21</v>
      </c>
      <c r="N8" s="51">
        <v>798</v>
      </c>
    </row>
    <row r="9" spans="1:16">
      <c r="A9" s="80" t="s">
        <v>460</v>
      </c>
      <c r="B9" s="4">
        <v>6</v>
      </c>
      <c r="C9" s="4">
        <v>40</v>
      </c>
      <c r="D9" s="4">
        <v>45</v>
      </c>
      <c r="E9" s="4">
        <v>1</v>
      </c>
      <c r="F9" s="4">
        <v>50</v>
      </c>
      <c r="G9" s="10">
        <f t="shared" si="2"/>
        <v>6.666666666666667</v>
      </c>
      <c r="H9" s="4">
        <v>50</v>
      </c>
      <c r="I9" s="5">
        <f t="shared" si="3"/>
        <v>300</v>
      </c>
      <c r="J9" s="5">
        <f t="shared" si="1"/>
        <v>250</v>
      </c>
      <c r="K9">
        <v>15</v>
      </c>
      <c r="N9" s="51">
        <v>550</v>
      </c>
    </row>
    <row r="10" spans="1:16" ht="16" thickBot="1">
      <c r="A10" s="80" t="s">
        <v>461</v>
      </c>
      <c r="B10" s="4">
        <v>5</v>
      </c>
      <c r="C10" s="4">
        <v>46</v>
      </c>
      <c r="D10" s="4">
        <v>45</v>
      </c>
      <c r="E10" s="4">
        <v>1</v>
      </c>
      <c r="F10" s="4">
        <v>50</v>
      </c>
      <c r="G10" s="10">
        <f t="shared" si="2"/>
        <v>5.7666666666666666</v>
      </c>
      <c r="H10" s="4">
        <v>50</v>
      </c>
      <c r="I10" s="5">
        <f t="shared" si="3"/>
        <v>259.5</v>
      </c>
      <c r="J10" s="5">
        <f t="shared" si="1"/>
        <v>209.5</v>
      </c>
      <c r="K10">
        <v>21</v>
      </c>
      <c r="N10" s="51">
        <v>980</v>
      </c>
      <c r="P10" t="s">
        <v>462</v>
      </c>
    </row>
    <row r="11" spans="1:16" s="86" customFormat="1" ht="20" thickBot="1">
      <c r="A11" s="91" t="s">
        <v>463</v>
      </c>
      <c r="B11" s="92">
        <f>SUM(B12:B18)</f>
        <v>48</v>
      </c>
      <c r="C11" s="92">
        <f>SUM(C12:C18)</f>
        <v>180</v>
      </c>
      <c r="D11" s="92">
        <f>SUM(D12)</f>
        <v>45</v>
      </c>
      <c r="E11" s="92">
        <f>SUM(E12:E18)</f>
        <v>5</v>
      </c>
      <c r="F11" s="92">
        <f>SUM(F12:F18)</f>
        <v>350</v>
      </c>
      <c r="G11" s="93">
        <f>B11+C11/60</f>
        <v>51</v>
      </c>
      <c r="H11" s="92">
        <f>SUM(H12:H18)</f>
        <v>250</v>
      </c>
      <c r="I11" s="94">
        <f>SUM(I12:I18)</f>
        <v>3028.6666666666665</v>
      </c>
      <c r="J11" s="95">
        <f>SUM(J12:J18)</f>
        <v>2778.6666666666665</v>
      </c>
      <c r="K11" s="8">
        <f>SUM(K12:K18)</f>
        <v>158</v>
      </c>
      <c r="L11" s="9">
        <v>0</v>
      </c>
      <c r="M11" s="96">
        <f>J11+L11</f>
        <v>2778.6666666666665</v>
      </c>
      <c r="N11" s="97">
        <f>SUM(N12:N18)</f>
        <v>3655</v>
      </c>
      <c r="O11" s="98">
        <f>4055-N11</f>
        <v>400</v>
      </c>
    </row>
    <row r="12" spans="1:16">
      <c r="A12" s="6">
        <v>46111</v>
      </c>
      <c r="B12" s="4">
        <v>9</v>
      </c>
      <c r="C12" s="4">
        <v>25</v>
      </c>
      <c r="D12" s="4">
        <v>45</v>
      </c>
      <c r="E12" s="4">
        <v>1</v>
      </c>
      <c r="F12" s="4">
        <v>50</v>
      </c>
      <c r="G12" s="10">
        <f>B12+C12/60</f>
        <v>9.4166666666666661</v>
      </c>
      <c r="H12" s="4">
        <v>50</v>
      </c>
      <c r="I12" s="5">
        <f>G12*D12</f>
        <v>423.75</v>
      </c>
      <c r="J12" s="5">
        <f>I12-H12</f>
        <v>373.75</v>
      </c>
      <c r="K12">
        <v>23</v>
      </c>
      <c r="M12" t="s">
        <v>26</v>
      </c>
      <c r="N12" s="83">
        <v>518</v>
      </c>
      <c r="P12" t="s">
        <v>464</v>
      </c>
    </row>
    <row r="13" spans="1:16">
      <c r="A13" s="6">
        <v>46112</v>
      </c>
      <c r="B13" s="4">
        <v>0</v>
      </c>
      <c r="C13" s="4">
        <v>0</v>
      </c>
      <c r="D13" s="4">
        <v>0</v>
      </c>
      <c r="E13" s="4">
        <v>0</v>
      </c>
      <c r="F13" s="4">
        <v>50</v>
      </c>
      <c r="G13" s="10">
        <f t="shared" ref="G13:G67" si="4">B13+C13/60</f>
        <v>0</v>
      </c>
      <c r="H13" s="4">
        <v>0</v>
      </c>
      <c r="I13" s="5">
        <f>G13*D13</f>
        <v>0</v>
      </c>
      <c r="J13" s="5">
        <f t="shared" ref="J13:J18" si="5">I13-H13</f>
        <v>0</v>
      </c>
      <c r="K13">
        <v>0</v>
      </c>
      <c r="N13" s="83"/>
    </row>
    <row r="14" spans="1:16">
      <c r="A14" s="6">
        <v>46113</v>
      </c>
      <c r="B14" s="4">
        <v>0</v>
      </c>
      <c r="C14" s="4">
        <v>0</v>
      </c>
      <c r="D14" s="4">
        <v>0</v>
      </c>
      <c r="E14" s="4">
        <v>0</v>
      </c>
      <c r="F14" s="4">
        <v>50</v>
      </c>
      <c r="G14" s="10">
        <f t="shared" si="4"/>
        <v>0</v>
      </c>
      <c r="H14" s="4">
        <v>0</v>
      </c>
      <c r="I14" s="5">
        <f t="shared" ref="I14:I18" si="6">G14*D14</f>
        <v>0</v>
      </c>
      <c r="J14" s="5">
        <f t="shared" si="5"/>
        <v>0</v>
      </c>
      <c r="K14">
        <v>0</v>
      </c>
      <c r="N14" s="83"/>
    </row>
    <row r="15" spans="1:16">
      <c r="A15" s="6">
        <v>46114</v>
      </c>
      <c r="B15" s="4">
        <v>10</v>
      </c>
      <c r="C15" s="4">
        <v>28</v>
      </c>
      <c r="D15" s="4">
        <v>65</v>
      </c>
      <c r="E15" s="4">
        <v>1</v>
      </c>
      <c r="F15" s="4">
        <v>50</v>
      </c>
      <c r="G15" s="10">
        <f t="shared" si="4"/>
        <v>10.466666666666667</v>
      </c>
      <c r="H15" s="4">
        <v>50</v>
      </c>
      <c r="I15" s="5">
        <f t="shared" si="6"/>
        <v>680.33333333333337</v>
      </c>
      <c r="J15" s="5">
        <f t="shared" si="5"/>
        <v>630.33333333333337</v>
      </c>
      <c r="K15">
        <v>33</v>
      </c>
      <c r="N15" s="83">
        <f>644</f>
        <v>644</v>
      </c>
    </row>
    <row r="16" spans="1:16">
      <c r="A16" s="6">
        <v>46115</v>
      </c>
      <c r="B16" s="4">
        <v>9</v>
      </c>
      <c r="C16" s="4">
        <v>48</v>
      </c>
      <c r="D16" s="4">
        <v>55</v>
      </c>
      <c r="E16" s="4">
        <v>1</v>
      </c>
      <c r="F16" s="4">
        <v>50</v>
      </c>
      <c r="G16" s="10">
        <f t="shared" si="4"/>
        <v>9.8000000000000007</v>
      </c>
      <c r="H16" s="4">
        <v>50</v>
      </c>
      <c r="I16" s="5">
        <f t="shared" si="6"/>
        <v>539</v>
      </c>
      <c r="J16" s="5">
        <f t="shared" si="5"/>
        <v>489</v>
      </c>
      <c r="K16">
        <v>32</v>
      </c>
      <c r="N16" s="83">
        <v>823</v>
      </c>
    </row>
    <row r="17" spans="1:16">
      <c r="A17" s="6">
        <v>46116</v>
      </c>
      <c r="B17" s="4">
        <v>10</v>
      </c>
      <c r="C17" s="4">
        <v>35</v>
      </c>
      <c r="D17" s="4">
        <v>65</v>
      </c>
      <c r="E17" s="4">
        <v>1</v>
      </c>
      <c r="F17" s="4">
        <v>50</v>
      </c>
      <c r="G17" s="10">
        <f t="shared" si="4"/>
        <v>10.583333333333334</v>
      </c>
      <c r="H17" s="4">
        <v>50</v>
      </c>
      <c r="I17" s="5">
        <f t="shared" si="6"/>
        <v>687.91666666666674</v>
      </c>
      <c r="J17" s="5">
        <f t="shared" si="5"/>
        <v>637.91666666666674</v>
      </c>
      <c r="K17">
        <v>36</v>
      </c>
      <c r="N17" s="83">
        <v>834</v>
      </c>
    </row>
    <row r="18" spans="1:16" ht="16" thickBot="1">
      <c r="A18" s="6">
        <v>46117</v>
      </c>
      <c r="B18" s="4">
        <v>10</v>
      </c>
      <c r="C18" s="4">
        <v>44</v>
      </c>
      <c r="D18" s="4">
        <v>65</v>
      </c>
      <c r="E18" s="4">
        <v>1</v>
      </c>
      <c r="F18" s="4">
        <v>50</v>
      </c>
      <c r="G18" s="10">
        <f t="shared" si="4"/>
        <v>10.733333333333333</v>
      </c>
      <c r="H18" s="4">
        <v>50</v>
      </c>
      <c r="I18" s="5">
        <f t="shared" si="6"/>
        <v>697.66666666666663</v>
      </c>
      <c r="J18" s="5">
        <f t="shared" si="5"/>
        <v>647.66666666666663</v>
      </c>
      <c r="K18">
        <v>34</v>
      </c>
      <c r="N18" s="83">
        <v>836</v>
      </c>
    </row>
    <row r="19" spans="1:16" s="86" customFormat="1" ht="20" thickBot="1">
      <c r="A19" s="91" t="s">
        <v>465</v>
      </c>
      <c r="B19" s="8">
        <f>SUM(B20:B26)</f>
        <v>58</v>
      </c>
      <c r="C19" s="8">
        <f>SUM(C20:C26)</f>
        <v>204</v>
      </c>
      <c r="D19" s="8">
        <f>SUM(D20)</f>
        <v>45</v>
      </c>
      <c r="E19" s="8">
        <f>SUM(E20:E26)</f>
        <v>6</v>
      </c>
      <c r="F19" s="8">
        <f>SUM(F20:F26)</f>
        <v>350</v>
      </c>
      <c r="G19" s="93">
        <f t="shared" si="4"/>
        <v>61.4</v>
      </c>
      <c r="H19" s="8">
        <f>SUM(H20:H26)</f>
        <v>300</v>
      </c>
      <c r="I19" s="9">
        <f>SUM(I20:I26)</f>
        <v>3991.0000000000005</v>
      </c>
      <c r="J19" s="14">
        <f>SUM(J20:J26)</f>
        <v>3691</v>
      </c>
      <c r="K19" s="8">
        <f>SUM(K20:K26)</f>
        <v>206</v>
      </c>
      <c r="L19" s="9">
        <v>300</v>
      </c>
      <c r="M19" s="96">
        <f>J19+L19</f>
        <v>3991</v>
      </c>
      <c r="N19" s="99">
        <f>SUM(N20:N25)</f>
        <v>3820</v>
      </c>
      <c r="O19" s="98">
        <f>5139-N19</f>
        <v>1319</v>
      </c>
    </row>
    <row r="20" spans="1:16">
      <c r="A20" s="80">
        <v>46111</v>
      </c>
      <c r="B20" s="4">
        <v>0</v>
      </c>
      <c r="C20" s="4">
        <v>0</v>
      </c>
      <c r="D20" s="4">
        <v>45</v>
      </c>
      <c r="E20" s="4">
        <v>0</v>
      </c>
      <c r="F20" s="4">
        <v>50</v>
      </c>
      <c r="G20" s="10">
        <f t="shared" ref="G20:G25" si="7">B20+C20/60</f>
        <v>0</v>
      </c>
      <c r="H20" s="4">
        <v>0</v>
      </c>
      <c r="I20" s="5">
        <f t="shared" ref="I20:I50" si="8">G20*D20</f>
        <v>0</v>
      </c>
      <c r="J20" s="5">
        <f t="shared" ref="J20:J58" si="9">I20-H20</f>
        <v>0</v>
      </c>
      <c r="K20">
        <v>0</v>
      </c>
      <c r="N20" s="83"/>
    </row>
    <row r="21" spans="1:16">
      <c r="A21" s="80">
        <v>46112</v>
      </c>
      <c r="B21" s="4">
        <v>11</v>
      </c>
      <c r="C21" s="4">
        <v>20</v>
      </c>
      <c r="D21" s="4">
        <v>65</v>
      </c>
      <c r="E21" s="4">
        <v>1</v>
      </c>
      <c r="F21" s="4">
        <v>50</v>
      </c>
      <c r="G21" s="10">
        <f t="shared" si="7"/>
        <v>11.333333333333334</v>
      </c>
      <c r="H21" s="4">
        <v>50</v>
      </c>
      <c r="I21" s="5">
        <f t="shared" ref="I21:I26" si="10">G21*D21</f>
        <v>736.66666666666674</v>
      </c>
      <c r="J21" s="5">
        <f t="shared" ref="J21:J26" si="11">I21-H21</f>
        <v>686.66666666666674</v>
      </c>
      <c r="K21">
        <v>39</v>
      </c>
      <c r="N21" s="83">
        <v>500</v>
      </c>
    </row>
    <row r="22" spans="1:16">
      <c r="A22" s="80">
        <v>46113</v>
      </c>
      <c r="B22" s="4">
        <v>9</v>
      </c>
      <c r="C22" s="4">
        <v>42</v>
      </c>
      <c r="D22" s="4">
        <v>65</v>
      </c>
      <c r="E22" s="4">
        <v>1</v>
      </c>
      <c r="F22" s="4">
        <v>50</v>
      </c>
      <c r="G22" s="10">
        <f t="shared" si="7"/>
        <v>9.6999999999999993</v>
      </c>
      <c r="H22" s="4">
        <v>50</v>
      </c>
      <c r="I22" s="5">
        <f t="shared" si="10"/>
        <v>630.5</v>
      </c>
      <c r="J22" s="5">
        <f t="shared" si="11"/>
        <v>580.5</v>
      </c>
      <c r="K22">
        <v>33</v>
      </c>
      <c r="N22" s="83">
        <f>400+200</f>
        <v>600</v>
      </c>
      <c r="P22" t="s">
        <v>466</v>
      </c>
    </row>
    <row r="23" spans="1:16">
      <c r="A23" s="80">
        <v>46114</v>
      </c>
      <c r="B23" s="4">
        <v>10</v>
      </c>
      <c r="C23" s="4">
        <v>30</v>
      </c>
      <c r="D23" s="4">
        <v>65</v>
      </c>
      <c r="E23" s="4">
        <v>1</v>
      </c>
      <c r="F23" s="4">
        <v>50</v>
      </c>
      <c r="G23" s="10">
        <f t="shared" si="7"/>
        <v>10.5</v>
      </c>
      <c r="H23" s="4">
        <v>50</v>
      </c>
      <c r="I23" s="5">
        <f t="shared" si="10"/>
        <v>682.5</v>
      </c>
      <c r="J23" s="5">
        <f t="shared" si="11"/>
        <v>632.5</v>
      </c>
      <c r="K23">
        <v>38</v>
      </c>
      <c r="N23" s="51">
        <f>650+200</f>
        <v>850</v>
      </c>
    </row>
    <row r="24" spans="1:16">
      <c r="A24" s="80">
        <v>46115</v>
      </c>
      <c r="B24" s="4">
        <v>9</v>
      </c>
      <c r="C24" s="4">
        <v>52</v>
      </c>
      <c r="D24" s="4">
        <v>65</v>
      </c>
      <c r="E24" s="4">
        <v>1</v>
      </c>
      <c r="F24" s="4">
        <v>50</v>
      </c>
      <c r="G24" s="10">
        <f t="shared" si="7"/>
        <v>9.8666666666666671</v>
      </c>
      <c r="H24" s="4">
        <v>50</v>
      </c>
      <c r="I24" s="5">
        <f t="shared" si="10"/>
        <v>641.33333333333337</v>
      </c>
      <c r="J24" s="5">
        <f t="shared" si="11"/>
        <v>591.33333333333337</v>
      </c>
      <c r="K24">
        <v>32</v>
      </c>
      <c r="N24" s="51">
        <v>970</v>
      </c>
    </row>
    <row r="25" spans="1:16">
      <c r="A25" s="80">
        <v>46116</v>
      </c>
      <c r="B25" s="4">
        <v>10</v>
      </c>
      <c r="C25" s="4">
        <v>44</v>
      </c>
      <c r="D25" s="4">
        <v>65</v>
      </c>
      <c r="E25" s="4">
        <v>1</v>
      </c>
      <c r="F25" s="4">
        <v>50</v>
      </c>
      <c r="G25" s="10">
        <f t="shared" si="7"/>
        <v>10.733333333333333</v>
      </c>
      <c r="H25" s="4">
        <v>50</v>
      </c>
      <c r="I25" s="5">
        <f t="shared" si="10"/>
        <v>697.66666666666663</v>
      </c>
      <c r="J25" s="5">
        <f t="shared" si="11"/>
        <v>647.66666666666663</v>
      </c>
      <c r="K25">
        <v>32</v>
      </c>
      <c r="N25" s="51">
        <v>900</v>
      </c>
    </row>
    <row r="26" spans="1:16" ht="16" thickBot="1">
      <c r="A26" s="80">
        <v>46117</v>
      </c>
      <c r="B26" s="4">
        <v>9</v>
      </c>
      <c r="C26" s="4">
        <v>16</v>
      </c>
      <c r="D26" s="4">
        <v>65</v>
      </c>
      <c r="E26" s="4">
        <v>1</v>
      </c>
      <c r="F26" s="4">
        <v>50</v>
      </c>
      <c r="G26" s="10">
        <f>B26+C26/60</f>
        <v>9.2666666666666675</v>
      </c>
      <c r="H26" s="4">
        <v>50</v>
      </c>
      <c r="I26" s="5">
        <f t="shared" si="10"/>
        <v>602.33333333333337</v>
      </c>
      <c r="J26" s="5">
        <f t="shared" si="11"/>
        <v>552.33333333333337</v>
      </c>
      <c r="K26">
        <v>32</v>
      </c>
      <c r="N26" s="51">
        <v>1320</v>
      </c>
      <c r="P26" t="s">
        <v>467</v>
      </c>
    </row>
    <row r="27" spans="1:16" s="86" customFormat="1" ht="20" thickBot="1">
      <c r="A27" s="91" t="s">
        <v>468</v>
      </c>
      <c r="B27" s="8">
        <f>SUM(B28:B34)</f>
        <v>52</v>
      </c>
      <c r="C27" s="8">
        <f>SUM(C28:C34)</f>
        <v>185</v>
      </c>
      <c r="D27" s="8">
        <f>SUM(D28)</f>
        <v>0</v>
      </c>
      <c r="E27" s="8">
        <f>SUM(E28:E34)</f>
        <v>6</v>
      </c>
      <c r="F27" s="8">
        <f>SUM(F28:F34)</f>
        <v>300</v>
      </c>
      <c r="G27" s="93">
        <f>B27+C27/60</f>
        <v>55.083333333333336</v>
      </c>
      <c r="H27" s="8">
        <f>SUM(H28:H34)</f>
        <v>300</v>
      </c>
      <c r="I27" s="9">
        <f>SUM(I28:I34)</f>
        <v>3580.416666666667</v>
      </c>
      <c r="J27" s="14">
        <f>SUM(J28:J34)</f>
        <v>3280.416666666667</v>
      </c>
      <c r="K27" s="8">
        <f>SUM(K28:K34)</f>
        <v>202</v>
      </c>
      <c r="L27" s="9">
        <v>300</v>
      </c>
      <c r="M27" s="96">
        <f>J27+L27</f>
        <v>3580.416666666667</v>
      </c>
      <c r="N27" s="130">
        <f>SUM(N28:N34)</f>
        <v>7020</v>
      </c>
      <c r="O27" s="98">
        <f>6799-N27</f>
        <v>-221</v>
      </c>
    </row>
    <row r="28" spans="1:16">
      <c r="A28" s="6">
        <v>46111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10">
        <f>B28+C28/60</f>
        <v>0</v>
      </c>
      <c r="H28" s="4">
        <v>0</v>
      </c>
      <c r="I28" s="5">
        <f>G28*D28</f>
        <v>0</v>
      </c>
      <c r="J28" s="5">
        <f>I28-H28</f>
        <v>0</v>
      </c>
      <c r="K28">
        <v>0</v>
      </c>
      <c r="N28" s="51">
        <v>0</v>
      </c>
    </row>
    <row r="29" spans="1:16">
      <c r="A29" s="80" t="s">
        <v>454</v>
      </c>
      <c r="B29" s="4">
        <v>10</v>
      </c>
      <c r="C29" s="4">
        <v>8</v>
      </c>
      <c r="D29" s="4">
        <v>65</v>
      </c>
      <c r="E29" s="4">
        <v>1</v>
      </c>
      <c r="F29" s="4">
        <v>50</v>
      </c>
      <c r="G29" s="10">
        <f t="shared" ref="G29:G34" si="12">B29+C29/60</f>
        <v>10.133333333333333</v>
      </c>
      <c r="H29" s="4">
        <v>50</v>
      </c>
      <c r="I29" s="5">
        <f>G29*D29</f>
        <v>658.66666666666663</v>
      </c>
      <c r="J29" s="5">
        <f>I29-H29</f>
        <v>608.66666666666663</v>
      </c>
      <c r="K29">
        <v>35</v>
      </c>
      <c r="N29" s="83">
        <f>750</f>
        <v>750</v>
      </c>
      <c r="P29" t="s">
        <v>469</v>
      </c>
    </row>
    <row r="30" spans="1:16">
      <c r="A30" s="80" t="s">
        <v>456</v>
      </c>
      <c r="B30" s="4">
        <v>8</v>
      </c>
      <c r="C30" s="4">
        <v>28</v>
      </c>
      <c r="D30" s="4">
        <v>65</v>
      </c>
      <c r="E30" s="4">
        <v>1</v>
      </c>
      <c r="F30" s="4">
        <v>50</v>
      </c>
      <c r="G30" s="10">
        <f t="shared" si="12"/>
        <v>8.4666666666666668</v>
      </c>
      <c r="H30" s="4">
        <v>50</v>
      </c>
      <c r="I30" s="5">
        <f t="shared" ref="I30:I34" si="13">G30*D30</f>
        <v>550.33333333333337</v>
      </c>
      <c r="J30" s="5">
        <f t="shared" ref="J30:J34" si="14">I30-H30</f>
        <v>500.33333333333337</v>
      </c>
      <c r="K30">
        <v>32</v>
      </c>
      <c r="N30" s="83">
        <f>1250</f>
        <v>1250</v>
      </c>
      <c r="P30" t="s">
        <v>470</v>
      </c>
    </row>
    <row r="31" spans="1:16">
      <c r="A31" s="80" t="s">
        <v>457</v>
      </c>
      <c r="B31" s="4">
        <v>8</v>
      </c>
      <c r="C31" s="4">
        <v>53</v>
      </c>
      <c r="D31" s="4">
        <v>65</v>
      </c>
      <c r="E31" s="4">
        <v>1</v>
      </c>
      <c r="F31" s="4">
        <v>50</v>
      </c>
      <c r="G31" s="10">
        <f t="shared" si="12"/>
        <v>8.8833333333333329</v>
      </c>
      <c r="H31" s="4">
        <v>50</v>
      </c>
      <c r="I31" s="5">
        <f t="shared" si="13"/>
        <v>577.41666666666663</v>
      </c>
      <c r="J31" s="5">
        <f t="shared" si="14"/>
        <v>527.41666666666663</v>
      </c>
      <c r="K31">
        <v>36</v>
      </c>
      <c r="N31" s="51">
        <v>1120</v>
      </c>
      <c r="P31" t="s">
        <v>471</v>
      </c>
    </row>
    <row r="32" spans="1:16">
      <c r="A32" s="80" t="s">
        <v>459</v>
      </c>
      <c r="B32" s="4">
        <v>9</v>
      </c>
      <c r="C32" s="4">
        <v>25</v>
      </c>
      <c r="D32" s="4">
        <v>65</v>
      </c>
      <c r="E32" s="4">
        <v>1</v>
      </c>
      <c r="F32" s="7">
        <v>50</v>
      </c>
      <c r="G32" s="10">
        <f t="shared" si="12"/>
        <v>9.4166666666666661</v>
      </c>
      <c r="H32" s="4">
        <v>50</v>
      </c>
      <c r="I32" s="5">
        <f t="shared" si="13"/>
        <v>612.08333333333326</v>
      </c>
      <c r="J32" s="5">
        <f t="shared" si="14"/>
        <v>562.08333333333326</v>
      </c>
      <c r="K32">
        <v>32</v>
      </c>
      <c r="N32" s="51">
        <v>1000</v>
      </c>
      <c r="P32" t="s">
        <v>472</v>
      </c>
    </row>
    <row r="33" spans="1:16">
      <c r="A33" s="80" t="s">
        <v>460</v>
      </c>
      <c r="B33" s="4">
        <v>9</v>
      </c>
      <c r="C33" s="4">
        <v>22</v>
      </c>
      <c r="D33" s="4">
        <v>65</v>
      </c>
      <c r="E33" s="4">
        <v>1</v>
      </c>
      <c r="F33" s="4">
        <v>50</v>
      </c>
      <c r="G33" s="10">
        <f>B33+C33/60</f>
        <v>9.3666666666666671</v>
      </c>
      <c r="H33" s="4">
        <v>50</v>
      </c>
      <c r="I33" s="5">
        <f>G33*D33</f>
        <v>608.83333333333337</v>
      </c>
      <c r="J33" s="5">
        <f>I33-H33</f>
        <v>558.83333333333337</v>
      </c>
      <c r="K33">
        <v>34</v>
      </c>
      <c r="N33" s="51">
        <v>1360</v>
      </c>
      <c r="P33" t="s">
        <v>473</v>
      </c>
    </row>
    <row r="34" spans="1:16" ht="16" thickBot="1">
      <c r="A34" s="80" t="s">
        <v>461</v>
      </c>
      <c r="B34" s="4">
        <v>8</v>
      </c>
      <c r="C34" s="4">
        <v>49</v>
      </c>
      <c r="D34" s="4">
        <v>65</v>
      </c>
      <c r="E34" s="4">
        <v>1</v>
      </c>
      <c r="F34" s="4">
        <v>50</v>
      </c>
      <c r="G34" s="10">
        <f t="shared" si="12"/>
        <v>8.8166666666666664</v>
      </c>
      <c r="H34" s="4">
        <v>50</v>
      </c>
      <c r="I34" s="5">
        <f t="shared" si="13"/>
        <v>573.08333333333337</v>
      </c>
      <c r="J34" s="5">
        <f t="shared" si="14"/>
        <v>523.08333333333337</v>
      </c>
      <c r="K34">
        <v>33</v>
      </c>
      <c r="N34" s="51">
        <f>1000+540</f>
        <v>1540</v>
      </c>
      <c r="P34" t="s">
        <v>474</v>
      </c>
    </row>
    <row r="35" spans="1:16" s="86" customFormat="1" ht="20" thickBot="1">
      <c r="A35" s="91" t="s">
        <v>475</v>
      </c>
      <c r="B35" s="8">
        <f>SUM(B36:B42)</f>
        <v>48</v>
      </c>
      <c r="C35" s="8">
        <f>SUM(C36:C42)</f>
        <v>201</v>
      </c>
      <c r="D35" s="8">
        <f>SUM(D36)</f>
        <v>0</v>
      </c>
      <c r="E35" s="8">
        <f>SUM(E36:E42)</f>
        <v>6</v>
      </c>
      <c r="F35" s="8">
        <f>SUM(F36:F42)</f>
        <v>350</v>
      </c>
      <c r="G35" s="93">
        <f t="shared" si="4"/>
        <v>51.35</v>
      </c>
      <c r="H35" s="8">
        <f>SUM(H36:H42)</f>
        <v>300</v>
      </c>
      <c r="I35" s="9">
        <f>SUM(I36:I42)</f>
        <v>2310.75</v>
      </c>
      <c r="J35" s="14">
        <f>SUM(J36:J42)</f>
        <v>2010.75</v>
      </c>
      <c r="K35" s="8">
        <f>SUM(K36:K42)</f>
        <v>107</v>
      </c>
      <c r="L35" s="9">
        <v>0</v>
      </c>
      <c r="M35" s="96">
        <f>J35+L35</f>
        <v>2010.75</v>
      </c>
      <c r="N35" s="129">
        <f>SUM(N36:N42)</f>
        <v>3813</v>
      </c>
      <c r="O35" s="98">
        <f>3881-N35</f>
        <v>68</v>
      </c>
    </row>
    <row r="36" spans="1:16" ht="19.25" customHeight="1">
      <c r="A36" s="145">
        <v>46111</v>
      </c>
      <c r="B36" s="4">
        <v>0</v>
      </c>
      <c r="C36" s="4">
        <v>0</v>
      </c>
      <c r="D36" s="4">
        <v>0</v>
      </c>
      <c r="E36" s="4">
        <v>0</v>
      </c>
      <c r="F36" s="4">
        <v>50</v>
      </c>
      <c r="G36" s="10">
        <f>B36+C36/60</f>
        <v>0</v>
      </c>
      <c r="H36" s="4">
        <v>0</v>
      </c>
      <c r="I36" s="5">
        <f t="shared" ref="I36:I42" si="15">G36*D36</f>
        <v>0</v>
      </c>
      <c r="J36" s="5">
        <f t="shared" ref="J36:J42" si="16">I36-H36</f>
        <v>0</v>
      </c>
      <c r="K36">
        <v>0</v>
      </c>
      <c r="N36" s="119">
        <v>0</v>
      </c>
      <c r="O36" s="49"/>
    </row>
    <row r="37" spans="1:16" ht="16.25" customHeight="1">
      <c r="A37" s="145">
        <v>46112</v>
      </c>
      <c r="B37" s="4">
        <v>10</v>
      </c>
      <c r="C37" s="4">
        <v>49</v>
      </c>
      <c r="D37" s="4">
        <v>45</v>
      </c>
      <c r="E37" s="4">
        <v>1</v>
      </c>
      <c r="F37" s="4">
        <v>50</v>
      </c>
      <c r="G37" s="10">
        <f t="shared" ref="G37:G40" si="17">B37+C37/60</f>
        <v>10.816666666666666</v>
      </c>
      <c r="H37" s="4">
        <v>50</v>
      </c>
      <c r="I37" s="5">
        <f t="shared" si="15"/>
        <v>486.75</v>
      </c>
      <c r="J37" s="5">
        <f t="shared" si="16"/>
        <v>436.75</v>
      </c>
      <c r="K37">
        <v>20</v>
      </c>
      <c r="N37" s="83">
        <f>205</f>
        <v>205</v>
      </c>
      <c r="O37" s="49"/>
      <c r="P37" t="s">
        <v>476</v>
      </c>
    </row>
    <row r="38" spans="1:16">
      <c r="A38" s="145">
        <v>46113</v>
      </c>
      <c r="B38" s="4">
        <v>6</v>
      </c>
      <c r="C38" s="4">
        <v>49</v>
      </c>
      <c r="D38" s="4">
        <v>45</v>
      </c>
      <c r="E38" s="4">
        <v>1</v>
      </c>
      <c r="F38" s="4">
        <v>50</v>
      </c>
      <c r="G38" s="10">
        <f t="shared" si="17"/>
        <v>6.8166666666666664</v>
      </c>
      <c r="H38" s="4">
        <v>50</v>
      </c>
      <c r="I38" s="5">
        <f t="shared" si="15"/>
        <v>306.75</v>
      </c>
      <c r="J38" s="5">
        <f t="shared" si="16"/>
        <v>256.75</v>
      </c>
      <c r="K38">
        <v>13</v>
      </c>
      <c r="N38" s="83">
        <f>278+200</f>
        <v>478</v>
      </c>
      <c r="P38" t="s">
        <v>477</v>
      </c>
    </row>
    <row r="39" spans="1:16">
      <c r="A39" s="145">
        <v>46114</v>
      </c>
      <c r="B39" s="4">
        <v>9</v>
      </c>
      <c r="C39" s="4">
        <v>10</v>
      </c>
      <c r="D39" s="4">
        <v>45</v>
      </c>
      <c r="E39" s="4">
        <v>1</v>
      </c>
      <c r="F39" s="4">
        <v>50</v>
      </c>
      <c r="G39" s="10">
        <f t="shared" si="17"/>
        <v>9.1666666666666661</v>
      </c>
      <c r="H39" s="4">
        <v>50</v>
      </c>
      <c r="I39" s="5">
        <f t="shared" si="15"/>
        <v>412.5</v>
      </c>
      <c r="J39" s="5">
        <f t="shared" si="16"/>
        <v>362.5</v>
      </c>
      <c r="K39">
        <v>19</v>
      </c>
      <c r="N39" s="83">
        <f>430 + 581</f>
        <v>1011</v>
      </c>
      <c r="P39" t="s">
        <v>478</v>
      </c>
    </row>
    <row r="40" spans="1:16">
      <c r="A40" s="145">
        <v>46115</v>
      </c>
      <c r="B40" s="4">
        <v>8</v>
      </c>
      <c r="C40" s="4">
        <v>39</v>
      </c>
      <c r="D40" s="4">
        <v>45</v>
      </c>
      <c r="E40" s="4">
        <v>1</v>
      </c>
      <c r="F40" s="4">
        <v>50</v>
      </c>
      <c r="G40" s="10">
        <f t="shared" si="17"/>
        <v>8.65</v>
      </c>
      <c r="H40" s="4">
        <v>50</v>
      </c>
      <c r="I40" s="5">
        <f t="shared" si="15"/>
        <v>389.25</v>
      </c>
      <c r="J40" s="5">
        <f t="shared" si="16"/>
        <v>339.25</v>
      </c>
      <c r="K40">
        <v>21</v>
      </c>
      <c r="N40" s="119">
        <f>581</f>
        <v>581</v>
      </c>
      <c r="P40" t="s">
        <v>479</v>
      </c>
    </row>
    <row r="41" spans="1:16">
      <c r="A41" s="145">
        <v>46116</v>
      </c>
      <c r="B41" s="4">
        <v>8</v>
      </c>
      <c r="C41" s="4">
        <v>34</v>
      </c>
      <c r="D41" s="4">
        <v>45</v>
      </c>
      <c r="E41" s="4">
        <v>1</v>
      </c>
      <c r="F41" s="4">
        <v>50</v>
      </c>
      <c r="G41" s="10">
        <f>B41+C41/60</f>
        <v>8.5666666666666664</v>
      </c>
      <c r="H41" s="4">
        <v>50</v>
      </c>
      <c r="I41" s="5">
        <f t="shared" si="15"/>
        <v>385.5</v>
      </c>
      <c r="J41" s="5">
        <f t="shared" si="16"/>
        <v>335.5</v>
      </c>
      <c r="K41">
        <v>17</v>
      </c>
      <c r="N41" s="119">
        <v>834</v>
      </c>
      <c r="P41" s="51" t="s">
        <v>480</v>
      </c>
    </row>
    <row r="42" spans="1:16" ht="16" thickBot="1">
      <c r="A42" s="145">
        <v>46117</v>
      </c>
      <c r="B42" s="4">
        <v>7</v>
      </c>
      <c r="C42" s="4">
        <v>20</v>
      </c>
      <c r="D42" s="4">
        <v>45</v>
      </c>
      <c r="E42" s="4">
        <v>1</v>
      </c>
      <c r="F42" s="4">
        <v>50</v>
      </c>
      <c r="G42" s="10">
        <f>B42+C42/60</f>
        <v>7.333333333333333</v>
      </c>
      <c r="H42" s="4">
        <v>50</v>
      </c>
      <c r="I42" s="5">
        <f t="shared" si="15"/>
        <v>330</v>
      </c>
      <c r="J42" s="5">
        <f t="shared" si="16"/>
        <v>280</v>
      </c>
      <c r="K42">
        <v>17</v>
      </c>
      <c r="L42" s="1"/>
      <c r="N42" s="119">
        <f>704</f>
        <v>704</v>
      </c>
      <c r="P42" t="s">
        <v>481</v>
      </c>
    </row>
    <row r="43" spans="1:16" s="86" customFormat="1" ht="20" hidden="1" thickBot="1">
      <c r="A43" s="91" t="s">
        <v>482</v>
      </c>
      <c r="B43" s="8">
        <f>SUM(B44:B50)</f>
        <v>0</v>
      </c>
      <c r="C43" s="8">
        <f>SUM(C44:C50)</f>
        <v>0</v>
      </c>
      <c r="D43" s="8">
        <f>SUM(D44)</f>
        <v>45</v>
      </c>
      <c r="E43" s="8">
        <f>SUM(E44:E50)</f>
        <v>7</v>
      </c>
      <c r="F43" s="8">
        <f>SUM(F44:F50)</f>
        <v>350</v>
      </c>
      <c r="G43" s="93">
        <f t="shared" si="4"/>
        <v>0</v>
      </c>
      <c r="H43" s="8">
        <f>SUM(H44:H50)</f>
        <v>0</v>
      </c>
      <c r="I43" s="100">
        <f>SUM(I44:I50)</f>
        <v>0</v>
      </c>
      <c r="J43" s="101">
        <f>SUM(J44:J50)</f>
        <v>0</v>
      </c>
      <c r="K43" s="8">
        <f>SUM(K44:K50)</f>
        <v>0</v>
      </c>
      <c r="L43" s="104">
        <v>0</v>
      </c>
      <c r="M43" s="96">
        <f>J43+L43</f>
        <v>0</v>
      </c>
      <c r="N43" s="99">
        <f>SUM(N44:N50)</f>
        <v>0</v>
      </c>
      <c r="O43" s="98">
        <v>0</v>
      </c>
    </row>
    <row r="44" spans="1:16" hidden="1">
      <c r="A44" s="145">
        <v>46111</v>
      </c>
      <c r="B44" s="4">
        <v>0</v>
      </c>
      <c r="C44" s="4">
        <v>0</v>
      </c>
      <c r="D44" s="4">
        <v>45</v>
      </c>
      <c r="E44" s="4">
        <v>1</v>
      </c>
      <c r="F44" s="4">
        <v>50</v>
      </c>
      <c r="G44" s="10">
        <f t="shared" si="4"/>
        <v>0</v>
      </c>
      <c r="H44" s="4">
        <v>0</v>
      </c>
      <c r="I44" s="5">
        <f t="shared" si="8"/>
        <v>0</v>
      </c>
      <c r="J44" s="5">
        <f>I44-H44</f>
        <v>0</v>
      </c>
      <c r="K44">
        <v>0</v>
      </c>
      <c r="N44" s="87">
        <v>0</v>
      </c>
    </row>
    <row r="45" spans="1:16" hidden="1">
      <c r="A45" s="145">
        <v>46112</v>
      </c>
      <c r="B45" s="4">
        <v>0</v>
      </c>
      <c r="C45" s="4">
        <v>0</v>
      </c>
      <c r="D45" s="4">
        <v>45</v>
      </c>
      <c r="E45" s="4">
        <v>1</v>
      </c>
      <c r="F45" s="4">
        <v>50</v>
      </c>
      <c r="G45" s="10">
        <f t="shared" si="4"/>
        <v>0</v>
      </c>
      <c r="H45" s="4">
        <v>0</v>
      </c>
      <c r="I45" s="5">
        <f t="shared" si="8"/>
        <v>0</v>
      </c>
      <c r="J45" s="5">
        <f t="shared" ref="J45:J50" si="18">I45-H45</f>
        <v>0</v>
      </c>
      <c r="K45">
        <v>0</v>
      </c>
      <c r="N45" s="81">
        <v>0</v>
      </c>
    </row>
    <row r="46" spans="1:16" hidden="1">
      <c r="A46" s="145">
        <v>46113</v>
      </c>
      <c r="B46" s="4">
        <v>0</v>
      </c>
      <c r="C46" s="4">
        <v>0</v>
      </c>
      <c r="D46" s="4">
        <v>45</v>
      </c>
      <c r="E46" s="4">
        <v>1</v>
      </c>
      <c r="F46" s="4">
        <v>50</v>
      </c>
      <c r="G46" s="10">
        <f t="shared" si="4"/>
        <v>0</v>
      </c>
      <c r="H46" s="4">
        <v>0</v>
      </c>
      <c r="I46" s="5">
        <f t="shared" si="8"/>
        <v>0</v>
      </c>
      <c r="J46" s="5">
        <f t="shared" si="18"/>
        <v>0</v>
      </c>
      <c r="K46">
        <v>0</v>
      </c>
      <c r="N46" s="81">
        <v>0</v>
      </c>
    </row>
    <row r="47" spans="1:16" hidden="1">
      <c r="A47" s="145">
        <v>46114</v>
      </c>
      <c r="B47" s="4">
        <v>0</v>
      </c>
      <c r="C47" s="4">
        <v>0</v>
      </c>
      <c r="D47" s="4">
        <v>45</v>
      </c>
      <c r="E47" s="4">
        <v>1</v>
      </c>
      <c r="F47" s="4">
        <v>50</v>
      </c>
      <c r="G47" s="10">
        <f t="shared" si="4"/>
        <v>0</v>
      </c>
      <c r="H47" s="4">
        <v>0</v>
      </c>
      <c r="I47" s="5">
        <f t="shared" si="8"/>
        <v>0</v>
      </c>
      <c r="J47" s="5">
        <f t="shared" si="18"/>
        <v>0</v>
      </c>
      <c r="K47">
        <v>0</v>
      </c>
      <c r="N47" s="118">
        <v>0</v>
      </c>
    </row>
    <row r="48" spans="1:16" hidden="1">
      <c r="A48" s="145">
        <v>46115</v>
      </c>
      <c r="B48" s="4">
        <v>0</v>
      </c>
      <c r="C48" s="4">
        <v>0</v>
      </c>
      <c r="D48" s="4">
        <v>45</v>
      </c>
      <c r="E48" s="4">
        <v>1</v>
      </c>
      <c r="F48" s="4">
        <v>50</v>
      </c>
      <c r="G48" s="10">
        <f t="shared" si="4"/>
        <v>0</v>
      </c>
      <c r="H48" s="4">
        <v>0</v>
      </c>
      <c r="I48" s="5">
        <f t="shared" si="8"/>
        <v>0</v>
      </c>
      <c r="J48" s="5">
        <f t="shared" si="18"/>
        <v>0</v>
      </c>
      <c r="K48">
        <v>0</v>
      </c>
      <c r="N48" s="118">
        <v>0</v>
      </c>
    </row>
    <row r="49" spans="1:17" hidden="1">
      <c r="A49" s="145">
        <v>46116</v>
      </c>
      <c r="B49" s="4">
        <v>0</v>
      </c>
      <c r="C49" s="4">
        <v>0</v>
      </c>
      <c r="D49" s="4">
        <v>45</v>
      </c>
      <c r="E49" s="4">
        <v>1</v>
      </c>
      <c r="F49" s="4">
        <v>50</v>
      </c>
      <c r="G49" s="10">
        <f t="shared" si="4"/>
        <v>0</v>
      </c>
      <c r="H49" s="4">
        <v>0</v>
      </c>
      <c r="I49" s="5">
        <f t="shared" si="8"/>
        <v>0</v>
      </c>
      <c r="J49" s="5">
        <f t="shared" si="18"/>
        <v>0</v>
      </c>
      <c r="K49">
        <v>0</v>
      </c>
      <c r="N49" s="118">
        <v>0</v>
      </c>
    </row>
    <row r="50" spans="1:17" ht="16" hidden="1" thickBot="1">
      <c r="A50" s="145">
        <v>46117</v>
      </c>
      <c r="B50" s="4">
        <v>0</v>
      </c>
      <c r="C50" s="4">
        <v>0</v>
      </c>
      <c r="D50" s="4">
        <v>45</v>
      </c>
      <c r="E50" s="4">
        <v>1</v>
      </c>
      <c r="F50" s="4">
        <v>50</v>
      </c>
      <c r="G50" s="10">
        <f t="shared" si="4"/>
        <v>0</v>
      </c>
      <c r="H50" s="4">
        <v>0</v>
      </c>
      <c r="I50" s="5">
        <f t="shared" si="8"/>
        <v>0</v>
      </c>
      <c r="J50" s="5">
        <f t="shared" si="18"/>
        <v>0</v>
      </c>
      <c r="K50">
        <v>0</v>
      </c>
      <c r="N50" s="118">
        <v>0</v>
      </c>
    </row>
    <row r="51" spans="1:17" s="86" customFormat="1" ht="20" hidden="1" thickBot="1">
      <c r="A51" s="91" t="s">
        <v>483</v>
      </c>
      <c r="B51" s="8">
        <f>SUM(B52:B58)</f>
        <v>0</v>
      </c>
      <c r="C51" s="8">
        <f>SUM(C52:C58)</f>
        <v>0</v>
      </c>
      <c r="D51" s="8">
        <f>SUM(D52)</f>
        <v>45</v>
      </c>
      <c r="E51" s="8">
        <f>SUM(E52:E58)</f>
        <v>7</v>
      </c>
      <c r="F51" s="8">
        <f>SUM(F52:F58)</f>
        <v>350</v>
      </c>
      <c r="G51" s="93">
        <f t="shared" si="4"/>
        <v>0</v>
      </c>
      <c r="H51" s="8">
        <f>SUM(H52:H58)</f>
        <v>0</v>
      </c>
      <c r="I51" s="9">
        <f>SUM(I52:I58)</f>
        <v>0</v>
      </c>
      <c r="J51" s="14">
        <f>SUM(J52:J58)</f>
        <v>0</v>
      </c>
      <c r="K51" s="8">
        <f>SUM(K52:K58)</f>
        <v>0</v>
      </c>
      <c r="L51" s="9">
        <v>0</v>
      </c>
      <c r="M51" s="96">
        <f>J51</f>
        <v>0</v>
      </c>
      <c r="N51" s="102">
        <f>SUM(N52:N58)</f>
        <v>0</v>
      </c>
      <c r="O51" s="98">
        <v>0</v>
      </c>
    </row>
    <row r="52" spans="1:17" ht="19" hidden="1">
      <c r="A52" s="145">
        <v>46113</v>
      </c>
      <c r="B52" s="4">
        <v>0</v>
      </c>
      <c r="C52" s="4">
        <v>0</v>
      </c>
      <c r="D52" s="4">
        <v>45</v>
      </c>
      <c r="E52" s="4">
        <v>1</v>
      </c>
      <c r="F52" s="4">
        <v>50</v>
      </c>
      <c r="G52" s="10">
        <f>B52+C52/60</f>
        <v>0</v>
      </c>
      <c r="H52" s="4">
        <v>0</v>
      </c>
      <c r="I52" s="5">
        <f>G52*D52</f>
        <v>0</v>
      </c>
      <c r="J52" s="5">
        <f>I52-H52</f>
        <v>0</v>
      </c>
      <c r="K52">
        <v>0</v>
      </c>
      <c r="N52" s="51">
        <v>0</v>
      </c>
      <c r="O52" s="49"/>
    </row>
    <row r="53" spans="1:17" hidden="1">
      <c r="A53" s="145">
        <v>46114</v>
      </c>
      <c r="B53" s="4">
        <v>0</v>
      </c>
      <c r="C53" s="4">
        <v>0</v>
      </c>
      <c r="D53" s="4">
        <v>45</v>
      </c>
      <c r="E53" s="4">
        <v>1</v>
      </c>
      <c r="F53" s="4">
        <v>50</v>
      </c>
      <c r="G53" s="10">
        <f t="shared" ref="G53:G58" si="19">B53+C53/60</f>
        <v>0</v>
      </c>
      <c r="H53" s="4">
        <v>0</v>
      </c>
      <c r="I53" s="5">
        <f t="shared" ref="I53:I58" si="20">G53*D53</f>
        <v>0</v>
      </c>
      <c r="J53" s="5">
        <f>I53-H53</f>
        <v>0</v>
      </c>
      <c r="K53">
        <v>0</v>
      </c>
      <c r="N53" s="51">
        <v>0</v>
      </c>
    </row>
    <row r="54" spans="1:17" hidden="1">
      <c r="A54" s="145">
        <v>46115</v>
      </c>
      <c r="B54" s="4">
        <v>0</v>
      </c>
      <c r="C54" s="4">
        <v>0</v>
      </c>
      <c r="D54" s="4">
        <v>45</v>
      </c>
      <c r="E54" s="4">
        <v>1</v>
      </c>
      <c r="F54" s="4">
        <v>50</v>
      </c>
      <c r="G54" s="10">
        <f t="shared" si="19"/>
        <v>0</v>
      </c>
      <c r="H54" s="4">
        <v>0</v>
      </c>
      <c r="I54" s="5">
        <f>G54*D54</f>
        <v>0</v>
      </c>
      <c r="J54" s="5">
        <f>I54-H54</f>
        <v>0</v>
      </c>
      <c r="K54">
        <v>0</v>
      </c>
      <c r="N54" s="51">
        <v>0</v>
      </c>
    </row>
    <row r="55" spans="1:17" hidden="1">
      <c r="A55" s="145">
        <v>46116</v>
      </c>
      <c r="B55" s="4">
        <v>0</v>
      </c>
      <c r="C55" s="4">
        <v>0</v>
      </c>
      <c r="D55" s="4">
        <v>45</v>
      </c>
      <c r="E55" s="4">
        <v>1</v>
      </c>
      <c r="F55" s="4">
        <v>50</v>
      </c>
      <c r="G55" s="10">
        <v>0</v>
      </c>
      <c r="H55" s="4">
        <v>0</v>
      </c>
      <c r="I55" s="5">
        <v>0</v>
      </c>
      <c r="J55" s="5">
        <f>I55-H55</f>
        <v>0</v>
      </c>
      <c r="K55">
        <v>0</v>
      </c>
      <c r="N55" s="51">
        <v>0</v>
      </c>
    </row>
    <row r="56" spans="1:17" hidden="1">
      <c r="A56" s="145">
        <v>46117</v>
      </c>
      <c r="B56" s="4">
        <v>0</v>
      </c>
      <c r="C56" s="4">
        <v>0</v>
      </c>
      <c r="D56" s="4">
        <v>45</v>
      </c>
      <c r="E56" s="4">
        <v>1</v>
      </c>
      <c r="F56" s="4">
        <v>50</v>
      </c>
      <c r="G56" s="10">
        <f t="shared" si="19"/>
        <v>0</v>
      </c>
      <c r="H56" s="4">
        <v>0</v>
      </c>
      <c r="I56" s="5">
        <f t="shared" si="20"/>
        <v>0</v>
      </c>
      <c r="J56" s="5">
        <f t="shared" si="9"/>
        <v>0</v>
      </c>
      <c r="K56">
        <v>0</v>
      </c>
      <c r="N56" s="51">
        <v>0</v>
      </c>
    </row>
    <row r="57" spans="1:17" hidden="1">
      <c r="A57" s="145">
        <v>46118</v>
      </c>
      <c r="B57" s="4">
        <v>0</v>
      </c>
      <c r="C57" s="4">
        <v>0</v>
      </c>
      <c r="D57" s="4">
        <v>45</v>
      </c>
      <c r="E57" s="4">
        <v>1</v>
      </c>
      <c r="F57" s="4">
        <v>50</v>
      </c>
      <c r="G57" s="10">
        <f t="shared" si="19"/>
        <v>0</v>
      </c>
      <c r="H57" s="4">
        <v>0</v>
      </c>
      <c r="I57" s="5">
        <v>0</v>
      </c>
      <c r="J57" s="5">
        <v>0</v>
      </c>
      <c r="K57">
        <v>0</v>
      </c>
      <c r="N57" s="51">
        <v>0</v>
      </c>
    </row>
    <row r="58" spans="1:17" ht="16" hidden="1" thickBot="1">
      <c r="A58" s="145">
        <v>46119</v>
      </c>
      <c r="B58" s="4">
        <v>0</v>
      </c>
      <c r="C58" s="4">
        <v>0</v>
      </c>
      <c r="D58" s="4">
        <v>45</v>
      </c>
      <c r="E58" s="4">
        <v>1</v>
      </c>
      <c r="F58" s="4">
        <v>50</v>
      </c>
      <c r="G58" s="10">
        <f t="shared" si="19"/>
        <v>0</v>
      </c>
      <c r="H58" s="4">
        <v>0</v>
      </c>
      <c r="I58" s="5">
        <f t="shared" si="20"/>
        <v>0</v>
      </c>
      <c r="J58" s="5">
        <f t="shared" si="9"/>
        <v>0</v>
      </c>
      <c r="K58">
        <v>0</v>
      </c>
      <c r="N58" s="51">
        <v>0</v>
      </c>
    </row>
    <row r="59" spans="1:17" s="86" customFormat="1" ht="20" hidden="1" thickBot="1">
      <c r="A59" s="91" t="s">
        <v>484</v>
      </c>
      <c r="B59" s="8">
        <f>SUM(B60:B66)</f>
        <v>0</v>
      </c>
      <c r="C59" s="8">
        <f>SUM(C60:C66)</f>
        <v>0</v>
      </c>
      <c r="D59" s="8">
        <f>SUM(D60)</f>
        <v>45</v>
      </c>
      <c r="E59" s="8">
        <f>SUM(E60:E66)</f>
        <v>7</v>
      </c>
      <c r="F59" s="8">
        <f>SUM(F60:F66)</f>
        <v>350</v>
      </c>
      <c r="G59" s="93">
        <f t="shared" si="4"/>
        <v>0</v>
      </c>
      <c r="H59" s="8">
        <f>SUM(H60:H66)</f>
        <v>0</v>
      </c>
      <c r="I59" s="9">
        <f>SUM(I60:I66)</f>
        <v>0</v>
      </c>
      <c r="J59" s="14">
        <f>SUM(J60:J66)</f>
        <v>0</v>
      </c>
      <c r="K59" s="8">
        <f>SUM(K60:K66)</f>
        <v>0</v>
      </c>
      <c r="L59" s="9">
        <v>0</v>
      </c>
      <c r="M59" s="96">
        <f>J59</f>
        <v>0</v>
      </c>
      <c r="N59" s="102">
        <f>SUM(N60:N66)</f>
        <v>0</v>
      </c>
      <c r="O59" s="98">
        <v>0</v>
      </c>
    </row>
    <row r="60" spans="1:17" hidden="1">
      <c r="A60" s="145">
        <v>46111</v>
      </c>
      <c r="B60" s="4">
        <v>0</v>
      </c>
      <c r="C60" s="4">
        <v>0</v>
      </c>
      <c r="D60" s="4">
        <v>45</v>
      </c>
      <c r="E60" s="4">
        <v>1</v>
      </c>
      <c r="F60" s="4">
        <v>50</v>
      </c>
      <c r="G60" s="10">
        <f t="shared" si="4"/>
        <v>0</v>
      </c>
      <c r="H60" s="4">
        <v>0</v>
      </c>
      <c r="I60" s="5">
        <f t="shared" ref="I60:I66" si="21">G60*D60</f>
        <v>0</v>
      </c>
      <c r="J60" s="5">
        <f t="shared" ref="J60:J62" si="22">I60-H60</f>
        <v>0</v>
      </c>
      <c r="K60">
        <v>0</v>
      </c>
      <c r="N60" s="51">
        <v>0</v>
      </c>
      <c r="O60" s="51"/>
    </row>
    <row r="61" spans="1:17" hidden="1">
      <c r="A61" s="145">
        <v>46112</v>
      </c>
      <c r="B61" s="4">
        <v>0</v>
      </c>
      <c r="C61" s="4">
        <v>0</v>
      </c>
      <c r="D61" s="4">
        <v>65</v>
      </c>
      <c r="E61" s="4">
        <v>1</v>
      </c>
      <c r="F61" s="4">
        <v>50</v>
      </c>
      <c r="G61" s="10">
        <f t="shared" si="4"/>
        <v>0</v>
      </c>
      <c r="H61" s="4">
        <v>0</v>
      </c>
      <c r="I61" s="5">
        <f t="shared" si="21"/>
        <v>0</v>
      </c>
      <c r="J61" s="5">
        <f t="shared" si="22"/>
        <v>0</v>
      </c>
      <c r="K61">
        <v>0</v>
      </c>
      <c r="N61" s="51">
        <v>0</v>
      </c>
    </row>
    <row r="62" spans="1:17" hidden="1">
      <c r="A62" s="145">
        <v>46113</v>
      </c>
      <c r="B62" s="4">
        <v>0</v>
      </c>
      <c r="C62" s="4">
        <v>0</v>
      </c>
      <c r="D62" s="4">
        <v>45</v>
      </c>
      <c r="E62" s="4">
        <v>1</v>
      </c>
      <c r="F62" s="4">
        <v>50</v>
      </c>
      <c r="G62" s="10">
        <f t="shared" si="4"/>
        <v>0</v>
      </c>
      <c r="H62" s="4">
        <v>0</v>
      </c>
      <c r="I62" s="5">
        <f t="shared" si="21"/>
        <v>0</v>
      </c>
      <c r="J62" s="5">
        <f t="shared" si="22"/>
        <v>0</v>
      </c>
      <c r="K62">
        <v>0</v>
      </c>
      <c r="N62" s="51">
        <v>0</v>
      </c>
      <c r="Q62" t="s">
        <v>64</v>
      </c>
    </row>
    <row r="63" spans="1:17" hidden="1">
      <c r="A63" s="145">
        <v>46114</v>
      </c>
      <c r="B63" s="4">
        <v>0</v>
      </c>
      <c r="C63" s="4">
        <v>0</v>
      </c>
      <c r="D63" s="4">
        <v>45</v>
      </c>
      <c r="E63" s="4">
        <v>1</v>
      </c>
      <c r="F63" s="4">
        <v>50</v>
      </c>
      <c r="G63" s="10">
        <f t="shared" si="4"/>
        <v>0</v>
      </c>
      <c r="H63" s="4">
        <v>0</v>
      </c>
      <c r="I63" s="5">
        <f t="shared" si="21"/>
        <v>0</v>
      </c>
      <c r="J63" s="5">
        <f>I63-H63</f>
        <v>0</v>
      </c>
      <c r="K63">
        <v>0</v>
      </c>
      <c r="N63" s="51">
        <v>0</v>
      </c>
    </row>
    <row r="64" spans="1:17" hidden="1">
      <c r="A64" s="145">
        <v>46115</v>
      </c>
      <c r="B64" s="4">
        <v>0</v>
      </c>
      <c r="C64" s="4">
        <v>0</v>
      </c>
      <c r="D64" s="4">
        <v>45</v>
      </c>
      <c r="E64" s="4">
        <v>1</v>
      </c>
      <c r="F64" s="4">
        <v>50</v>
      </c>
      <c r="G64" s="10">
        <f t="shared" si="4"/>
        <v>0</v>
      </c>
      <c r="H64" s="4">
        <v>0</v>
      </c>
      <c r="I64" s="5">
        <f t="shared" si="21"/>
        <v>0</v>
      </c>
      <c r="J64" s="5">
        <f>I64-H64</f>
        <v>0</v>
      </c>
      <c r="K64">
        <v>0</v>
      </c>
      <c r="N64" s="51">
        <v>0</v>
      </c>
      <c r="Q64" t="s">
        <v>64</v>
      </c>
    </row>
    <row r="65" spans="1:17" hidden="1">
      <c r="A65" s="145">
        <v>46116</v>
      </c>
      <c r="B65" s="4">
        <v>0</v>
      </c>
      <c r="C65" s="4">
        <v>0</v>
      </c>
      <c r="D65" s="4">
        <v>45</v>
      </c>
      <c r="E65" s="4">
        <v>1</v>
      </c>
      <c r="F65" s="4">
        <v>50</v>
      </c>
      <c r="G65" s="10">
        <f t="shared" si="4"/>
        <v>0</v>
      </c>
      <c r="H65" s="4">
        <v>0</v>
      </c>
      <c r="I65" s="5">
        <f t="shared" si="21"/>
        <v>0</v>
      </c>
      <c r="J65" s="5">
        <f>I65-H65</f>
        <v>0</v>
      </c>
      <c r="K65">
        <v>0</v>
      </c>
      <c r="N65" s="51">
        <v>0</v>
      </c>
    </row>
    <row r="66" spans="1:17" ht="16" hidden="1" thickBot="1">
      <c r="A66" s="145">
        <v>46117</v>
      </c>
      <c r="B66" s="4">
        <v>0</v>
      </c>
      <c r="C66" s="4">
        <v>0</v>
      </c>
      <c r="D66" s="4">
        <v>45</v>
      </c>
      <c r="E66" s="4">
        <v>1</v>
      </c>
      <c r="F66" s="4">
        <v>50</v>
      </c>
      <c r="G66" s="10">
        <f t="shared" si="4"/>
        <v>0</v>
      </c>
      <c r="H66" s="4">
        <v>0</v>
      </c>
      <c r="I66" s="5">
        <f t="shared" si="21"/>
        <v>0</v>
      </c>
      <c r="J66" s="5">
        <v>0</v>
      </c>
      <c r="K66">
        <v>0</v>
      </c>
      <c r="N66" s="51">
        <v>0</v>
      </c>
    </row>
    <row r="67" spans="1:17" s="86" customFormat="1" ht="20" hidden="1" thickBot="1">
      <c r="A67" s="91" t="s">
        <v>346</v>
      </c>
      <c r="B67" s="8">
        <f>SUM(B68:B74)</f>
        <v>0</v>
      </c>
      <c r="C67" s="8">
        <f>SUM(C68:C74)</f>
        <v>0</v>
      </c>
      <c r="D67" s="8">
        <f>SUM(D68)</f>
        <v>45</v>
      </c>
      <c r="E67" s="8">
        <f>SUM(E68:E74)</f>
        <v>7</v>
      </c>
      <c r="F67" s="8">
        <f>SUM(F68:F74)</f>
        <v>350</v>
      </c>
      <c r="G67" s="93">
        <f t="shared" si="4"/>
        <v>0</v>
      </c>
      <c r="H67" s="8">
        <f>SUM(H68:H74)</f>
        <v>0</v>
      </c>
      <c r="I67" s="9">
        <f>SUM(I68:I71)</f>
        <v>0</v>
      </c>
      <c r="J67" s="14">
        <f>SUM(J68:J71)</f>
        <v>0</v>
      </c>
      <c r="K67" s="8">
        <f>SUM(K68:K74)</f>
        <v>0</v>
      </c>
      <c r="L67" s="9">
        <v>0</v>
      </c>
      <c r="M67" s="96">
        <f>J67</f>
        <v>0</v>
      </c>
      <c r="N67" s="102">
        <f>SUM(N68:N71)</f>
        <v>0</v>
      </c>
      <c r="O67" s="98">
        <v>0</v>
      </c>
    </row>
    <row r="68" spans="1:17" hidden="1">
      <c r="A68" s="145">
        <v>46112</v>
      </c>
      <c r="B68" s="4">
        <v>0</v>
      </c>
      <c r="C68" s="4">
        <v>0</v>
      </c>
      <c r="D68" s="4">
        <v>45</v>
      </c>
      <c r="E68" s="4">
        <v>1</v>
      </c>
      <c r="F68" s="4">
        <v>50</v>
      </c>
      <c r="G68" s="10">
        <f>B68+C68/60</f>
        <v>0</v>
      </c>
      <c r="H68" s="4">
        <v>0</v>
      </c>
      <c r="I68" s="5">
        <f t="shared" ref="I68:I73" si="23">G68*D68</f>
        <v>0</v>
      </c>
      <c r="J68" s="5">
        <f>I68-H68</f>
        <v>0</v>
      </c>
      <c r="K68">
        <v>0</v>
      </c>
      <c r="N68" s="119">
        <v>0</v>
      </c>
      <c r="O68" s="51"/>
    </row>
    <row r="69" spans="1:17" hidden="1">
      <c r="A69" s="145">
        <v>46113</v>
      </c>
      <c r="B69" s="4">
        <v>0</v>
      </c>
      <c r="C69" s="4">
        <v>0</v>
      </c>
      <c r="D69" s="4">
        <v>45</v>
      </c>
      <c r="E69" s="4">
        <v>1</v>
      </c>
      <c r="F69" s="4">
        <v>50</v>
      </c>
      <c r="G69" s="10">
        <f t="shared" ref="G69:G71" si="24">B69+C69/60</f>
        <v>0</v>
      </c>
      <c r="H69" s="4">
        <v>0</v>
      </c>
      <c r="I69" s="5">
        <f t="shared" si="23"/>
        <v>0</v>
      </c>
      <c r="J69" s="5">
        <f>I69-H69</f>
        <v>0</v>
      </c>
      <c r="K69">
        <v>0</v>
      </c>
      <c r="N69" s="119">
        <v>0</v>
      </c>
    </row>
    <row r="70" spans="1:17" hidden="1">
      <c r="A70" s="145">
        <v>46114</v>
      </c>
      <c r="B70" s="4">
        <v>0</v>
      </c>
      <c r="C70" s="4">
        <v>0</v>
      </c>
      <c r="D70" s="4">
        <v>45</v>
      </c>
      <c r="E70" s="4">
        <v>1</v>
      </c>
      <c r="F70" s="4">
        <v>50</v>
      </c>
      <c r="G70" s="10">
        <f t="shared" si="24"/>
        <v>0</v>
      </c>
      <c r="H70" s="4">
        <v>0</v>
      </c>
      <c r="I70" s="5">
        <f t="shared" si="23"/>
        <v>0</v>
      </c>
      <c r="J70" s="5">
        <v>0</v>
      </c>
      <c r="K70">
        <v>0</v>
      </c>
      <c r="N70" s="119">
        <v>0</v>
      </c>
      <c r="Q70" t="s">
        <v>64</v>
      </c>
    </row>
    <row r="71" spans="1:17" hidden="1">
      <c r="A71" s="145">
        <v>46115</v>
      </c>
      <c r="B71" s="4">
        <v>0</v>
      </c>
      <c r="C71" s="4">
        <v>0</v>
      </c>
      <c r="D71" s="4">
        <v>45</v>
      </c>
      <c r="E71" s="4">
        <v>1</v>
      </c>
      <c r="F71" s="4">
        <v>50</v>
      </c>
      <c r="G71" s="10">
        <f t="shared" si="24"/>
        <v>0</v>
      </c>
      <c r="H71" s="4">
        <v>0</v>
      </c>
      <c r="I71" s="5">
        <f t="shared" si="23"/>
        <v>0</v>
      </c>
      <c r="J71" s="5">
        <v>0</v>
      </c>
      <c r="K71">
        <v>0</v>
      </c>
      <c r="N71" s="119">
        <v>0</v>
      </c>
    </row>
    <row r="72" spans="1:17" hidden="1">
      <c r="A72" s="145">
        <v>46116</v>
      </c>
      <c r="B72" s="4">
        <v>0</v>
      </c>
      <c r="C72" s="4">
        <v>0</v>
      </c>
      <c r="D72" s="4">
        <v>45</v>
      </c>
      <c r="E72" s="4">
        <v>1</v>
      </c>
      <c r="F72" s="4">
        <v>50</v>
      </c>
      <c r="G72" s="10">
        <f>B72+C72/60</f>
        <v>0</v>
      </c>
      <c r="H72" s="4">
        <v>0</v>
      </c>
      <c r="I72" s="5">
        <f t="shared" si="23"/>
        <v>0</v>
      </c>
      <c r="J72" s="5">
        <f>I72-H72</f>
        <v>0</v>
      </c>
      <c r="K72">
        <v>0</v>
      </c>
      <c r="N72" s="119">
        <v>0</v>
      </c>
    </row>
    <row r="73" spans="1:17" hidden="1">
      <c r="A73" s="145">
        <v>46117</v>
      </c>
      <c r="B73" s="4">
        <v>0</v>
      </c>
      <c r="C73" s="4">
        <v>0</v>
      </c>
      <c r="D73" s="4">
        <v>45</v>
      </c>
      <c r="E73" s="4">
        <v>1</v>
      </c>
      <c r="F73" s="4">
        <v>50</v>
      </c>
      <c r="G73" s="10">
        <f>B73+C73/60</f>
        <v>0</v>
      </c>
      <c r="H73" s="4">
        <v>0</v>
      </c>
      <c r="I73" s="5">
        <f t="shared" si="23"/>
        <v>0</v>
      </c>
      <c r="J73" s="5">
        <v>0</v>
      </c>
      <c r="K73">
        <v>0</v>
      </c>
      <c r="N73" s="119">
        <v>0</v>
      </c>
    </row>
    <row r="74" spans="1:17" ht="16" hidden="1" thickBot="1">
      <c r="A74" s="145">
        <v>46118</v>
      </c>
      <c r="B74" s="4">
        <v>0</v>
      </c>
      <c r="C74" s="4">
        <v>0</v>
      </c>
      <c r="D74" s="4">
        <v>45</v>
      </c>
      <c r="E74" s="4">
        <v>1</v>
      </c>
      <c r="F74" s="4">
        <v>50</v>
      </c>
      <c r="G74" s="10">
        <v>0</v>
      </c>
      <c r="H74" s="4">
        <v>0</v>
      </c>
      <c r="I74" s="5">
        <v>0</v>
      </c>
      <c r="J74" s="5">
        <v>0</v>
      </c>
      <c r="K74">
        <v>0</v>
      </c>
      <c r="N74" s="119">
        <v>0</v>
      </c>
    </row>
    <row r="75" spans="1:17" s="86" customFormat="1" ht="20" thickBot="1">
      <c r="A75" s="91" t="s">
        <v>485</v>
      </c>
      <c r="B75" s="8">
        <f>SUM(B76:B82)</f>
        <v>48</v>
      </c>
      <c r="C75" s="8">
        <f>SUM(C76:C82)</f>
        <v>164</v>
      </c>
      <c r="D75" s="8">
        <f>SUM(D76)</f>
        <v>0</v>
      </c>
      <c r="E75" s="8">
        <f>SUM(E76:E82)</f>
        <v>6</v>
      </c>
      <c r="F75" s="8">
        <f>SUM(F76:F82)</f>
        <v>350</v>
      </c>
      <c r="G75" s="93">
        <f t="shared" ref="G75" si="25">B75+C75/60</f>
        <v>50.733333333333334</v>
      </c>
      <c r="H75" s="8">
        <f>SUM(H76:H82)</f>
        <v>300</v>
      </c>
      <c r="I75" s="9">
        <f>SUM(I76:I82)</f>
        <v>2803.6666666666665</v>
      </c>
      <c r="J75" s="14">
        <f>SUM(J76:J82)</f>
        <v>2503.6666666666665</v>
      </c>
      <c r="K75" s="8">
        <f>SUM(K76:K82)</f>
        <v>166</v>
      </c>
      <c r="L75" s="9">
        <v>0</v>
      </c>
      <c r="M75" s="96">
        <f>J75</f>
        <v>2503.6666666666665</v>
      </c>
      <c r="N75" s="102">
        <f>SUM(N76:N82)</f>
        <v>3969</v>
      </c>
      <c r="O75" s="98">
        <f>5511-N75</f>
        <v>1542</v>
      </c>
    </row>
    <row r="76" spans="1:17">
      <c r="A76" s="145">
        <v>46111</v>
      </c>
      <c r="B76" s="4">
        <v>0</v>
      </c>
      <c r="C76" s="4">
        <v>0</v>
      </c>
      <c r="D76" s="4">
        <v>0</v>
      </c>
      <c r="E76" s="4">
        <v>0</v>
      </c>
      <c r="F76" s="4">
        <v>50</v>
      </c>
      <c r="G76" s="144">
        <f>B76+C76/60</f>
        <v>0</v>
      </c>
      <c r="H76" s="4">
        <v>0</v>
      </c>
      <c r="I76" s="5">
        <f t="shared" ref="I76" si="26">G76*D76</f>
        <v>0</v>
      </c>
      <c r="J76" s="5">
        <f>I76-H76</f>
        <v>0</v>
      </c>
      <c r="K76">
        <v>0</v>
      </c>
      <c r="N76" s="83">
        <v>0</v>
      </c>
      <c r="O76" s="51"/>
    </row>
    <row r="77" spans="1:17">
      <c r="A77" s="145" t="s">
        <v>486</v>
      </c>
      <c r="B77" s="4">
        <v>7</v>
      </c>
      <c r="C77" s="4">
        <v>48</v>
      </c>
      <c r="D77" s="4">
        <v>45</v>
      </c>
      <c r="E77" s="4">
        <v>1</v>
      </c>
      <c r="F77" s="4">
        <v>50</v>
      </c>
      <c r="G77" s="144">
        <f t="shared" ref="G77:G79" si="27">B77+C77/60</f>
        <v>7.8</v>
      </c>
      <c r="H77" s="4">
        <v>50</v>
      </c>
      <c r="I77" s="5">
        <f t="shared" ref="I77:I82" si="28">G77*D77</f>
        <v>351</v>
      </c>
      <c r="J77" s="5">
        <f>I77-H77</f>
        <v>301</v>
      </c>
      <c r="K77">
        <v>22</v>
      </c>
      <c r="N77" s="83">
        <f>1089</f>
        <v>1089</v>
      </c>
      <c r="P77" t="s">
        <v>317</v>
      </c>
    </row>
    <row r="78" spans="1:17">
      <c r="A78" s="146" t="s">
        <v>487</v>
      </c>
      <c r="B78" s="4">
        <v>9</v>
      </c>
      <c r="C78" s="4">
        <v>26</v>
      </c>
      <c r="D78" s="4">
        <v>65</v>
      </c>
      <c r="E78" s="4">
        <v>1</v>
      </c>
      <c r="F78" s="4">
        <v>50</v>
      </c>
      <c r="G78" s="144">
        <f t="shared" si="27"/>
        <v>9.4333333333333336</v>
      </c>
      <c r="H78" s="4">
        <v>50</v>
      </c>
      <c r="I78" s="5">
        <f t="shared" si="28"/>
        <v>613.16666666666663</v>
      </c>
      <c r="J78" s="5">
        <f>I78-H78</f>
        <v>563.16666666666663</v>
      </c>
      <c r="K78">
        <v>32</v>
      </c>
      <c r="N78" s="83">
        <v>903</v>
      </c>
      <c r="P78" t="s">
        <v>488</v>
      </c>
      <c r="Q78" t="s">
        <v>64</v>
      </c>
    </row>
    <row r="79" spans="1:17">
      <c r="A79" s="146" t="s">
        <v>457</v>
      </c>
      <c r="B79" s="4">
        <v>8</v>
      </c>
      <c r="C79" s="4">
        <v>12</v>
      </c>
      <c r="D79" s="4">
        <v>65</v>
      </c>
      <c r="E79" s="4">
        <v>1</v>
      </c>
      <c r="F79" s="4">
        <v>50</v>
      </c>
      <c r="G79" s="144">
        <f t="shared" si="27"/>
        <v>8.1999999999999993</v>
      </c>
      <c r="H79" s="4">
        <v>50</v>
      </c>
      <c r="I79" s="5">
        <f t="shared" si="28"/>
        <v>533</v>
      </c>
      <c r="J79" s="5">
        <f>I79-H79</f>
        <v>483</v>
      </c>
      <c r="K79">
        <v>32</v>
      </c>
      <c r="N79" s="83"/>
      <c r="P79" t="s">
        <v>489</v>
      </c>
    </row>
    <row r="80" spans="1:17">
      <c r="A80" s="146" t="s">
        <v>459</v>
      </c>
      <c r="B80" s="4">
        <v>8</v>
      </c>
      <c r="C80" s="4">
        <v>30</v>
      </c>
      <c r="D80" s="4">
        <v>45</v>
      </c>
      <c r="E80" s="4">
        <v>1</v>
      </c>
      <c r="F80" s="4">
        <v>50</v>
      </c>
      <c r="G80" s="144">
        <f>B80+C80/60</f>
        <v>8.5</v>
      </c>
      <c r="H80" s="4">
        <v>50</v>
      </c>
      <c r="I80" s="5">
        <f t="shared" si="28"/>
        <v>382.5</v>
      </c>
      <c r="J80" s="5">
        <f>I80-H80</f>
        <v>332.5</v>
      </c>
      <c r="K80">
        <v>25</v>
      </c>
      <c r="N80" s="119"/>
      <c r="P80" t="s">
        <v>490</v>
      </c>
    </row>
    <row r="81" spans="1:17">
      <c r="A81" s="146" t="s">
        <v>460</v>
      </c>
      <c r="B81" s="4">
        <v>8</v>
      </c>
      <c r="C81" s="4">
        <v>21</v>
      </c>
      <c r="D81" s="4">
        <v>55</v>
      </c>
      <c r="E81" s="4">
        <v>1</v>
      </c>
      <c r="F81" s="4">
        <v>50</v>
      </c>
      <c r="G81" s="10">
        <f t="shared" ref="G81:G82" si="29">B81+C81/60</f>
        <v>8.35</v>
      </c>
      <c r="H81" s="4">
        <v>50</v>
      </c>
      <c r="I81" s="5">
        <f t="shared" si="28"/>
        <v>459.25</v>
      </c>
      <c r="J81" s="5">
        <f t="shared" ref="J81:J82" si="30">I81-H81</f>
        <v>409.25</v>
      </c>
      <c r="K81">
        <v>27</v>
      </c>
      <c r="N81" s="119">
        <f>936</f>
        <v>936</v>
      </c>
      <c r="P81" t="s">
        <v>491</v>
      </c>
    </row>
    <row r="82" spans="1:17" ht="16" thickBot="1">
      <c r="A82" s="146" t="s">
        <v>492</v>
      </c>
      <c r="B82" s="4">
        <v>8</v>
      </c>
      <c r="C82" s="4">
        <v>27</v>
      </c>
      <c r="D82" s="4">
        <v>55</v>
      </c>
      <c r="E82" s="4">
        <v>1</v>
      </c>
      <c r="F82" s="4">
        <v>50</v>
      </c>
      <c r="G82" s="10">
        <f t="shared" si="29"/>
        <v>8.4499999999999993</v>
      </c>
      <c r="H82" s="4">
        <v>50</v>
      </c>
      <c r="I82" s="5">
        <f t="shared" si="28"/>
        <v>464.74999999999994</v>
      </c>
      <c r="J82" s="5">
        <f t="shared" si="30"/>
        <v>414.74999999999994</v>
      </c>
      <c r="K82">
        <v>28</v>
      </c>
      <c r="N82" s="119">
        <v>1041</v>
      </c>
      <c r="P82" t="s">
        <v>493</v>
      </c>
    </row>
    <row r="83" spans="1:17" s="86" customFormat="1" ht="20" thickBot="1">
      <c r="A83" s="91" t="s">
        <v>494</v>
      </c>
      <c r="B83" s="8">
        <f>SUM(B84:B90)</f>
        <v>26</v>
      </c>
      <c r="C83" s="8">
        <f>SUM(C84:C90)</f>
        <v>204</v>
      </c>
      <c r="D83" s="8">
        <f>SUM(D84)</f>
        <v>45</v>
      </c>
      <c r="E83" s="8">
        <f>SUM(E84:E90)</f>
        <v>5</v>
      </c>
      <c r="F83" s="8">
        <f>SUM(F84:F90)</f>
        <v>350</v>
      </c>
      <c r="G83" s="93">
        <f t="shared" ref="G83" si="31">B83+C83/60</f>
        <v>29.4</v>
      </c>
      <c r="H83" s="8">
        <f>SUM(H84:H90)</f>
        <v>200</v>
      </c>
      <c r="I83" s="9">
        <f>SUM(I84:I90)</f>
        <v>797.25</v>
      </c>
      <c r="J83" s="14">
        <f>SUM(J84:J90)</f>
        <v>597.25</v>
      </c>
      <c r="K83" s="8">
        <f>SUM(K84:K90)</f>
        <v>142</v>
      </c>
      <c r="L83" s="9">
        <v>0</v>
      </c>
      <c r="M83" s="96">
        <f>J83</f>
        <v>597.25</v>
      </c>
      <c r="N83" s="102">
        <f>SUM(N84:N90)</f>
        <v>1959</v>
      </c>
      <c r="O83" s="98">
        <f>3586-N83</f>
        <v>1627</v>
      </c>
    </row>
    <row r="84" spans="1:17" ht="19">
      <c r="A84" s="146" t="s">
        <v>495</v>
      </c>
      <c r="B84" s="4">
        <v>5</v>
      </c>
      <c r="C84" s="4">
        <v>50</v>
      </c>
      <c r="D84" s="4">
        <v>45</v>
      </c>
      <c r="E84" s="4">
        <v>1</v>
      </c>
      <c r="F84" s="4">
        <v>50</v>
      </c>
      <c r="G84" s="10">
        <f>B84+C84/60</f>
        <v>5.833333333333333</v>
      </c>
      <c r="H84" s="4">
        <v>50</v>
      </c>
      <c r="I84" s="5">
        <f>G84*D84</f>
        <v>262.5</v>
      </c>
      <c r="J84" s="5">
        <f>I84-H84</f>
        <v>212.5</v>
      </c>
      <c r="K84">
        <v>20</v>
      </c>
      <c r="N84" s="83">
        <f>532</f>
        <v>532</v>
      </c>
      <c r="O84" s="49"/>
      <c r="P84" t="s">
        <v>496</v>
      </c>
    </row>
    <row r="85" spans="1:17">
      <c r="A85" s="146">
        <v>46113</v>
      </c>
      <c r="B85" s="4">
        <v>4</v>
      </c>
      <c r="C85" s="4">
        <v>54</v>
      </c>
      <c r="D85" s="4">
        <v>45</v>
      </c>
      <c r="E85" s="4">
        <v>1</v>
      </c>
      <c r="F85" s="4">
        <v>50</v>
      </c>
      <c r="G85" s="10">
        <f t="shared" ref="G85:G86" si="32">B85+C85/60</f>
        <v>4.9000000000000004</v>
      </c>
      <c r="H85" s="4">
        <v>50</v>
      </c>
      <c r="I85" s="5">
        <f t="shared" ref="I85" si="33">G85*D85</f>
        <v>220.50000000000003</v>
      </c>
      <c r="J85" s="5">
        <f>I85-H85</f>
        <v>170.50000000000003</v>
      </c>
      <c r="K85">
        <v>25</v>
      </c>
      <c r="N85" s="83">
        <v>379</v>
      </c>
      <c r="P85" t="s">
        <v>497</v>
      </c>
    </row>
    <row r="86" spans="1:17">
      <c r="A86" s="146">
        <v>46114</v>
      </c>
      <c r="B86" s="4">
        <v>3</v>
      </c>
      <c r="C86" s="4">
        <v>52</v>
      </c>
      <c r="D86" s="4">
        <v>45</v>
      </c>
      <c r="E86" s="4">
        <v>1</v>
      </c>
      <c r="F86" s="4">
        <v>50</v>
      </c>
      <c r="G86" s="10">
        <f t="shared" si="32"/>
        <v>3.8666666666666667</v>
      </c>
      <c r="H86" s="4">
        <v>50</v>
      </c>
      <c r="I86" s="5">
        <f>G86*D86</f>
        <v>174</v>
      </c>
      <c r="J86" s="5">
        <f>I86-H86</f>
        <v>124</v>
      </c>
      <c r="K86">
        <v>25</v>
      </c>
      <c r="N86" s="83">
        <v>381</v>
      </c>
      <c r="P86" t="s">
        <v>498</v>
      </c>
    </row>
    <row r="87" spans="1:17">
      <c r="A87" s="146">
        <v>46115</v>
      </c>
      <c r="B87" s="4">
        <v>6</v>
      </c>
      <c r="C87" s="4">
        <v>18</v>
      </c>
      <c r="D87" s="4">
        <v>45</v>
      </c>
      <c r="E87" s="4">
        <v>0</v>
      </c>
      <c r="F87" s="4">
        <v>50</v>
      </c>
      <c r="G87" s="10">
        <v>0</v>
      </c>
      <c r="H87" s="4">
        <v>50</v>
      </c>
      <c r="I87" s="5">
        <v>0</v>
      </c>
      <c r="J87" s="5">
        <f>I87-H87</f>
        <v>-50</v>
      </c>
      <c r="K87">
        <v>28</v>
      </c>
      <c r="N87" s="83">
        <f>667</f>
        <v>667</v>
      </c>
      <c r="P87" t="s">
        <v>499</v>
      </c>
    </row>
    <row r="88" spans="1:17">
      <c r="A88" s="146">
        <v>46116</v>
      </c>
      <c r="B88" s="4">
        <v>0</v>
      </c>
      <c r="C88" s="4">
        <v>0</v>
      </c>
      <c r="D88" s="4">
        <v>0</v>
      </c>
      <c r="E88" s="4">
        <v>0</v>
      </c>
      <c r="F88" s="4">
        <v>50</v>
      </c>
      <c r="G88" s="10">
        <f t="shared" ref="G88:G90" si="34">B88+C88/60</f>
        <v>0</v>
      </c>
      <c r="H88" s="4">
        <v>0</v>
      </c>
      <c r="I88" s="5">
        <f t="shared" ref="I88" si="35">G88*D88</f>
        <v>0</v>
      </c>
      <c r="J88" s="5">
        <f t="shared" ref="J88" si="36">I88-H88</f>
        <v>0</v>
      </c>
      <c r="K88">
        <v>0</v>
      </c>
      <c r="N88" s="51">
        <v>0</v>
      </c>
    </row>
    <row r="89" spans="1:17">
      <c r="A89" s="146">
        <v>46117</v>
      </c>
      <c r="B89" s="4">
        <v>5</v>
      </c>
      <c r="C89" s="4">
        <v>23</v>
      </c>
      <c r="D89" s="4">
        <v>45</v>
      </c>
      <c r="E89" s="4">
        <v>1</v>
      </c>
      <c r="F89" s="4">
        <v>50</v>
      </c>
      <c r="G89" s="10">
        <f t="shared" si="34"/>
        <v>5.3833333333333337</v>
      </c>
      <c r="H89" s="4">
        <v>0</v>
      </c>
      <c r="I89" s="5">
        <v>0</v>
      </c>
      <c r="J89" s="5">
        <v>0</v>
      </c>
      <c r="K89">
        <v>23</v>
      </c>
      <c r="N89" s="51">
        <v>0</v>
      </c>
      <c r="P89" t="s">
        <v>500</v>
      </c>
    </row>
    <row r="90" spans="1:17" ht="16" thickBot="1">
      <c r="A90" s="146">
        <v>46118</v>
      </c>
      <c r="B90" s="4">
        <v>3</v>
      </c>
      <c r="C90" s="4">
        <v>7</v>
      </c>
      <c r="D90" s="4">
        <v>45</v>
      </c>
      <c r="E90" s="4">
        <v>1</v>
      </c>
      <c r="F90" s="4">
        <v>50</v>
      </c>
      <c r="G90" s="10">
        <f t="shared" si="34"/>
        <v>3.1166666666666667</v>
      </c>
      <c r="H90" s="4">
        <v>0</v>
      </c>
      <c r="I90" s="5">
        <f t="shared" ref="I90" si="37">G90*D90</f>
        <v>140.25</v>
      </c>
      <c r="J90" s="5">
        <f t="shared" ref="J90" si="38">I90-H90</f>
        <v>140.25</v>
      </c>
      <c r="K90">
        <v>21</v>
      </c>
      <c r="N90" s="51">
        <v>0</v>
      </c>
      <c r="P90" t="s">
        <v>501</v>
      </c>
    </row>
    <row r="91" spans="1:17" ht="20" thickBot="1">
      <c r="A91" s="91" t="s">
        <v>502</v>
      </c>
      <c r="B91" s="8">
        <f>SUM(B92:B98)</f>
        <v>46</v>
      </c>
      <c r="C91" s="8">
        <f>SUM(C92:C98)</f>
        <v>212</v>
      </c>
      <c r="D91" s="8">
        <f>SUM(D92)</f>
        <v>45</v>
      </c>
      <c r="E91" s="8">
        <f>SUM(E92:E98)</f>
        <v>7</v>
      </c>
      <c r="F91" s="8">
        <f>SUM(F92:F98)</f>
        <v>350</v>
      </c>
      <c r="G91" s="93">
        <f t="shared" ref="G91:G115" si="39">B91+C91/60</f>
        <v>49.533333333333331</v>
      </c>
      <c r="H91" s="92">
        <f>SUM(H92:H98)</f>
        <v>350</v>
      </c>
      <c r="I91" s="9">
        <f>SUM(I92:I98)</f>
        <v>2353.833333333333</v>
      </c>
      <c r="J91" s="14">
        <f>SUM(J92:J98)</f>
        <v>2003.8333333333333</v>
      </c>
      <c r="K91" s="8">
        <f>SUM(K92:K98)</f>
        <v>107</v>
      </c>
      <c r="L91" s="9">
        <v>0</v>
      </c>
      <c r="M91" s="96">
        <f>J91</f>
        <v>2003.8333333333333</v>
      </c>
      <c r="N91" s="102">
        <f>SUM(N92:N98)</f>
        <v>960</v>
      </c>
      <c r="O91" s="98">
        <f>4764-N91</f>
        <v>3804</v>
      </c>
      <c r="P91" s="86"/>
      <c r="Q91" s="86"/>
    </row>
    <row r="92" spans="1:17">
      <c r="A92" s="146" t="s">
        <v>495</v>
      </c>
      <c r="B92" s="4">
        <v>9</v>
      </c>
      <c r="C92" s="4">
        <v>39</v>
      </c>
      <c r="D92" s="4">
        <v>45</v>
      </c>
      <c r="E92" s="4">
        <v>1</v>
      </c>
      <c r="F92" s="4">
        <v>50</v>
      </c>
      <c r="G92" s="144">
        <f t="shared" si="39"/>
        <v>9.65</v>
      </c>
      <c r="H92" s="167">
        <v>50</v>
      </c>
      <c r="I92" s="142">
        <f t="shared" ref="I92:I98" si="40">G92*D92</f>
        <v>434.25</v>
      </c>
      <c r="J92" s="5">
        <f t="shared" ref="J92:J98" si="41">I92-H92</f>
        <v>384.25</v>
      </c>
      <c r="K92">
        <v>16</v>
      </c>
      <c r="N92" s="83">
        <f>430</f>
        <v>430</v>
      </c>
      <c r="O92" s="51"/>
      <c r="P92" s="115"/>
    </row>
    <row r="93" spans="1:17">
      <c r="A93" s="166" t="s">
        <v>454</v>
      </c>
      <c r="B93" s="4">
        <v>12</v>
      </c>
      <c r="C93" s="4">
        <v>29</v>
      </c>
      <c r="D93" s="4">
        <v>55</v>
      </c>
      <c r="E93" s="4">
        <v>1</v>
      </c>
      <c r="F93" s="4">
        <v>50</v>
      </c>
      <c r="G93" s="144">
        <f>B93+C93/60</f>
        <v>12.483333333333333</v>
      </c>
      <c r="H93" s="167">
        <v>50</v>
      </c>
      <c r="I93" s="142">
        <f t="shared" si="40"/>
        <v>686.58333333333326</v>
      </c>
      <c r="J93" s="5">
        <f t="shared" si="41"/>
        <v>636.58333333333326</v>
      </c>
      <c r="K93">
        <v>31</v>
      </c>
      <c r="N93" s="83">
        <v>420</v>
      </c>
    </row>
    <row r="94" spans="1:17">
      <c r="A94" s="80" t="s">
        <v>456</v>
      </c>
      <c r="B94" s="4">
        <v>6</v>
      </c>
      <c r="C94" s="4">
        <v>56</v>
      </c>
      <c r="D94" s="4">
        <v>45</v>
      </c>
      <c r="E94" s="4">
        <v>1</v>
      </c>
      <c r="F94" s="4">
        <v>50</v>
      </c>
      <c r="G94" s="144">
        <f t="shared" si="39"/>
        <v>6.9333333333333336</v>
      </c>
      <c r="H94" s="167">
        <v>50</v>
      </c>
      <c r="I94" s="142">
        <f t="shared" si="40"/>
        <v>312</v>
      </c>
      <c r="J94" s="5">
        <f t="shared" si="41"/>
        <v>262</v>
      </c>
      <c r="K94">
        <v>19</v>
      </c>
      <c r="N94" s="83"/>
      <c r="P94" t="s">
        <v>503</v>
      </c>
      <c r="Q94" t="s">
        <v>64</v>
      </c>
    </row>
    <row r="95" spans="1:17">
      <c r="A95" s="80" t="s">
        <v>457</v>
      </c>
      <c r="B95" s="4">
        <v>3</v>
      </c>
      <c r="C95" s="4">
        <v>11</v>
      </c>
      <c r="D95" s="4">
        <v>45</v>
      </c>
      <c r="E95" s="4">
        <v>1</v>
      </c>
      <c r="F95" s="4">
        <v>50</v>
      </c>
      <c r="G95" s="144">
        <f t="shared" si="39"/>
        <v>3.1833333333333331</v>
      </c>
      <c r="H95" s="167">
        <v>50</v>
      </c>
      <c r="I95" s="142">
        <f t="shared" si="40"/>
        <v>143.25</v>
      </c>
      <c r="J95" s="5">
        <f t="shared" si="41"/>
        <v>93.25</v>
      </c>
      <c r="K95">
        <v>11</v>
      </c>
      <c r="N95" s="83"/>
    </row>
    <row r="96" spans="1:17">
      <c r="A96" s="80" t="s">
        <v>459</v>
      </c>
      <c r="B96" s="4">
        <v>7</v>
      </c>
      <c r="C96" s="4">
        <v>13</v>
      </c>
      <c r="D96" s="4">
        <v>45</v>
      </c>
      <c r="E96" s="4">
        <v>1</v>
      </c>
      <c r="F96" s="4">
        <v>50</v>
      </c>
      <c r="G96" s="144">
        <f t="shared" si="39"/>
        <v>7.2166666666666668</v>
      </c>
      <c r="H96" s="167">
        <v>50</v>
      </c>
      <c r="I96" s="142">
        <f t="shared" si="40"/>
        <v>324.75</v>
      </c>
      <c r="J96" s="5">
        <f t="shared" si="41"/>
        <v>274.75</v>
      </c>
      <c r="K96">
        <v>13</v>
      </c>
      <c r="N96" s="119">
        <v>0</v>
      </c>
    </row>
    <row r="97" spans="1:17">
      <c r="A97" s="80" t="s">
        <v>460</v>
      </c>
      <c r="B97" s="4">
        <v>3</v>
      </c>
      <c r="C97" s="4">
        <v>40</v>
      </c>
      <c r="D97" s="4">
        <v>45</v>
      </c>
      <c r="E97" s="4">
        <v>1</v>
      </c>
      <c r="F97" s="4">
        <v>50</v>
      </c>
      <c r="G97" s="10">
        <f t="shared" si="39"/>
        <v>3.6666666666666665</v>
      </c>
      <c r="H97" s="141">
        <v>50</v>
      </c>
      <c r="I97" s="5">
        <f t="shared" si="40"/>
        <v>165</v>
      </c>
      <c r="J97" s="5">
        <f t="shared" si="41"/>
        <v>115</v>
      </c>
      <c r="K97">
        <v>7</v>
      </c>
      <c r="N97" s="119">
        <v>110</v>
      </c>
    </row>
    <row r="98" spans="1:17" ht="16" thickBot="1">
      <c r="A98" s="80" t="s">
        <v>461</v>
      </c>
      <c r="B98" s="4">
        <v>6</v>
      </c>
      <c r="C98" s="4">
        <v>24</v>
      </c>
      <c r="D98" s="4">
        <v>45</v>
      </c>
      <c r="E98" s="4">
        <v>1</v>
      </c>
      <c r="F98" s="4">
        <v>50</v>
      </c>
      <c r="G98" s="10">
        <f t="shared" si="39"/>
        <v>6.4</v>
      </c>
      <c r="H98" s="4">
        <v>50</v>
      </c>
      <c r="I98" s="5">
        <f t="shared" si="40"/>
        <v>288</v>
      </c>
      <c r="J98" s="5">
        <f t="shared" si="41"/>
        <v>238</v>
      </c>
      <c r="K98">
        <v>10</v>
      </c>
      <c r="N98" s="119">
        <v>0</v>
      </c>
      <c r="P98" t="s">
        <v>504</v>
      </c>
    </row>
    <row r="99" spans="1:17" ht="20" thickBot="1">
      <c r="A99" s="91" t="s">
        <v>505</v>
      </c>
      <c r="B99" s="8">
        <f>SUM(B100:B106)</f>
        <v>49</v>
      </c>
      <c r="C99" s="8">
        <f>SUM(C100:C106)</f>
        <v>161</v>
      </c>
      <c r="D99" s="8">
        <v>45</v>
      </c>
      <c r="E99" s="8">
        <f>SUM(E100:E106)</f>
        <v>6</v>
      </c>
      <c r="F99" s="8">
        <f>SUM(F100:F106)</f>
        <v>350</v>
      </c>
      <c r="G99" s="93">
        <f t="shared" si="39"/>
        <v>51.68333333333333</v>
      </c>
      <c r="H99" s="8">
        <f>SUM(H100:H106)</f>
        <v>300</v>
      </c>
      <c r="I99" s="9">
        <f>SUM(I100:I106)</f>
        <v>2615.5833333333335</v>
      </c>
      <c r="J99" s="14">
        <f>SUM(J100:J106)</f>
        <v>2315.5833333333335</v>
      </c>
      <c r="K99" s="8">
        <f>SUM(K100:K106)</f>
        <v>156</v>
      </c>
      <c r="L99" s="9">
        <v>0</v>
      </c>
      <c r="M99" s="96">
        <f>J99</f>
        <v>2315.5833333333335</v>
      </c>
      <c r="N99" s="102">
        <f>SUM(N100:N106)</f>
        <v>2939</v>
      </c>
      <c r="O99" s="98">
        <f>4590-N99</f>
        <v>1651</v>
      </c>
      <c r="P99" s="86"/>
      <c r="Q99" s="86"/>
    </row>
    <row r="100" spans="1:17">
      <c r="A100" s="145">
        <v>46111</v>
      </c>
      <c r="B100" s="4">
        <v>8</v>
      </c>
      <c r="C100" s="4">
        <v>43</v>
      </c>
      <c r="D100" s="4">
        <v>45</v>
      </c>
      <c r="E100" s="4">
        <v>1</v>
      </c>
      <c r="F100" s="4">
        <v>50</v>
      </c>
      <c r="G100" s="10">
        <f t="shared" si="39"/>
        <v>8.7166666666666668</v>
      </c>
      <c r="H100" s="4">
        <v>50</v>
      </c>
      <c r="I100" s="5">
        <f t="shared" ref="I100:I106" si="42">G100*D100</f>
        <v>392.25</v>
      </c>
      <c r="J100" s="5">
        <f t="shared" ref="J100:J106" si="43">I100-H100</f>
        <v>342.25</v>
      </c>
      <c r="K100">
        <v>22</v>
      </c>
      <c r="N100" s="83">
        <f>725</f>
        <v>725</v>
      </c>
      <c r="O100" s="51"/>
    </row>
    <row r="101" spans="1:17">
      <c r="A101" s="146" t="s">
        <v>506</v>
      </c>
      <c r="B101" s="4">
        <v>8</v>
      </c>
      <c r="C101" s="4">
        <v>51</v>
      </c>
      <c r="D101" s="4">
        <v>55</v>
      </c>
      <c r="E101" s="4">
        <v>1</v>
      </c>
      <c r="F101" s="4">
        <v>50</v>
      </c>
      <c r="G101" s="10">
        <f t="shared" si="39"/>
        <v>8.85</v>
      </c>
      <c r="H101" s="4">
        <v>50</v>
      </c>
      <c r="I101" s="5">
        <f t="shared" si="42"/>
        <v>486.75</v>
      </c>
      <c r="J101" s="5">
        <f t="shared" si="43"/>
        <v>436.75</v>
      </c>
      <c r="K101">
        <v>28</v>
      </c>
      <c r="N101" s="83">
        <f>510</f>
        <v>510</v>
      </c>
    </row>
    <row r="102" spans="1:17">
      <c r="A102" s="146">
        <v>46114</v>
      </c>
      <c r="B102" s="4">
        <v>8</v>
      </c>
      <c r="C102" s="4">
        <v>8</v>
      </c>
      <c r="D102" s="4">
        <v>45</v>
      </c>
      <c r="E102" s="4">
        <v>1</v>
      </c>
      <c r="F102" s="4">
        <v>50</v>
      </c>
      <c r="G102" s="10">
        <f t="shared" si="39"/>
        <v>8.1333333333333329</v>
      </c>
      <c r="H102" s="4">
        <v>50</v>
      </c>
      <c r="I102" s="5">
        <f t="shared" si="42"/>
        <v>366</v>
      </c>
      <c r="J102" s="5">
        <f t="shared" si="43"/>
        <v>316</v>
      </c>
      <c r="K102">
        <v>25</v>
      </c>
      <c r="N102" s="83">
        <f>903</f>
        <v>903</v>
      </c>
      <c r="P102" t="s">
        <v>507</v>
      </c>
      <c r="Q102" t="s">
        <v>64</v>
      </c>
    </row>
    <row r="103" spans="1:17">
      <c r="A103" s="146">
        <v>46115</v>
      </c>
      <c r="B103" s="4">
        <v>10</v>
      </c>
      <c r="C103" s="4">
        <v>4</v>
      </c>
      <c r="D103" s="4">
        <v>65</v>
      </c>
      <c r="E103" s="4">
        <v>1</v>
      </c>
      <c r="F103" s="4">
        <v>50</v>
      </c>
      <c r="G103" s="10">
        <f t="shared" si="39"/>
        <v>10.066666666666666</v>
      </c>
      <c r="H103" s="4">
        <v>50</v>
      </c>
      <c r="I103" s="5">
        <f t="shared" si="42"/>
        <v>654.33333333333337</v>
      </c>
      <c r="J103" s="5">
        <f t="shared" si="43"/>
        <v>604.33333333333337</v>
      </c>
      <c r="K103">
        <v>32</v>
      </c>
      <c r="N103" s="83"/>
      <c r="P103" t="s">
        <v>508</v>
      </c>
    </row>
    <row r="104" spans="1:17">
      <c r="A104" s="146">
        <v>46116</v>
      </c>
      <c r="B104" s="4">
        <v>7</v>
      </c>
      <c r="C104" s="4">
        <v>21</v>
      </c>
      <c r="D104" s="4">
        <v>45</v>
      </c>
      <c r="E104" s="4">
        <v>1</v>
      </c>
      <c r="F104" s="4">
        <v>50</v>
      </c>
      <c r="G104" s="10">
        <f t="shared" si="39"/>
        <v>7.35</v>
      </c>
      <c r="H104" s="4">
        <v>50</v>
      </c>
      <c r="I104" s="5">
        <f t="shared" si="42"/>
        <v>330.75</v>
      </c>
      <c r="J104" s="5">
        <f t="shared" si="43"/>
        <v>280.75</v>
      </c>
      <c r="K104">
        <v>22</v>
      </c>
      <c r="N104" s="119">
        <f>801</f>
        <v>801</v>
      </c>
      <c r="P104" t="s">
        <v>509</v>
      </c>
    </row>
    <row r="105" spans="1:17">
      <c r="A105" s="146">
        <v>46117</v>
      </c>
      <c r="B105" s="4">
        <v>0</v>
      </c>
      <c r="C105" s="4">
        <v>0</v>
      </c>
      <c r="D105" s="4">
        <v>0</v>
      </c>
      <c r="E105" s="4">
        <v>0</v>
      </c>
      <c r="F105" s="4">
        <v>50</v>
      </c>
      <c r="G105" s="10">
        <f t="shared" si="39"/>
        <v>0</v>
      </c>
      <c r="H105" s="4">
        <v>0</v>
      </c>
      <c r="I105" s="5">
        <f t="shared" si="42"/>
        <v>0</v>
      </c>
      <c r="J105" s="5">
        <f t="shared" si="43"/>
        <v>0</v>
      </c>
      <c r="K105">
        <v>0</v>
      </c>
      <c r="N105" s="119">
        <v>0</v>
      </c>
    </row>
    <row r="106" spans="1:17" ht="16" thickBot="1">
      <c r="A106" s="146">
        <v>46118</v>
      </c>
      <c r="B106" s="4">
        <v>8</v>
      </c>
      <c r="C106" s="4">
        <v>34</v>
      </c>
      <c r="D106" s="4">
        <v>45</v>
      </c>
      <c r="E106" s="4">
        <v>1</v>
      </c>
      <c r="F106" s="4">
        <v>50</v>
      </c>
      <c r="G106" s="10">
        <f t="shared" si="39"/>
        <v>8.5666666666666664</v>
      </c>
      <c r="H106" s="4">
        <v>50</v>
      </c>
      <c r="I106" s="5">
        <f t="shared" si="42"/>
        <v>385.5</v>
      </c>
      <c r="J106" s="5">
        <f t="shared" si="43"/>
        <v>335.5</v>
      </c>
      <c r="K106">
        <v>27</v>
      </c>
      <c r="N106" s="119">
        <v>0</v>
      </c>
      <c r="P106" t="s">
        <v>510</v>
      </c>
    </row>
    <row r="107" spans="1:17" s="86" customFormat="1" ht="20" thickBot="1">
      <c r="A107" s="91" t="s">
        <v>511</v>
      </c>
      <c r="B107" s="8">
        <f>SUM(B108:B114)</f>
        <v>15</v>
      </c>
      <c r="C107" s="8">
        <f>SUM(C108:C114)</f>
        <v>26</v>
      </c>
      <c r="D107" s="8">
        <v>45</v>
      </c>
      <c r="E107" s="8">
        <f>SUM(E108:E114)</f>
        <v>5</v>
      </c>
      <c r="F107" s="8">
        <f>SUM(F108:F114)</f>
        <v>350</v>
      </c>
      <c r="G107" s="93">
        <f t="shared" si="39"/>
        <v>15.433333333333334</v>
      </c>
      <c r="H107" s="8">
        <f>SUM(H108:H114)</f>
        <v>100</v>
      </c>
      <c r="I107" s="14">
        <f>SUM(I108:I114)</f>
        <v>788.33333333333326</v>
      </c>
      <c r="J107" s="14">
        <f>SUM(J108:J114)</f>
        <v>688.33333333333326</v>
      </c>
      <c r="K107" s="8">
        <f>SUM(K108:K114)</f>
        <v>48</v>
      </c>
      <c r="L107" s="9">
        <v>0</v>
      </c>
      <c r="M107" s="96">
        <f>J107</f>
        <v>688.33333333333326</v>
      </c>
      <c r="N107" s="102">
        <f>SUM(N108:N114)</f>
        <v>975</v>
      </c>
      <c r="O107" s="98">
        <f>1323-N107</f>
        <v>348</v>
      </c>
    </row>
    <row r="108" spans="1:17">
      <c r="A108" s="146" t="s">
        <v>512</v>
      </c>
      <c r="B108" s="4">
        <v>9</v>
      </c>
      <c r="C108" s="4">
        <v>23</v>
      </c>
      <c r="D108" s="4">
        <v>55</v>
      </c>
      <c r="E108" s="4">
        <v>1</v>
      </c>
      <c r="F108" s="4">
        <v>50</v>
      </c>
      <c r="G108" s="10">
        <f t="shared" si="39"/>
        <v>9.3833333333333329</v>
      </c>
      <c r="H108" s="4">
        <v>50</v>
      </c>
      <c r="I108" s="5">
        <f t="shared" ref="I108:I114" si="44">G108*D108</f>
        <v>516.08333333333326</v>
      </c>
      <c r="J108" s="5">
        <f t="shared" ref="J108:J114" si="45">I108-H108</f>
        <v>466.08333333333326</v>
      </c>
      <c r="K108">
        <v>29</v>
      </c>
      <c r="N108" s="83">
        <f>172+3+530</f>
        <v>705</v>
      </c>
      <c r="O108" s="51"/>
      <c r="P108" t="s">
        <v>513</v>
      </c>
    </row>
    <row r="109" spans="1:17">
      <c r="A109" s="146" t="s">
        <v>487</v>
      </c>
      <c r="B109" s="4">
        <v>6</v>
      </c>
      <c r="C109" s="4">
        <v>3</v>
      </c>
      <c r="D109" s="4">
        <v>45</v>
      </c>
      <c r="E109" s="4">
        <v>1</v>
      </c>
      <c r="F109" s="4">
        <v>50</v>
      </c>
      <c r="G109" s="10">
        <f t="shared" si="39"/>
        <v>6.05</v>
      </c>
      <c r="H109" s="4">
        <v>50</v>
      </c>
      <c r="I109" s="5">
        <f t="shared" si="44"/>
        <v>272.25</v>
      </c>
      <c r="J109" s="5">
        <f t="shared" si="45"/>
        <v>222.25</v>
      </c>
      <c r="K109">
        <v>19</v>
      </c>
      <c r="N109" s="83">
        <f>150+120</f>
        <v>270</v>
      </c>
    </row>
    <row r="110" spans="1:17">
      <c r="A110" s="146" t="s">
        <v>459</v>
      </c>
      <c r="B110" s="4">
        <v>0</v>
      </c>
      <c r="C110" s="4">
        <v>0</v>
      </c>
      <c r="D110" s="4">
        <v>45</v>
      </c>
      <c r="E110" s="4">
        <v>0</v>
      </c>
      <c r="F110" s="4">
        <v>50</v>
      </c>
      <c r="G110" s="10">
        <f t="shared" si="39"/>
        <v>0</v>
      </c>
      <c r="H110" s="4">
        <v>0</v>
      </c>
      <c r="I110" s="5">
        <f t="shared" si="44"/>
        <v>0</v>
      </c>
      <c r="J110" s="5">
        <f t="shared" si="45"/>
        <v>0</v>
      </c>
      <c r="K110">
        <v>0</v>
      </c>
      <c r="N110" s="119">
        <v>0</v>
      </c>
      <c r="Q110" t="s">
        <v>64</v>
      </c>
    </row>
    <row r="111" spans="1:17">
      <c r="A111" s="146" t="s">
        <v>514</v>
      </c>
      <c r="B111" s="4">
        <v>0</v>
      </c>
      <c r="C111" s="4">
        <v>0</v>
      </c>
      <c r="D111" s="4">
        <v>45</v>
      </c>
      <c r="E111" s="4">
        <v>0</v>
      </c>
      <c r="F111" s="4">
        <v>50</v>
      </c>
      <c r="G111" s="10">
        <f t="shared" si="39"/>
        <v>0</v>
      </c>
      <c r="H111" s="4">
        <v>0</v>
      </c>
      <c r="I111" s="5">
        <f t="shared" si="44"/>
        <v>0</v>
      </c>
      <c r="J111" s="5">
        <f t="shared" si="45"/>
        <v>0</v>
      </c>
      <c r="K111">
        <v>0</v>
      </c>
      <c r="N111" s="119">
        <v>0</v>
      </c>
    </row>
    <row r="112" spans="1:17">
      <c r="A112" s="146" t="s">
        <v>515</v>
      </c>
      <c r="B112" s="4">
        <v>0</v>
      </c>
      <c r="C112" s="4">
        <v>0</v>
      </c>
      <c r="D112" s="4">
        <v>45</v>
      </c>
      <c r="E112" s="4">
        <v>1</v>
      </c>
      <c r="F112" s="4">
        <v>50</v>
      </c>
      <c r="G112" s="10">
        <f t="shared" si="39"/>
        <v>0</v>
      </c>
      <c r="H112" s="4">
        <v>0</v>
      </c>
      <c r="I112" s="5">
        <f t="shared" si="44"/>
        <v>0</v>
      </c>
      <c r="J112" s="5">
        <f t="shared" si="45"/>
        <v>0</v>
      </c>
      <c r="K112">
        <v>0</v>
      </c>
      <c r="N112" s="119">
        <v>0</v>
      </c>
    </row>
    <row r="113" spans="1:17">
      <c r="A113" s="146" t="s">
        <v>516</v>
      </c>
      <c r="B113" s="4">
        <v>0</v>
      </c>
      <c r="C113" s="4">
        <v>0</v>
      </c>
      <c r="D113" s="4">
        <v>45</v>
      </c>
      <c r="E113" s="4">
        <v>1</v>
      </c>
      <c r="F113" s="4">
        <v>50</v>
      </c>
      <c r="G113" s="10">
        <f t="shared" si="39"/>
        <v>0</v>
      </c>
      <c r="H113" s="4">
        <v>0</v>
      </c>
      <c r="I113" s="5">
        <f t="shared" si="44"/>
        <v>0</v>
      </c>
      <c r="J113" s="5">
        <f t="shared" si="45"/>
        <v>0</v>
      </c>
      <c r="K113">
        <v>0</v>
      </c>
      <c r="N113" s="119">
        <v>0</v>
      </c>
    </row>
    <row r="114" spans="1:17" ht="16" thickBot="1">
      <c r="A114" s="146" t="s">
        <v>517</v>
      </c>
      <c r="B114" s="4">
        <v>0</v>
      </c>
      <c r="C114" s="4">
        <v>0</v>
      </c>
      <c r="D114" s="4">
        <v>45</v>
      </c>
      <c r="E114" s="4">
        <v>1</v>
      </c>
      <c r="F114" s="4">
        <v>50</v>
      </c>
      <c r="G114" s="10">
        <f t="shared" si="39"/>
        <v>0</v>
      </c>
      <c r="H114" s="4">
        <v>0</v>
      </c>
      <c r="I114" s="5">
        <f t="shared" si="44"/>
        <v>0</v>
      </c>
      <c r="J114" s="5">
        <f t="shared" si="45"/>
        <v>0</v>
      </c>
      <c r="K114">
        <v>0</v>
      </c>
      <c r="N114" s="119">
        <v>0</v>
      </c>
    </row>
    <row r="115" spans="1:17" s="86" customFormat="1" ht="20" thickBot="1">
      <c r="A115" s="91" t="s">
        <v>518</v>
      </c>
      <c r="B115" s="8">
        <f>SUM(B116:B121)</f>
        <v>47</v>
      </c>
      <c r="C115" s="8">
        <f>SUM(C116:C121)</f>
        <v>143</v>
      </c>
      <c r="D115" s="8">
        <f>SUM(D116)</f>
        <v>0</v>
      </c>
      <c r="E115" s="8">
        <f>SUM(E116:E121)</f>
        <v>5</v>
      </c>
      <c r="F115" s="8">
        <f>SUM(F116:F121)</f>
        <v>250</v>
      </c>
      <c r="G115" s="93">
        <f t="shared" si="39"/>
        <v>49.383333333333333</v>
      </c>
      <c r="H115" s="8">
        <f>SUM(H116:H121)</f>
        <v>250</v>
      </c>
      <c r="I115" s="9">
        <f>SUM(I116:I121)</f>
        <v>2623.75</v>
      </c>
      <c r="J115" s="14">
        <f>SUM(J116:J121)</f>
        <v>2373.75</v>
      </c>
      <c r="K115" s="8">
        <f>SUM(K116:K122)</f>
        <v>132</v>
      </c>
      <c r="L115" s="9">
        <v>0</v>
      </c>
      <c r="M115" s="96">
        <f>J115</f>
        <v>2373.75</v>
      </c>
      <c r="N115" s="102">
        <f>SUM(N116:N122)</f>
        <v>2491</v>
      </c>
      <c r="O115" s="98">
        <f>3450-N115</f>
        <v>959</v>
      </c>
    </row>
    <row r="116" spans="1:17">
      <c r="A116" s="145">
        <v>46111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10">
        <f>B116+C116/60</f>
        <v>0</v>
      </c>
      <c r="H116" s="4">
        <v>0</v>
      </c>
      <c r="I116" s="5">
        <f t="shared" ref="I116:I121" si="46">G116*D116</f>
        <v>0</v>
      </c>
      <c r="J116" s="5">
        <f>I116-H116</f>
        <v>0</v>
      </c>
      <c r="K116">
        <v>0</v>
      </c>
      <c r="N116" s="119">
        <v>0</v>
      </c>
      <c r="O116" s="51"/>
    </row>
    <row r="117" spans="1:17">
      <c r="A117" s="145">
        <v>46112</v>
      </c>
      <c r="B117" s="4">
        <v>9</v>
      </c>
      <c r="C117" s="4">
        <v>41</v>
      </c>
      <c r="D117" s="4">
        <v>55</v>
      </c>
      <c r="E117" s="4">
        <v>1</v>
      </c>
      <c r="F117" s="4">
        <v>50</v>
      </c>
      <c r="G117" s="10">
        <f t="shared" ref="G117:G139" si="47">B117+C117/60</f>
        <v>9.6833333333333336</v>
      </c>
      <c r="H117" s="4">
        <v>50</v>
      </c>
      <c r="I117" s="5">
        <f t="shared" si="46"/>
        <v>532.58333333333337</v>
      </c>
      <c r="J117" s="5">
        <f>I117-H117</f>
        <v>482.58333333333337</v>
      </c>
      <c r="K117">
        <v>29</v>
      </c>
      <c r="N117" s="83">
        <f>662+250</f>
        <v>912</v>
      </c>
    </row>
    <row r="118" spans="1:17">
      <c r="A118" s="145">
        <v>46113</v>
      </c>
      <c r="B118" s="4">
        <v>9</v>
      </c>
      <c r="C118" s="4">
        <v>14</v>
      </c>
      <c r="D118" s="4">
        <v>45</v>
      </c>
      <c r="E118" s="4">
        <v>1</v>
      </c>
      <c r="F118" s="4">
        <v>50</v>
      </c>
      <c r="G118" s="10">
        <f t="shared" si="47"/>
        <v>9.2333333333333325</v>
      </c>
      <c r="H118" s="4">
        <v>50</v>
      </c>
      <c r="I118" s="5">
        <f t="shared" si="46"/>
        <v>415.49999999999994</v>
      </c>
      <c r="J118" s="5">
        <f t="shared" ref="J118:J122" si="48">I118-H118</f>
        <v>365.49999999999994</v>
      </c>
      <c r="K118">
        <v>21</v>
      </c>
      <c r="N118" s="83">
        <f>172</f>
        <v>172</v>
      </c>
      <c r="Q118" t="s">
        <v>64</v>
      </c>
    </row>
    <row r="119" spans="1:17">
      <c r="A119" s="145">
        <v>46114</v>
      </c>
      <c r="B119" s="4">
        <v>9</v>
      </c>
      <c r="C119" s="4">
        <v>49</v>
      </c>
      <c r="D119" s="4">
        <v>55</v>
      </c>
      <c r="E119" s="4">
        <v>1</v>
      </c>
      <c r="F119" s="4">
        <v>50</v>
      </c>
      <c r="G119" s="10">
        <f t="shared" si="47"/>
        <v>9.8166666666666664</v>
      </c>
      <c r="H119" s="4">
        <v>50</v>
      </c>
      <c r="I119" s="5">
        <f t="shared" si="46"/>
        <v>539.91666666666663</v>
      </c>
      <c r="J119" s="5">
        <f t="shared" si="48"/>
        <v>489.91666666666663</v>
      </c>
      <c r="K119">
        <v>27</v>
      </c>
      <c r="N119" s="83">
        <f>497</f>
        <v>497</v>
      </c>
    </row>
    <row r="120" spans="1:17">
      <c r="A120" s="145">
        <v>46115</v>
      </c>
      <c r="B120" s="4">
        <v>10</v>
      </c>
      <c r="C120" s="4">
        <v>9</v>
      </c>
      <c r="D120" s="4">
        <v>55</v>
      </c>
      <c r="E120" s="4">
        <v>1</v>
      </c>
      <c r="F120" s="4">
        <v>50</v>
      </c>
      <c r="G120" s="10">
        <f t="shared" si="47"/>
        <v>10.15</v>
      </c>
      <c r="H120" s="4">
        <v>50</v>
      </c>
      <c r="I120" s="5">
        <f t="shared" si="46"/>
        <v>558.25</v>
      </c>
      <c r="J120" s="5">
        <f t="shared" si="48"/>
        <v>508.25</v>
      </c>
      <c r="K120">
        <v>27</v>
      </c>
      <c r="N120" s="119">
        <v>0</v>
      </c>
    </row>
    <row r="121" spans="1:17">
      <c r="A121" s="145">
        <v>46116</v>
      </c>
      <c r="B121" s="4">
        <v>10</v>
      </c>
      <c r="C121" s="4">
        <v>30</v>
      </c>
      <c r="D121" s="4">
        <v>55</v>
      </c>
      <c r="E121" s="4">
        <v>1</v>
      </c>
      <c r="F121" s="4">
        <v>50</v>
      </c>
      <c r="G121" s="10">
        <f t="shared" si="47"/>
        <v>10.5</v>
      </c>
      <c r="H121" s="4">
        <v>50</v>
      </c>
      <c r="I121" s="5">
        <f t="shared" si="46"/>
        <v>577.5</v>
      </c>
      <c r="J121" s="5">
        <f t="shared" si="48"/>
        <v>527.5</v>
      </c>
      <c r="K121">
        <v>28</v>
      </c>
      <c r="N121" s="119">
        <v>910</v>
      </c>
    </row>
    <row r="122" spans="1:17" ht="16" thickBot="1">
      <c r="A122" s="145">
        <v>46117</v>
      </c>
      <c r="B122" s="4">
        <v>0</v>
      </c>
      <c r="C122" s="4">
        <v>0</v>
      </c>
      <c r="D122" s="4">
        <v>0</v>
      </c>
      <c r="E122" s="4">
        <v>0</v>
      </c>
      <c r="F122" s="4">
        <v>50</v>
      </c>
      <c r="G122" s="10">
        <f t="shared" si="47"/>
        <v>0</v>
      </c>
      <c r="H122" s="4">
        <v>0</v>
      </c>
      <c r="I122" s="5">
        <f>G122*D122</f>
        <v>0</v>
      </c>
      <c r="J122" s="5">
        <f t="shared" si="48"/>
        <v>0</v>
      </c>
      <c r="K122">
        <v>0</v>
      </c>
      <c r="N122" s="119">
        <v>0</v>
      </c>
    </row>
    <row r="123" spans="1:17" s="86" customFormat="1" ht="20" thickBot="1">
      <c r="A123" s="91" t="s">
        <v>519</v>
      </c>
      <c r="B123" s="8">
        <f>SUM(B124:B129)</f>
        <v>38</v>
      </c>
      <c r="C123" s="8">
        <f>SUM(C124:C129)</f>
        <v>119</v>
      </c>
      <c r="D123" s="8">
        <f>SUM(D124)</f>
        <v>0</v>
      </c>
      <c r="E123" s="8">
        <f>SUM(E124:E129)</f>
        <v>4</v>
      </c>
      <c r="F123" s="8">
        <f>SUM(F124:F129)</f>
        <v>300</v>
      </c>
      <c r="G123" s="93">
        <f t="shared" si="47"/>
        <v>39.983333333333334</v>
      </c>
      <c r="H123" s="8">
        <f>SUM(H124:H130)</f>
        <v>300</v>
      </c>
      <c r="I123" s="9">
        <f>SUM(I124:I130)</f>
        <v>2630.666666666667</v>
      </c>
      <c r="J123" s="14">
        <f>SUM(J124:J130)</f>
        <v>2330.666666666667</v>
      </c>
      <c r="K123" s="8">
        <f>SUM(K124:K130)</f>
        <v>138</v>
      </c>
      <c r="L123" s="9">
        <v>0</v>
      </c>
      <c r="M123" s="96">
        <f>J123</f>
        <v>2330.666666666667</v>
      </c>
      <c r="N123" s="102">
        <f>SUM(N124:N130)</f>
        <v>4582</v>
      </c>
      <c r="O123" s="98">
        <f>5759-N123</f>
        <v>1177</v>
      </c>
    </row>
    <row r="124" spans="1:17">
      <c r="A124" s="145">
        <v>46111</v>
      </c>
      <c r="B124" s="4">
        <v>0</v>
      </c>
      <c r="C124" s="4">
        <v>0</v>
      </c>
      <c r="D124" s="4">
        <v>0</v>
      </c>
      <c r="E124" s="4">
        <v>0</v>
      </c>
      <c r="F124" s="4">
        <v>50</v>
      </c>
      <c r="G124" s="10">
        <f>B124+C124/60</f>
        <v>0</v>
      </c>
      <c r="H124" s="4">
        <v>0</v>
      </c>
      <c r="I124" s="5">
        <f t="shared" ref="I124:I129" si="49">G124*D124</f>
        <v>0</v>
      </c>
      <c r="J124" s="5">
        <f>I124-H124</f>
        <v>0</v>
      </c>
      <c r="K124">
        <v>0</v>
      </c>
      <c r="N124" s="119">
        <v>0</v>
      </c>
      <c r="O124" s="51"/>
    </row>
    <row r="125" spans="1:17">
      <c r="A125" s="145">
        <v>46112</v>
      </c>
      <c r="B125" s="4">
        <v>0</v>
      </c>
      <c r="C125" s="4">
        <v>0</v>
      </c>
      <c r="D125" s="4">
        <v>0</v>
      </c>
      <c r="E125" s="4">
        <v>0</v>
      </c>
      <c r="F125" s="4">
        <v>50</v>
      </c>
      <c r="G125" s="10">
        <f t="shared" ref="G125:G131" si="50">B125+C125/60</f>
        <v>0</v>
      </c>
      <c r="H125" s="4">
        <v>50</v>
      </c>
      <c r="I125" s="5">
        <f t="shared" si="49"/>
        <v>0</v>
      </c>
      <c r="J125" s="5">
        <f>I125-H125</f>
        <v>-50</v>
      </c>
      <c r="K125">
        <v>0</v>
      </c>
      <c r="N125" s="119">
        <v>0</v>
      </c>
    </row>
    <row r="126" spans="1:17">
      <c r="A126" s="145" t="s">
        <v>487</v>
      </c>
      <c r="B126" s="4">
        <v>9</v>
      </c>
      <c r="C126" s="4">
        <v>44</v>
      </c>
      <c r="D126" s="4">
        <v>45</v>
      </c>
      <c r="E126" s="4">
        <v>1</v>
      </c>
      <c r="F126" s="4">
        <v>50</v>
      </c>
      <c r="G126" s="10">
        <f t="shared" si="50"/>
        <v>9.7333333333333325</v>
      </c>
      <c r="H126" s="4">
        <v>50</v>
      </c>
      <c r="I126" s="5">
        <f t="shared" si="49"/>
        <v>437.99999999999994</v>
      </c>
      <c r="J126" s="5">
        <f t="shared" ref="J126:J130" si="51">I126-H126</f>
        <v>387.99999999999994</v>
      </c>
      <c r="K126">
        <v>18</v>
      </c>
      <c r="N126" s="83">
        <v>0</v>
      </c>
      <c r="P126" t="s">
        <v>520</v>
      </c>
      <c r="Q126" t="s">
        <v>64</v>
      </c>
    </row>
    <row r="127" spans="1:17">
      <c r="A127" s="146" t="s">
        <v>521</v>
      </c>
      <c r="B127" s="4">
        <v>10</v>
      </c>
      <c r="C127" s="4">
        <v>54</v>
      </c>
      <c r="D127" s="4">
        <v>55</v>
      </c>
      <c r="E127" s="4">
        <v>1</v>
      </c>
      <c r="F127" s="4">
        <v>50</v>
      </c>
      <c r="G127" s="10">
        <f t="shared" si="50"/>
        <v>10.9</v>
      </c>
      <c r="H127" s="4">
        <v>50</v>
      </c>
      <c r="I127" s="5">
        <f t="shared" si="49"/>
        <v>599.5</v>
      </c>
      <c r="J127" s="5">
        <f t="shared" si="51"/>
        <v>549.5</v>
      </c>
      <c r="K127">
        <v>30</v>
      </c>
      <c r="N127" s="83">
        <f>1141</f>
        <v>1141</v>
      </c>
    </row>
    <row r="128" spans="1:17">
      <c r="A128" s="146" t="s">
        <v>522</v>
      </c>
      <c r="B128" s="4">
        <v>9</v>
      </c>
      <c r="C128" s="4">
        <v>13</v>
      </c>
      <c r="D128" s="4">
        <v>55</v>
      </c>
      <c r="E128" s="4">
        <v>1</v>
      </c>
      <c r="F128" s="4">
        <v>50</v>
      </c>
      <c r="G128" s="10">
        <f t="shared" si="50"/>
        <v>9.2166666666666668</v>
      </c>
      <c r="H128" s="4">
        <v>50</v>
      </c>
      <c r="I128" s="5">
        <f t="shared" si="49"/>
        <v>506.91666666666669</v>
      </c>
      <c r="J128" s="5">
        <f t="shared" si="51"/>
        <v>456.91666666666669</v>
      </c>
      <c r="K128">
        <v>31</v>
      </c>
      <c r="N128" s="119">
        <v>1141</v>
      </c>
      <c r="P128" t="s">
        <v>523</v>
      </c>
    </row>
    <row r="129" spans="1:17">
      <c r="A129" s="146" t="s">
        <v>524</v>
      </c>
      <c r="B129" s="4">
        <v>10</v>
      </c>
      <c r="C129" s="4">
        <v>8</v>
      </c>
      <c r="D129" s="4">
        <v>55</v>
      </c>
      <c r="E129" s="4">
        <v>1</v>
      </c>
      <c r="F129" s="4">
        <v>50</v>
      </c>
      <c r="G129" s="10">
        <f t="shared" si="50"/>
        <v>10.133333333333333</v>
      </c>
      <c r="H129" s="4">
        <v>50</v>
      </c>
      <c r="I129" s="5">
        <f t="shared" si="49"/>
        <v>557.33333333333326</v>
      </c>
      <c r="J129" s="5">
        <f t="shared" si="51"/>
        <v>507.33333333333326</v>
      </c>
      <c r="K129">
        <v>30</v>
      </c>
      <c r="N129" s="119">
        <v>1040</v>
      </c>
      <c r="P129" t="s">
        <v>525</v>
      </c>
    </row>
    <row r="130" spans="1:17" ht="16" thickBot="1">
      <c r="A130" s="146" t="s">
        <v>526</v>
      </c>
      <c r="B130" s="4">
        <v>9</v>
      </c>
      <c r="C130" s="4">
        <v>37</v>
      </c>
      <c r="D130" s="4">
        <v>55</v>
      </c>
      <c r="E130" s="4">
        <v>1</v>
      </c>
      <c r="F130" s="4">
        <v>50</v>
      </c>
      <c r="G130" s="10">
        <f t="shared" si="50"/>
        <v>9.6166666666666671</v>
      </c>
      <c r="H130" s="4">
        <v>50</v>
      </c>
      <c r="I130" s="5">
        <f>G130*D130</f>
        <v>528.91666666666674</v>
      </c>
      <c r="J130" s="5">
        <f t="shared" si="51"/>
        <v>478.91666666666674</v>
      </c>
      <c r="K130">
        <v>29</v>
      </c>
      <c r="N130" s="119">
        <v>1260</v>
      </c>
      <c r="P130" t="s">
        <v>527</v>
      </c>
    </row>
    <row r="131" spans="1:17" s="86" customFormat="1" ht="20" thickBot="1">
      <c r="A131" s="91" t="s">
        <v>528</v>
      </c>
      <c r="B131" s="8">
        <f>SUM(B132:B137)</f>
        <v>52</v>
      </c>
      <c r="C131" s="8">
        <f>SUM(C132:C137)</f>
        <v>202</v>
      </c>
      <c r="D131" s="8">
        <f>SUM(D132)</f>
        <v>45</v>
      </c>
      <c r="E131" s="8">
        <f>SUM(E132:E137)</f>
        <v>6</v>
      </c>
      <c r="F131" s="8">
        <f>SUM(F132:F137)</f>
        <v>300</v>
      </c>
      <c r="G131" s="93">
        <f t="shared" si="50"/>
        <v>55.366666666666667</v>
      </c>
      <c r="H131" s="8">
        <f>SUM(H132:H137)</f>
        <v>300</v>
      </c>
      <c r="I131" s="9">
        <f>SUM(I132:I137)</f>
        <v>2679</v>
      </c>
      <c r="J131" s="14">
        <f>SUM(J132:J137)</f>
        <v>2379</v>
      </c>
      <c r="K131" s="8">
        <f>SUM(K132:K137)</f>
        <v>134</v>
      </c>
      <c r="L131" s="9">
        <v>0</v>
      </c>
      <c r="M131" s="96">
        <f>J131</f>
        <v>2379</v>
      </c>
      <c r="N131" s="102">
        <f>SUM(N132:N138)</f>
        <v>1139</v>
      </c>
      <c r="O131" s="98">
        <f>2976-N131</f>
        <v>1837</v>
      </c>
    </row>
    <row r="132" spans="1:17">
      <c r="A132" s="145">
        <v>46111</v>
      </c>
      <c r="B132" s="4">
        <v>8</v>
      </c>
      <c r="C132" s="4">
        <v>38</v>
      </c>
      <c r="D132" s="4">
        <v>45</v>
      </c>
      <c r="E132" s="4">
        <v>1</v>
      </c>
      <c r="F132" s="4">
        <v>50</v>
      </c>
      <c r="G132" s="10">
        <f>B132+C132/60</f>
        <v>8.6333333333333329</v>
      </c>
      <c r="H132" s="4">
        <v>50</v>
      </c>
      <c r="I132" s="5">
        <f t="shared" ref="I132:I137" si="52">G132*D132</f>
        <v>388.5</v>
      </c>
      <c r="J132" s="5">
        <f>I132-H132</f>
        <v>338.5</v>
      </c>
      <c r="K132">
        <v>17</v>
      </c>
      <c r="N132" s="83">
        <f>140</f>
        <v>140</v>
      </c>
      <c r="O132" s="51"/>
    </row>
    <row r="133" spans="1:17">
      <c r="A133" s="145">
        <v>46112</v>
      </c>
      <c r="B133" s="4">
        <v>9</v>
      </c>
      <c r="C133" s="4">
        <v>50</v>
      </c>
      <c r="D133" s="4">
        <v>55</v>
      </c>
      <c r="E133" s="4">
        <v>1</v>
      </c>
      <c r="F133" s="4">
        <v>50</v>
      </c>
      <c r="G133" s="10">
        <f t="shared" ref="G133:G138" si="53">B133+C133/60</f>
        <v>9.8333333333333339</v>
      </c>
      <c r="H133" s="4">
        <v>50</v>
      </c>
      <c r="I133" s="5">
        <f t="shared" si="52"/>
        <v>540.83333333333337</v>
      </c>
      <c r="J133" s="5">
        <f>I133-H133</f>
        <v>490.83333333333337</v>
      </c>
      <c r="K133">
        <v>20</v>
      </c>
      <c r="N133" s="83">
        <f>152+70</f>
        <v>222</v>
      </c>
    </row>
    <row r="134" spans="1:17">
      <c r="A134" s="145">
        <v>46113</v>
      </c>
      <c r="B134" s="4">
        <v>9</v>
      </c>
      <c r="C134" s="4">
        <v>30</v>
      </c>
      <c r="D134" s="4">
        <v>45</v>
      </c>
      <c r="E134" s="4">
        <v>1</v>
      </c>
      <c r="F134" s="4">
        <v>50</v>
      </c>
      <c r="G134" s="10">
        <f t="shared" si="53"/>
        <v>9.5</v>
      </c>
      <c r="H134" s="4">
        <v>50</v>
      </c>
      <c r="I134" s="5">
        <f t="shared" si="52"/>
        <v>427.5</v>
      </c>
      <c r="J134" s="5">
        <f t="shared" ref="J134:J138" si="54">I134-H134</f>
        <v>377.5</v>
      </c>
      <c r="K134">
        <v>23</v>
      </c>
      <c r="N134" s="83">
        <f>584</f>
        <v>584</v>
      </c>
      <c r="Q134" t="s">
        <v>64</v>
      </c>
    </row>
    <row r="135" spans="1:17">
      <c r="A135" s="145">
        <v>46114</v>
      </c>
      <c r="B135" s="4">
        <v>8</v>
      </c>
      <c r="C135" s="4">
        <v>55</v>
      </c>
      <c r="D135" s="4">
        <v>55</v>
      </c>
      <c r="E135" s="4">
        <v>1</v>
      </c>
      <c r="F135" s="4">
        <v>50</v>
      </c>
      <c r="G135" s="10">
        <f t="shared" si="53"/>
        <v>8.9166666666666661</v>
      </c>
      <c r="H135" s="4">
        <v>50</v>
      </c>
      <c r="I135" s="5">
        <f t="shared" si="52"/>
        <v>490.41666666666663</v>
      </c>
      <c r="J135" s="5">
        <f t="shared" si="54"/>
        <v>440.41666666666663</v>
      </c>
      <c r="K135">
        <v>27</v>
      </c>
      <c r="N135" s="83">
        <f>193</f>
        <v>193</v>
      </c>
    </row>
    <row r="136" spans="1:17">
      <c r="A136" s="145">
        <v>46115</v>
      </c>
      <c r="B136" s="4">
        <v>9</v>
      </c>
      <c r="C136" s="4">
        <v>20</v>
      </c>
      <c r="D136" s="4">
        <v>45</v>
      </c>
      <c r="E136" s="4">
        <v>1</v>
      </c>
      <c r="F136" s="4">
        <v>50</v>
      </c>
      <c r="G136" s="10">
        <f t="shared" si="53"/>
        <v>9.3333333333333339</v>
      </c>
      <c r="H136" s="4">
        <v>50</v>
      </c>
      <c r="I136" s="5">
        <f t="shared" si="52"/>
        <v>420</v>
      </c>
      <c r="J136" s="5">
        <f t="shared" si="54"/>
        <v>370</v>
      </c>
      <c r="K136">
        <v>23</v>
      </c>
      <c r="N136" s="119">
        <v>0</v>
      </c>
    </row>
    <row r="137" spans="1:17">
      <c r="A137" s="145">
        <v>46116</v>
      </c>
      <c r="B137" s="4">
        <v>9</v>
      </c>
      <c r="C137" s="4">
        <v>9</v>
      </c>
      <c r="D137" s="4">
        <v>45</v>
      </c>
      <c r="E137" s="4">
        <v>1</v>
      </c>
      <c r="F137" s="4">
        <v>50</v>
      </c>
      <c r="G137" s="10">
        <f t="shared" si="53"/>
        <v>9.15</v>
      </c>
      <c r="H137" s="4">
        <v>50</v>
      </c>
      <c r="I137" s="5">
        <f t="shared" si="52"/>
        <v>411.75</v>
      </c>
      <c r="J137" s="5">
        <f t="shared" si="54"/>
        <v>361.75</v>
      </c>
      <c r="K137">
        <v>24</v>
      </c>
      <c r="N137" s="119">
        <v>0</v>
      </c>
    </row>
    <row r="138" spans="1:17" ht="16" thickBot="1">
      <c r="A138" s="145">
        <v>46117</v>
      </c>
      <c r="B138" s="4">
        <v>0</v>
      </c>
      <c r="C138" s="4">
        <v>0</v>
      </c>
      <c r="D138" s="4">
        <v>45</v>
      </c>
      <c r="E138" s="4">
        <v>1</v>
      </c>
      <c r="F138" s="4">
        <v>50</v>
      </c>
      <c r="G138" s="10">
        <f t="shared" si="53"/>
        <v>0</v>
      </c>
      <c r="H138" s="4">
        <v>0</v>
      </c>
      <c r="I138" s="5">
        <f>G138*D138</f>
        <v>0</v>
      </c>
      <c r="J138" s="5">
        <f t="shared" si="54"/>
        <v>0</v>
      </c>
      <c r="K138">
        <v>0</v>
      </c>
      <c r="N138" s="119">
        <v>0</v>
      </c>
    </row>
    <row r="139" spans="1:17" s="86" customFormat="1" ht="20" thickBot="1">
      <c r="A139" s="91" t="s">
        <v>529</v>
      </c>
      <c r="B139" s="8">
        <f>SUM(B140:B147)</f>
        <v>19</v>
      </c>
      <c r="C139" s="8">
        <f>SUM(C140:C147)</f>
        <v>145</v>
      </c>
      <c r="D139" s="8">
        <f>SUM(D140)</f>
        <v>45</v>
      </c>
      <c r="E139" s="8">
        <f>SUM(E140:E147)</f>
        <v>10</v>
      </c>
      <c r="F139" s="8">
        <f>SUM(F140:F145)</f>
        <v>250</v>
      </c>
      <c r="G139" s="93">
        <f t="shared" si="47"/>
        <v>21.416666666666668</v>
      </c>
      <c r="H139" s="8">
        <f>SUM(H140:H146)</f>
        <v>50</v>
      </c>
      <c r="I139" s="9">
        <f>SUM(I140:I146)</f>
        <v>160.5</v>
      </c>
      <c r="J139" s="14">
        <f>SUM(J140:J146)</f>
        <v>110.5</v>
      </c>
      <c r="K139" s="8">
        <f>SUM(K140:K146)</f>
        <v>12</v>
      </c>
      <c r="L139" s="9">
        <v>0</v>
      </c>
      <c r="M139" s="96">
        <f>J139</f>
        <v>110.5</v>
      </c>
      <c r="N139" s="102">
        <f>SUM(N140:N143)</f>
        <v>0</v>
      </c>
      <c r="O139" s="98">
        <f>517-N139</f>
        <v>517</v>
      </c>
    </row>
    <row r="140" spans="1:17">
      <c r="A140" s="145">
        <v>46111</v>
      </c>
      <c r="B140" s="4">
        <v>0</v>
      </c>
      <c r="C140" s="4">
        <v>0</v>
      </c>
      <c r="D140" s="4">
        <v>45</v>
      </c>
      <c r="E140" s="4">
        <v>1</v>
      </c>
      <c r="F140" s="4">
        <v>50</v>
      </c>
      <c r="G140" s="10">
        <f>B140+C140/60</f>
        <v>0</v>
      </c>
      <c r="H140" s="4">
        <v>0</v>
      </c>
      <c r="I140" s="5">
        <f t="shared" ref="I140:I146" si="55">G140*D140</f>
        <v>0</v>
      </c>
      <c r="J140" s="5">
        <f>I140-H140</f>
        <v>0</v>
      </c>
      <c r="K140">
        <v>0</v>
      </c>
      <c r="N140" s="119">
        <v>0</v>
      </c>
      <c r="O140" s="51"/>
    </row>
    <row r="141" spans="1:17">
      <c r="A141" s="145">
        <v>46112</v>
      </c>
      <c r="B141" s="4">
        <v>0</v>
      </c>
      <c r="C141" s="4">
        <v>0</v>
      </c>
      <c r="D141" s="4">
        <v>45</v>
      </c>
      <c r="E141" s="4">
        <v>1</v>
      </c>
      <c r="F141" s="4">
        <v>50</v>
      </c>
      <c r="G141" s="10">
        <f t="shared" ref="G141:G170" si="56">B141+C141/60</f>
        <v>0</v>
      </c>
      <c r="H141" s="4">
        <v>0</v>
      </c>
      <c r="I141" s="5">
        <f t="shared" si="55"/>
        <v>0</v>
      </c>
      <c r="J141" s="5">
        <f>I141-H141</f>
        <v>0</v>
      </c>
      <c r="K141">
        <v>0</v>
      </c>
      <c r="N141" s="119">
        <v>0</v>
      </c>
    </row>
    <row r="142" spans="1:17">
      <c r="A142" s="145">
        <v>46113</v>
      </c>
      <c r="B142" s="4">
        <v>3</v>
      </c>
      <c r="C142" s="4">
        <v>34</v>
      </c>
      <c r="D142" s="4">
        <v>45</v>
      </c>
      <c r="E142" s="4">
        <v>1</v>
      </c>
      <c r="F142" s="4">
        <v>0</v>
      </c>
      <c r="G142" s="10">
        <f t="shared" si="56"/>
        <v>3.5666666666666664</v>
      </c>
      <c r="H142" s="4">
        <v>50</v>
      </c>
      <c r="I142" s="5">
        <f t="shared" si="55"/>
        <v>160.5</v>
      </c>
      <c r="J142" s="5">
        <f t="shared" ref="J142:J146" si="57">I142-H142</f>
        <v>110.5</v>
      </c>
      <c r="K142">
        <v>12</v>
      </c>
      <c r="N142" s="119">
        <v>0</v>
      </c>
      <c r="Q142" t="s">
        <v>64</v>
      </c>
    </row>
    <row r="143" spans="1:17">
      <c r="A143" s="145">
        <v>46114</v>
      </c>
      <c r="B143" s="4">
        <v>0</v>
      </c>
      <c r="C143" s="4">
        <v>0</v>
      </c>
      <c r="D143" s="4">
        <v>45</v>
      </c>
      <c r="E143" s="4">
        <v>1</v>
      </c>
      <c r="F143" s="4">
        <v>50</v>
      </c>
      <c r="G143" s="10">
        <f t="shared" si="56"/>
        <v>0</v>
      </c>
      <c r="H143" s="4">
        <v>0</v>
      </c>
      <c r="I143" s="5">
        <f t="shared" si="55"/>
        <v>0</v>
      </c>
      <c r="J143" s="5">
        <f t="shared" si="57"/>
        <v>0</v>
      </c>
      <c r="K143">
        <v>0</v>
      </c>
      <c r="N143" s="119">
        <v>0</v>
      </c>
    </row>
    <row r="144" spans="1:17">
      <c r="A144" s="145">
        <v>46115</v>
      </c>
      <c r="B144" s="4">
        <v>0</v>
      </c>
      <c r="C144" s="4">
        <v>0</v>
      </c>
      <c r="D144" s="4">
        <v>45</v>
      </c>
      <c r="E144" s="4">
        <v>1</v>
      </c>
      <c r="F144" s="4">
        <v>50</v>
      </c>
      <c r="G144" s="10">
        <f t="shared" si="56"/>
        <v>0</v>
      </c>
      <c r="H144" s="4">
        <v>0</v>
      </c>
      <c r="I144" s="5">
        <f t="shared" si="55"/>
        <v>0</v>
      </c>
      <c r="J144" s="5">
        <f t="shared" si="57"/>
        <v>0</v>
      </c>
      <c r="K144">
        <v>0</v>
      </c>
      <c r="N144" s="119">
        <v>0</v>
      </c>
    </row>
    <row r="145" spans="1:17">
      <c r="A145" s="145">
        <v>46116</v>
      </c>
      <c r="B145" s="4">
        <v>0</v>
      </c>
      <c r="C145" s="4">
        <v>0</v>
      </c>
      <c r="D145" s="4">
        <v>45</v>
      </c>
      <c r="E145" s="4">
        <v>1</v>
      </c>
      <c r="F145" s="4">
        <v>50</v>
      </c>
      <c r="G145" s="10">
        <f t="shared" si="56"/>
        <v>0</v>
      </c>
      <c r="H145" s="4">
        <v>0</v>
      </c>
      <c r="I145" s="5">
        <f t="shared" si="55"/>
        <v>0</v>
      </c>
      <c r="J145" s="5">
        <f t="shared" si="57"/>
        <v>0</v>
      </c>
      <c r="K145">
        <v>0</v>
      </c>
      <c r="N145" s="119">
        <v>0</v>
      </c>
    </row>
    <row r="146" spans="1:17" ht="16" thickBot="1">
      <c r="A146" s="145">
        <v>46117</v>
      </c>
      <c r="B146" s="4">
        <v>0</v>
      </c>
      <c r="C146" s="4">
        <v>0</v>
      </c>
      <c r="D146" s="4">
        <v>45</v>
      </c>
      <c r="E146" s="4">
        <v>1</v>
      </c>
      <c r="F146" s="4">
        <v>50</v>
      </c>
      <c r="G146" s="10">
        <f t="shared" si="56"/>
        <v>0</v>
      </c>
      <c r="H146" s="4">
        <v>0</v>
      </c>
      <c r="I146" s="5">
        <f t="shared" si="55"/>
        <v>0</v>
      </c>
      <c r="J146" s="5">
        <f t="shared" si="57"/>
        <v>0</v>
      </c>
      <c r="K146">
        <v>0</v>
      </c>
      <c r="N146" s="119">
        <v>0</v>
      </c>
    </row>
    <row r="147" spans="1:17" s="86" customFormat="1" ht="20" thickBot="1">
      <c r="A147" s="91" t="s">
        <v>530</v>
      </c>
      <c r="B147" s="8">
        <f>SUM(B148:B154)</f>
        <v>16</v>
      </c>
      <c r="C147" s="8">
        <f t="shared" ref="C147" si="58">SUM(C148:C154)</f>
        <v>111</v>
      </c>
      <c r="D147" s="126">
        <f>SUM(D148)</f>
        <v>45</v>
      </c>
      <c r="E147" s="126">
        <f t="shared" ref="E147:F147" si="59">SUM(E148:E154)</f>
        <v>3</v>
      </c>
      <c r="F147" s="126">
        <f t="shared" si="59"/>
        <v>300</v>
      </c>
      <c r="G147" s="123">
        <f t="shared" si="56"/>
        <v>17.850000000000001</v>
      </c>
      <c r="H147" s="8">
        <f>SUM(H148:H154)</f>
        <v>150</v>
      </c>
      <c r="I147" s="14">
        <f>SUM(I148:I154)</f>
        <v>898.41666666666674</v>
      </c>
      <c r="J147" s="14">
        <f>SUM(J148:J154)</f>
        <v>748.41666666666674</v>
      </c>
      <c r="K147" s="8">
        <f>SUM(K148:K154)</f>
        <v>44</v>
      </c>
      <c r="L147" s="9">
        <v>0</v>
      </c>
      <c r="M147" s="96">
        <f>J147</f>
        <v>748.41666666666674</v>
      </c>
      <c r="N147" s="102">
        <f>SUM(N148:N154)</f>
        <v>2398</v>
      </c>
      <c r="O147" s="98">
        <f>1934-N147</f>
        <v>-464</v>
      </c>
    </row>
    <row r="148" spans="1:17">
      <c r="A148" s="145">
        <v>46111</v>
      </c>
      <c r="B148" s="4">
        <v>0</v>
      </c>
      <c r="C148" s="4">
        <v>0</v>
      </c>
      <c r="D148" s="4">
        <v>45</v>
      </c>
      <c r="E148" s="4">
        <v>0</v>
      </c>
      <c r="F148" s="4">
        <v>50</v>
      </c>
      <c r="G148" s="10">
        <f>B148+C148/60</f>
        <v>0</v>
      </c>
      <c r="H148" s="4">
        <v>0</v>
      </c>
      <c r="I148" s="5">
        <f t="shared" ref="I148:I154" si="60">G148*D148</f>
        <v>0</v>
      </c>
      <c r="J148" s="5">
        <f t="shared" ref="J148:J154" si="61">I148-H148</f>
        <v>0</v>
      </c>
      <c r="K148">
        <v>0</v>
      </c>
      <c r="N148" s="119">
        <v>0</v>
      </c>
      <c r="O148" s="51"/>
    </row>
    <row r="149" spans="1:17">
      <c r="A149" s="145">
        <v>46112</v>
      </c>
      <c r="B149" s="4">
        <v>0</v>
      </c>
      <c r="C149" s="4">
        <v>0</v>
      </c>
      <c r="D149" s="4">
        <v>45</v>
      </c>
      <c r="E149" s="4">
        <v>0</v>
      </c>
      <c r="F149" s="4">
        <v>50</v>
      </c>
      <c r="G149" s="10">
        <f t="shared" si="56"/>
        <v>0</v>
      </c>
      <c r="H149" s="4">
        <v>0</v>
      </c>
      <c r="I149" s="5">
        <f t="shared" si="60"/>
        <v>0</v>
      </c>
      <c r="J149" s="5">
        <f t="shared" si="61"/>
        <v>0</v>
      </c>
      <c r="K149">
        <v>0</v>
      </c>
      <c r="N149" s="119">
        <v>0</v>
      </c>
    </row>
    <row r="150" spans="1:17">
      <c r="A150" s="145">
        <v>46113</v>
      </c>
      <c r="B150" s="4">
        <v>9</v>
      </c>
      <c r="C150" s="4">
        <v>31</v>
      </c>
      <c r="D150" s="4">
        <v>55</v>
      </c>
      <c r="E150" s="4">
        <v>1</v>
      </c>
      <c r="F150" s="4">
        <v>50</v>
      </c>
      <c r="G150" s="10">
        <f t="shared" si="56"/>
        <v>9.5166666666666675</v>
      </c>
      <c r="H150" s="4">
        <v>50</v>
      </c>
      <c r="I150" s="5">
        <f t="shared" si="60"/>
        <v>523.41666666666674</v>
      </c>
      <c r="J150" s="5">
        <f t="shared" si="61"/>
        <v>473.41666666666674</v>
      </c>
      <c r="K150">
        <v>25</v>
      </c>
      <c r="N150" s="83">
        <f>700</f>
        <v>700</v>
      </c>
      <c r="Q150" t="s">
        <v>64</v>
      </c>
    </row>
    <row r="151" spans="1:17">
      <c r="A151" s="145">
        <v>46114</v>
      </c>
      <c r="B151" s="4">
        <v>2</v>
      </c>
      <c r="C151" s="4">
        <v>47</v>
      </c>
      <c r="D151" s="4">
        <v>45</v>
      </c>
      <c r="E151" s="4">
        <v>1</v>
      </c>
      <c r="F151" s="4">
        <v>50</v>
      </c>
      <c r="G151" s="10">
        <f t="shared" si="56"/>
        <v>2.7833333333333332</v>
      </c>
      <c r="H151" s="4">
        <v>50</v>
      </c>
      <c r="I151" s="5">
        <f t="shared" si="60"/>
        <v>125.25</v>
      </c>
      <c r="J151" s="5">
        <f t="shared" si="61"/>
        <v>75.25</v>
      </c>
      <c r="K151">
        <v>5</v>
      </c>
      <c r="N151" s="83">
        <f>358+712</f>
        <v>1070</v>
      </c>
    </row>
    <row r="152" spans="1:17">
      <c r="A152" s="145">
        <v>46115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10">
        <f t="shared" si="56"/>
        <v>0</v>
      </c>
      <c r="H152" s="4">
        <v>0</v>
      </c>
      <c r="I152" s="5">
        <f t="shared" si="60"/>
        <v>0</v>
      </c>
      <c r="J152" s="5">
        <f t="shared" si="61"/>
        <v>0</v>
      </c>
      <c r="K152">
        <v>0</v>
      </c>
      <c r="N152" s="119">
        <v>0</v>
      </c>
    </row>
    <row r="153" spans="1:17">
      <c r="A153" s="145">
        <v>46116</v>
      </c>
      <c r="B153" s="4">
        <v>5</v>
      </c>
      <c r="C153" s="4">
        <v>33</v>
      </c>
      <c r="D153" s="4">
        <v>45</v>
      </c>
      <c r="E153" s="4">
        <v>1</v>
      </c>
      <c r="F153" s="4">
        <v>50</v>
      </c>
      <c r="G153" s="10">
        <f t="shared" si="56"/>
        <v>5.55</v>
      </c>
      <c r="H153" s="4">
        <v>50</v>
      </c>
      <c r="I153" s="5">
        <f t="shared" si="60"/>
        <v>249.75</v>
      </c>
      <c r="J153" s="5">
        <f t="shared" si="61"/>
        <v>199.75</v>
      </c>
      <c r="K153">
        <v>14</v>
      </c>
      <c r="N153" s="119">
        <v>0</v>
      </c>
    </row>
    <row r="154" spans="1:17" ht="16" thickBot="1">
      <c r="A154" s="145">
        <v>46117</v>
      </c>
      <c r="B154" s="4">
        <v>0</v>
      </c>
      <c r="C154" s="4">
        <v>0</v>
      </c>
      <c r="D154" s="4">
        <v>45</v>
      </c>
      <c r="E154" s="4">
        <v>0</v>
      </c>
      <c r="F154" s="4">
        <v>50</v>
      </c>
      <c r="G154" s="10">
        <f t="shared" si="56"/>
        <v>0</v>
      </c>
      <c r="H154" s="4">
        <v>0</v>
      </c>
      <c r="I154" s="5">
        <f t="shared" si="60"/>
        <v>0</v>
      </c>
      <c r="J154" s="5">
        <f t="shared" si="61"/>
        <v>0</v>
      </c>
      <c r="K154">
        <v>0</v>
      </c>
      <c r="N154" s="119">
        <v>628</v>
      </c>
    </row>
    <row r="155" spans="1:17" s="86" customFormat="1" ht="20" thickBot="1">
      <c r="A155" s="91" t="s">
        <v>531</v>
      </c>
      <c r="B155" s="8">
        <f>SUM(B156:B162)</f>
        <v>8</v>
      </c>
      <c r="C155" s="8">
        <f t="shared" ref="C155" si="62">SUM(C156:C162)</f>
        <v>41</v>
      </c>
      <c r="D155" s="126">
        <f>SUM(D156)</f>
        <v>45</v>
      </c>
      <c r="E155" s="126">
        <f t="shared" ref="E155:F155" si="63">SUM(E156:E162)</f>
        <v>1</v>
      </c>
      <c r="F155" s="126">
        <f t="shared" si="63"/>
        <v>350</v>
      </c>
      <c r="G155" s="123">
        <f t="shared" si="56"/>
        <v>8.6833333333333336</v>
      </c>
      <c r="H155" s="8">
        <f>SUM(H156:H162)</f>
        <v>50</v>
      </c>
      <c r="I155" s="14">
        <f>SUM(I156:I162)</f>
        <v>390.75</v>
      </c>
      <c r="J155" s="14">
        <f>SUM(J156:J162)</f>
        <v>340.75</v>
      </c>
      <c r="K155" s="8"/>
      <c r="L155" s="9">
        <v>0</v>
      </c>
      <c r="M155" s="96">
        <f>J155</f>
        <v>340.75</v>
      </c>
      <c r="N155" s="102">
        <f>SUM(N156:N162)</f>
        <v>530</v>
      </c>
      <c r="O155" s="98">
        <f>432-N155</f>
        <v>-98</v>
      </c>
    </row>
    <row r="156" spans="1:17">
      <c r="A156" s="146" t="s">
        <v>512</v>
      </c>
      <c r="B156" s="4">
        <v>8</v>
      </c>
      <c r="C156" s="4">
        <v>41</v>
      </c>
      <c r="D156" s="4">
        <v>45</v>
      </c>
      <c r="E156" s="4">
        <v>1</v>
      </c>
      <c r="F156" s="4">
        <v>50</v>
      </c>
      <c r="G156" s="10">
        <f t="shared" si="56"/>
        <v>8.6833333333333336</v>
      </c>
      <c r="H156" s="4">
        <v>50</v>
      </c>
      <c r="I156" s="5">
        <f>G156*D156</f>
        <v>390.75</v>
      </c>
      <c r="J156" s="5">
        <f t="shared" ref="J156:J162" si="64">I156-H156</f>
        <v>340.75</v>
      </c>
      <c r="K156">
        <v>23</v>
      </c>
      <c r="N156" s="150">
        <f>100+430</f>
        <v>530</v>
      </c>
      <c r="O156" s="51"/>
    </row>
    <row r="157" spans="1:17">
      <c r="A157" s="145">
        <v>46113</v>
      </c>
      <c r="B157" s="4">
        <v>0</v>
      </c>
      <c r="C157" s="4">
        <v>0</v>
      </c>
      <c r="D157" s="4">
        <v>0</v>
      </c>
      <c r="E157" s="4">
        <v>0</v>
      </c>
      <c r="F157" s="4">
        <v>50</v>
      </c>
      <c r="G157" s="10">
        <f t="shared" si="56"/>
        <v>0</v>
      </c>
      <c r="H157" s="4">
        <v>0</v>
      </c>
      <c r="I157" s="5">
        <f>G157*D157</f>
        <v>0</v>
      </c>
      <c r="J157" s="5">
        <f>I157-H157</f>
        <v>0</v>
      </c>
      <c r="K157">
        <v>0</v>
      </c>
      <c r="N157" s="83">
        <v>0</v>
      </c>
    </row>
    <row r="158" spans="1:17">
      <c r="A158" s="145">
        <v>46114</v>
      </c>
      <c r="B158" s="4">
        <v>0</v>
      </c>
      <c r="C158" s="4">
        <v>0</v>
      </c>
      <c r="D158" s="4">
        <v>0</v>
      </c>
      <c r="E158" s="4">
        <v>0</v>
      </c>
      <c r="F158" s="4">
        <v>50</v>
      </c>
      <c r="G158" s="10">
        <f t="shared" si="56"/>
        <v>0</v>
      </c>
      <c r="H158" s="4">
        <v>0</v>
      </c>
      <c r="I158" s="5">
        <v>0</v>
      </c>
      <c r="J158" s="5">
        <f>I158-H158</f>
        <v>0</v>
      </c>
      <c r="K158">
        <v>0</v>
      </c>
      <c r="N158" s="83">
        <v>0</v>
      </c>
      <c r="Q158" t="s">
        <v>64</v>
      </c>
    </row>
    <row r="159" spans="1:17">
      <c r="A159" s="145">
        <v>46115</v>
      </c>
      <c r="B159" s="4">
        <v>0</v>
      </c>
      <c r="C159" s="4">
        <v>0</v>
      </c>
      <c r="D159" s="4">
        <v>0</v>
      </c>
      <c r="E159" s="4">
        <v>0</v>
      </c>
      <c r="F159" s="4">
        <v>50</v>
      </c>
      <c r="G159" s="10">
        <f t="shared" si="56"/>
        <v>0</v>
      </c>
      <c r="H159" s="4">
        <v>0</v>
      </c>
      <c r="I159" s="5">
        <f>G159*D159</f>
        <v>0</v>
      </c>
      <c r="J159" s="5"/>
      <c r="K159">
        <v>0</v>
      </c>
      <c r="N159" s="83">
        <v>0</v>
      </c>
    </row>
    <row r="160" spans="1:17">
      <c r="A160" s="145">
        <v>46116</v>
      </c>
      <c r="B160" s="4">
        <v>0</v>
      </c>
      <c r="C160" s="4">
        <v>0</v>
      </c>
      <c r="D160" s="4">
        <v>0</v>
      </c>
      <c r="E160" s="4">
        <v>0</v>
      </c>
      <c r="F160" s="4">
        <v>50</v>
      </c>
      <c r="G160" s="10">
        <f t="shared" si="56"/>
        <v>0</v>
      </c>
      <c r="H160" s="4">
        <v>0</v>
      </c>
      <c r="I160" s="5">
        <f>G160*D160</f>
        <v>0</v>
      </c>
      <c r="J160" s="5">
        <f t="shared" si="64"/>
        <v>0</v>
      </c>
      <c r="K160">
        <v>0</v>
      </c>
      <c r="N160" s="119">
        <v>0</v>
      </c>
    </row>
    <row r="161" spans="1:17">
      <c r="A161" s="145">
        <v>46117</v>
      </c>
      <c r="B161" s="4">
        <v>0</v>
      </c>
      <c r="C161" s="4">
        <v>0</v>
      </c>
      <c r="D161" s="4">
        <v>45</v>
      </c>
      <c r="E161" s="4">
        <v>0</v>
      </c>
      <c r="F161" s="4">
        <v>50</v>
      </c>
      <c r="G161" s="10">
        <f t="shared" si="56"/>
        <v>0</v>
      </c>
      <c r="H161" s="4">
        <v>0</v>
      </c>
      <c r="I161" s="5">
        <f>G161*D161</f>
        <v>0</v>
      </c>
      <c r="J161" s="5">
        <f t="shared" si="64"/>
        <v>0</v>
      </c>
      <c r="K161">
        <v>0</v>
      </c>
      <c r="N161" s="119">
        <v>0</v>
      </c>
    </row>
    <row r="162" spans="1:17" ht="16" thickBot="1">
      <c r="A162" s="145">
        <v>46118</v>
      </c>
      <c r="B162" s="4">
        <v>0</v>
      </c>
      <c r="C162" s="4">
        <v>0</v>
      </c>
      <c r="D162" s="4">
        <v>45</v>
      </c>
      <c r="E162" s="4">
        <v>0</v>
      </c>
      <c r="F162" s="4">
        <v>50</v>
      </c>
      <c r="G162" s="10">
        <f t="shared" si="56"/>
        <v>0</v>
      </c>
      <c r="H162" s="4">
        <v>0</v>
      </c>
      <c r="I162" s="5">
        <f>G162*D162</f>
        <v>0</v>
      </c>
      <c r="J162" s="5">
        <f t="shared" si="64"/>
        <v>0</v>
      </c>
      <c r="K162">
        <v>0</v>
      </c>
      <c r="N162" s="119">
        <v>0</v>
      </c>
    </row>
    <row r="163" spans="1:17" s="86" customFormat="1" ht="20" thickBot="1">
      <c r="A163" s="91" t="s">
        <v>532</v>
      </c>
      <c r="B163" s="8">
        <f>SUM(B164:B170)</f>
        <v>0</v>
      </c>
      <c r="C163" s="8">
        <f t="shared" ref="C163" si="65">SUM(C164:C170)</f>
        <v>0</v>
      </c>
      <c r="D163" s="126">
        <f>SUM(D164)</f>
        <v>45</v>
      </c>
      <c r="E163" s="126">
        <f t="shared" ref="E163:F163" si="66">SUM(E164:E170)</f>
        <v>1</v>
      </c>
      <c r="F163" s="126">
        <f t="shared" si="66"/>
        <v>350</v>
      </c>
      <c r="G163" s="123">
        <f t="shared" si="56"/>
        <v>0</v>
      </c>
      <c r="H163" s="8">
        <f>SUM(H164:H170)</f>
        <v>0</v>
      </c>
      <c r="I163" s="14">
        <f>SUM(I164:I170)</f>
        <v>0</v>
      </c>
      <c r="J163" s="14">
        <f>SUM(J164:J170)</f>
        <v>0</v>
      </c>
      <c r="K163" s="8">
        <f>SUM(K164:K170)</f>
        <v>0</v>
      </c>
      <c r="L163" s="9">
        <v>0</v>
      </c>
      <c r="M163" s="96">
        <f>J163</f>
        <v>0</v>
      </c>
      <c r="N163" s="102">
        <f>SUM(N164:N170)</f>
        <v>0</v>
      </c>
      <c r="O163" s="98"/>
    </row>
    <row r="164" spans="1:17">
      <c r="A164" s="145">
        <v>46111</v>
      </c>
      <c r="B164" s="4">
        <v>0</v>
      </c>
      <c r="C164" s="4">
        <v>0</v>
      </c>
      <c r="D164" s="4">
        <v>45</v>
      </c>
      <c r="E164" s="4">
        <v>1</v>
      </c>
      <c r="F164" s="4">
        <v>50</v>
      </c>
      <c r="G164" s="10">
        <f t="shared" si="56"/>
        <v>0</v>
      </c>
      <c r="H164" s="4">
        <v>0</v>
      </c>
      <c r="I164" s="5">
        <f t="shared" ref="I164:I170" si="67">G164*D164</f>
        <v>0</v>
      </c>
      <c r="J164" s="5">
        <f t="shared" ref="J164:J170" si="68">I164-H164</f>
        <v>0</v>
      </c>
      <c r="K164">
        <v>0</v>
      </c>
      <c r="N164" s="51">
        <v>0</v>
      </c>
      <c r="O164" s="51"/>
    </row>
    <row r="165" spans="1:17">
      <c r="A165" s="145">
        <v>46112</v>
      </c>
      <c r="B165" s="4">
        <v>0</v>
      </c>
      <c r="C165" s="4">
        <v>0</v>
      </c>
      <c r="D165" s="4">
        <v>45</v>
      </c>
      <c r="E165" s="4">
        <v>0</v>
      </c>
      <c r="F165" s="4">
        <v>50</v>
      </c>
      <c r="G165" s="10">
        <f t="shared" si="56"/>
        <v>0</v>
      </c>
      <c r="H165" s="4">
        <v>0</v>
      </c>
      <c r="I165" s="5">
        <f t="shared" si="67"/>
        <v>0</v>
      </c>
      <c r="J165" s="5">
        <f t="shared" si="68"/>
        <v>0</v>
      </c>
      <c r="K165">
        <v>0</v>
      </c>
      <c r="N165" s="51">
        <v>0</v>
      </c>
    </row>
    <row r="166" spans="1:17">
      <c r="A166" s="145">
        <v>46113</v>
      </c>
      <c r="B166" s="4">
        <v>0</v>
      </c>
      <c r="C166" s="4">
        <v>0</v>
      </c>
      <c r="D166" s="4">
        <v>45</v>
      </c>
      <c r="E166" s="4">
        <v>0</v>
      </c>
      <c r="F166" s="4">
        <v>50</v>
      </c>
      <c r="G166" s="10">
        <f t="shared" si="56"/>
        <v>0</v>
      </c>
      <c r="H166" s="4">
        <v>0</v>
      </c>
      <c r="I166" s="5">
        <f t="shared" si="67"/>
        <v>0</v>
      </c>
      <c r="J166" s="5">
        <f t="shared" si="68"/>
        <v>0</v>
      </c>
      <c r="K166">
        <v>0</v>
      </c>
      <c r="N166" s="51">
        <v>0</v>
      </c>
      <c r="Q166" t="s">
        <v>64</v>
      </c>
    </row>
    <row r="167" spans="1:17">
      <c r="A167" s="145">
        <v>46114</v>
      </c>
      <c r="B167" s="4">
        <v>0</v>
      </c>
      <c r="C167" s="4">
        <v>0</v>
      </c>
      <c r="D167" s="4">
        <v>45</v>
      </c>
      <c r="E167" s="4">
        <v>0</v>
      </c>
      <c r="F167" s="4">
        <v>50</v>
      </c>
      <c r="G167" s="10">
        <f t="shared" si="56"/>
        <v>0</v>
      </c>
      <c r="H167" s="4">
        <v>0</v>
      </c>
      <c r="I167" s="5">
        <f>G167*D167</f>
        <v>0</v>
      </c>
      <c r="J167" s="5">
        <f t="shared" si="68"/>
        <v>0</v>
      </c>
      <c r="K167">
        <v>0</v>
      </c>
      <c r="N167" s="51">
        <v>0</v>
      </c>
    </row>
    <row r="168" spans="1:17">
      <c r="A168" s="145">
        <v>46115</v>
      </c>
      <c r="B168" s="4">
        <v>0</v>
      </c>
      <c r="C168" s="4">
        <v>0</v>
      </c>
      <c r="D168" s="4">
        <v>45</v>
      </c>
      <c r="E168" s="4">
        <v>0</v>
      </c>
      <c r="F168" s="4">
        <v>50</v>
      </c>
      <c r="G168" s="10">
        <f t="shared" si="56"/>
        <v>0</v>
      </c>
      <c r="H168" s="4">
        <v>0</v>
      </c>
      <c r="I168" s="5">
        <f t="shared" si="67"/>
        <v>0</v>
      </c>
      <c r="J168" s="5">
        <f t="shared" si="68"/>
        <v>0</v>
      </c>
      <c r="K168">
        <v>0</v>
      </c>
      <c r="N168" s="51">
        <v>0</v>
      </c>
    </row>
    <row r="169" spans="1:17">
      <c r="A169" s="145">
        <v>46116</v>
      </c>
      <c r="B169" s="4">
        <v>0</v>
      </c>
      <c r="C169" s="4">
        <v>0</v>
      </c>
      <c r="D169" s="4">
        <v>45</v>
      </c>
      <c r="E169" s="4">
        <v>0</v>
      </c>
      <c r="F169" s="4">
        <v>50</v>
      </c>
      <c r="G169" s="10">
        <v>0</v>
      </c>
      <c r="H169" s="4">
        <v>0</v>
      </c>
      <c r="I169" s="5">
        <v>0</v>
      </c>
      <c r="J169" s="5">
        <v>0</v>
      </c>
      <c r="K169">
        <v>0</v>
      </c>
      <c r="N169" s="51">
        <v>0</v>
      </c>
    </row>
    <row r="170" spans="1:17" ht="16" thickBot="1">
      <c r="A170" s="145">
        <v>46117</v>
      </c>
      <c r="B170" s="4">
        <v>0</v>
      </c>
      <c r="C170" s="4">
        <v>0</v>
      </c>
      <c r="D170" s="4">
        <v>45</v>
      </c>
      <c r="E170" s="4">
        <v>0</v>
      </c>
      <c r="F170" s="4">
        <v>50</v>
      </c>
      <c r="G170" s="10">
        <f t="shared" si="56"/>
        <v>0</v>
      </c>
      <c r="H170" s="4">
        <v>0</v>
      </c>
      <c r="I170" s="5">
        <f t="shared" si="67"/>
        <v>0</v>
      </c>
      <c r="J170" s="5">
        <f t="shared" si="68"/>
        <v>0</v>
      </c>
      <c r="K170">
        <v>0</v>
      </c>
      <c r="N170" s="51">
        <v>0</v>
      </c>
    </row>
    <row r="171" spans="1:17" s="86" customFormat="1" ht="20" thickBot="1">
      <c r="A171" s="91" t="s">
        <v>533</v>
      </c>
      <c r="B171" s="8">
        <f>SUM(B172:B178)</f>
        <v>35</v>
      </c>
      <c r="C171" s="8">
        <f t="shared" ref="C171" si="69">SUM(C172:C178)</f>
        <v>151</v>
      </c>
      <c r="D171" s="126">
        <f>SUM(D172:D178)</f>
        <v>315</v>
      </c>
      <c r="E171" s="126">
        <f t="shared" ref="E171" si="70">SUM(E172:E178)</f>
        <v>4</v>
      </c>
      <c r="F171" s="126">
        <f>SUM(F172:F178)</f>
        <v>350</v>
      </c>
      <c r="G171" s="123">
        <f>B171+C171/60</f>
        <v>37.516666666666666</v>
      </c>
      <c r="H171" s="8">
        <f>SUM(H172:H178)</f>
        <v>250</v>
      </c>
      <c r="I171" s="14">
        <f>SUM(I172:I178)</f>
        <v>1688.25</v>
      </c>
      <c r="J171" s="14">
        <f>SUM(J172:J178)</f>
        <v>1438.25</v>
      </c>
      <c r="K171" s="8">
        <f>SUM(K172:K178)</f>
        <v>83</v>
      </c>
      <c r="L171" s="9">
        <v>0</v>
      </c>
      <c r="M171" s="96">
        <f>J171</f>
        <v>1438.25</v>
      </c>
      <c r="N171" s="129">
        <f>SUM(N172:N178)</f>
        <v>2274</v>
      </c>
      <c r="O171" s="98">
        <f>2370-N171</f>
        <v>96</v>
      </c>
    </row>
    <row r="172" spans="1:17">
      <c r="A172" s="145">
        <v>46111</v>
      </c>
      <c r="B172" s="4">
        <v>0</v>
      </c>
      <c r="C172" s="4">
        <v>0</v>
      </c>
      <c r="D172" s="4">
        <v>45</v>
      </c>
      <c r="E172" s="4">
        <v>0</v>
      </c>
      <c r="F172" s="4">
        <v>50</v>
      </c>
      <c r="G172" s="10">
        <f t="shared" ref="G172:G175" si="71">B172+C172/60</f>
        <v>0</v>
      </c>
      <c r="H172" s="4">
        <v>0</v>
      </c>
      <c r="I172" s="5">
        <f t="shared" ref="I172:I173" si="72">G172*D172</f>
        <v>0</v>
      </c>
      <c r="J172" s="5">
        <f t="shared" ref="J172:J176" si="73">I172-H172</f>
        <v>0</v>
      </c>
      <c r="K172">
        <v>0</v>
      </c>
      <c r="N172" s="51">
        <v>0</v>
      </c>
      <c r="O172" s="51"/>
    </row>
    <row r="173" spans="1:17">
      <c r="A173" s="145">
        <v>46112</v>
      </c>
      <c r="B173" s="4">
        <v>0</v>
      </c>
      <c r="C173" s="4">
        <v>0</v>
      </c>
      <c r="D173" s="4">
        <v>45</v>
      </c>
      <c r="E173" s="4">
        <v>0</v>
      </c>
      <c r="F173" s="4">
        <v>50</v>
      </c>
      <c r="G173" s="10">
        <f t="shared" si="71"/>
        <v>0</v>
      </c>
      <c r="H173" s="4">
        <v>0</v>
      </c>
      <c r="I173" s="5">
        <f t="shared" si="72"/>
        <v>0</v>
      </c>
      <c r="J173" s="5">
        <f t="shared" si="73"/>
        <v>0</v>
      </c>
      <c r="K173">
        <v>0</v>
      </c>
      <c r="N173" s="51">
        <v>0</v>
      </c>
    </row>
    <row r="174" spans="1:17">
      <c r="A174" s="145" t="s">
        <v>487</v>
      </c>
      <c r="B174" s="4">
        <v>5</v>
      </c>
      <c r="C174" s="4">
        <v>34</v>
      </c>
      <c r="D174" s="4">
        <v>45</v>
      </c>
      <c r="E174" s="4">
        <v>1</v>
      </c>
      <c r="F174" s="4">
        <v>50</v>
      </c>
      <c r="G174" s="10">
        <f t="shared" si="71"/>
        <v>5.5666666666666664</v>
      </c>
      <c r="H174" s="4">
        <v>50</v>
      </c>
      <c r="I174" s="5">
        <f>G174*D174</f>
        <v>250.5</v>
      </c>
      <c r="J174" s="5">
        <f t="shared" si="73"/>
        <v>200.5</v>
      </c>
      <c r="K174">
        <v>9</v>
      </c>
      <c r="N174" s="83">
        <f>130</f>
        <v>130</v>
      </c>
      <c r="P174" t="s">
        <v>534</v>
      </c>
      <c r="Q174" t="s">
        <v>64</v>
      </c>
    </row>
    <row r="175" spans="1:17">
      <c r="A175" s="146" t="s">
        <v>457</v>
      </c>
      <c r="B175" s="4">
        <v>9</v>
      </c>
      <c r="C175" s="4">
        <v>2</v>
      </c>
      <c r="D175" s="4">
        <v>45</v>
      </c>
      <c r="E175" s="4">
        <v>1</v>
      </c>
      <c r="F175" s="4">
        <v>50</v>
      </c>
      <c r="G175" s="10">
        <f t="shared" si="71"/>
        <v>9.0333333333333332</v>
      </c>
      <c r="H175" s="4">
        <v>50</v>
      </c>
      <c r="I175" s="5">
        <f>G175*D175</f>
        <v>406.5</v>
      </c>
      <c r="J175" s="5">
        <f t="shared" si="73"/>
        <v>356.5</v>
      </c>
      <c r="K175">
        <v>18</v>
      </c>
      <c r="N175" s="83">
        <f>304</f>
        <v>304</v>
      </c>
      <c r="P175" t="s">
        <v>535</v>
      </c>
    </row>
    <row r="176" spans="1:17">
      <c r="A176" s="146" t="s">
        <v>536</v>
      </c>
      <c r="B176" s="4">
        <v>10</v>
      </c>
      <c r="C176" s="4">
        <v>46</v>
      </c>
      <c r="D176" s="4">
        <v>45</v>
      </c>
      <c r="E176" s="4">
        <v>1</v>
      </c>
      <c r="F176" s="4">
        <v>50</v>
      </c>
      <c r="G176" s="10">
        <f>B176+C176/60</f>
        <v>10.766666666666667</v>
      </c>
      <c r="H176" s="4">
        <v>50</v>
      </c>
      <c r="I176" s="5">
        <f t="shared" ref="I176" si="74">G176*D176</f>
        <v>484.50000000000006</v>
      </c>
      <c r="J176" s="5">
        <f t="shared" si="73"/>
        <v>434.50000000000006</v>
      </c>
      <c r="K176">
        <v>21</v>
      </c>
      <c r="N176" s="51">
        <v>432</v>
      </c>
    </row>
    <row r="177" spans="1:17">
      <c r="A177" s="146" t="s">
        <v>537</v>
      </c>
      <c r="B177" s="4">
        <v>7</v>
      </c>
      <c r="C177" s="4">
        <v>59</v>
      </c>
      <c r="D177" s="4">
        <v>45</v>
      </c>
      <c r="E177" s="4">
        <v>1</v>
      </c>
      <c r="F177" s="4">
        <v>50</v>
      </c>
      <c r="G177" s="10">
        <f>B177+C177/60</f>
        <v>7.9833333333333334</v>
      </c>
      <c r="H177" s="4">
        <v>50</v>
      </c>
      <c r="I177" s="5">
        <f>G177*D177</f>
        <v>359.25</v>
      </c>
      <c r="J177" s="5">
        <f>I177-H177</f>
        <v>309.25</v>
      </c>
      <c r="K177">
        <v>23</v>
      </c>
      <c r="N177" s="51">
        <v>847</v>
      </c>
    </row>
    <row r="178" spans="1:17" ht="16" thickBot="1">
      <c r="A178" s="146" t="s">
        <v>538</v>
      </c>
      <c r="B178" s="4">
        <v>4</v>
      </c>
      <c r="C178" s="4">
        <v>10</v>
      </c>
      <c r="D178" s="4">
        <v>45</v>
      </c>
      <c r="E178" s="4">
        <v>0</v>
      </c>
      <c r="F178" s="4">
        <v>50</v>
      </c>
      <c r="G178" s="10">
        <f t="shared" ref="G178:G184" si="75">B178+C178/60</f>
        <v>4.166666666666667</v>
      </c>
      <c r="H178" s="4">
        <v>50</v>
      </c>
      <c r="I178" s="5">
        <f t="shared" ref="I178" si="76">G178*D178</f>
        <v>187.5</v>
      </c>
      <c r="J178" s="5">
        <f t="shared" ref="J178" si="77">I178-H178</f>
        <v>137.5</v>
      </c>
      <c r="K178">
        <v>12</v>
      </c>
      <c r="N178" s="51">
        <v>561</v>
      </c>
    </row>
    <row r="179" spans="1:17" s="86" customFormat="1" ht="20" thickBot="1">
      <c r="A179" s="91" t="s">
        <v>539</v>
      </c>
      <c r="B179" s="8">
        <f>SUM(B180:B186)</f>
        <v>30</v>
      </c>
      <c r="C179" s="8">
        <f t="shared" ref="C179" si="78">SUM(C180:C186)</f>
        <v>78</v>
      </c>
      <c r="D179" s="126">
        <f>SUM(D180)</f>
        <v>45</v>
      </c>
      <c r="E179" s="126">
        <f t="shared" ref="E179:F179" si="79">SUM(E180:E186)</f>
        <v>2</v>
      </c>
      <c r="F179" s="126">
        <f t="shared" si="79"/>
        <v>350</v>
      </c>
      <c r="G179" s="123">
        <f t="shared" si="75"/>
        <v>31.3</v>
      </c>
      <c r="H179" s="8">
        <f>SUM(H180:H186)</f>
        <v>250</v>
      </c>
      <c r="I179" s="14">
        <f>SUM(I180:I186)</f>
        <v>1020.25</v>
      </c>
      <c r="J179" s="14">
        <f>SUM(J180:J186)</f>
        <v>770.25</v>
      </c>
      <c r="K179" s="8">
        <f>SUM(K180:K186)</f>
        <v>74</v>
      </c>
      <c r="L179" s="9">
        <v>0</v>
      </c>
      <c r="M179" s="96">
        <f>J179</f>
        <v>770.25</v>
      </c>
      <c r="N179" s="102">
        <f>SUM(N180:N186)</f>
        <v>1865</v>
      </c>
      <c r="O179" s="98">
        <f>1865-N179</f>
        <v>0</v>
      </c>
    </row>
    <row r="180" spans="1:17">
      <c r="A180" s="146">
        <v>46111</v>
      </c>
      <c r="B180" s="4">
        <v>0</v>
      </c>
      <c r="C180" s="4">
        <v>0</v>
      </c>
      <c r="D180" s="4">
        <v>45</v>
      </c>
      <c r="E180" s="4">
        <v>0</v>
      </c>
      <c r="F180" s="4">
        <v>50</v>
      </c>
      <c r="G180" s="10">
        <f t="shared" si="75"/>
        <v>0</v>
      </c>
      <c r="H180" s="4">
        <v>0</v>
      </c>
      <c r="I180" s="5">
        <f t="shared" ref="I180:I182" si="80">G180*D180</f>
        <v>0</v>
      </c>
      <c r="J180" s="5">
        <f t="shared" ref="J180:J186" si="81">I180-H180</f>
        <v>0</v>
      </c>
      <c r="K180">
        <v>0</v>
      </c>
      <c r="N180" s="51">
        <v>0</v>
      </c>
      <c r="O180" s="51"/>
    </row>
    <row r="181" spans="1:17">
      <c r="A181" s="6">
        <v>46112</v>
      </c>
      <c r="B181" s="4">
        <v>0</v>
      </c>
      <c r="C181" s="4">
        <v>0</v>
      </c>
      <c r="D181" s="4">
        <v>45</v>
      </c>
      <c r="E181" s="4">
        <v>1</v>
      </c>
      <c r="F181" s="4">
        <v>50</v>
      </c>
      <c r="G181" s="10">
        <f t="shared" si="75"/>
        <v>0</v>
      </c>
      <c r="H181" s="4">
        <v>50</v>
      </c>
      <c r="I181" s="5">
        <f t="shared" si="80"/>
        <v>0</v>
      </c>
      <c r="J181" s="5">
        <f t="shared" si="81"/>
        <v>-50</v>
      </c>
      <c r="K181">
        <v>0</v>
      </c>
      <c r="N181" s="83"/>
    </row>
    <row r="182" spans="1:17">
      <c r="A182" s="146">
        <v>46113</v>
      </c>
      <c r="B182" s="4">
        <v>0</v>
      </c>
      <c r="C182" s="4">
        <v>0</v>
      </c>
      <c r="D182" s="4">
        <v>45</v>
      </c>
      <c r="E182" s="4">
        <v>1</v>
      </c>
      <c r="F182" s="4">
        <v>50</v>
      </c>
      <c r="G182" s="10">
        <f t="shared" si="75"/>
        <v>0</v>
      </c>
      <c r="H182" s="4">
        <v>50</v>
      </c>
      <c r="I182" s="5">
        <f t="shared" si="80"/>
        <v>0</v>
      </c>
      <c r="J182" s="5">
        <f t="shared" si="81"/>
        <v>-50</v>
      </c>
      <c r="K182">
        <v>0</v>
      </c>
      <c r="N182" s="83"/>
      <c r="Q182" t="s">
        <v>64</v>
      </c>
    </row>
    <row r="183" spans="1:17">
      <c r="A183" s="146">
        <v>46114</v>
      </c>
      <c r="B183" s="4">
        <v>10</v>
      </c>
      <c r="C183" s="4">
        <v>5</v>
      </c>
      <c r="D183" s="4">
        <v>45</v>
      </c>
      <c r="E183" s="4">
        <v>0</v>
      </c>
      <c r="F183" s="4">
        <v>50</v>
      </c>
      <c r="G183" s="10">
        <f t="shared" si="75"/>
        <v>10.083333333333334</v>
      </c>
      <c r="H183" s="4">
        <v>50</v>
      </c>
      <c r="I183" s="5">
        <f>G183*D183</f>
        <v>453.75</v>
      </c>
      <c r="J183" s="5">
        <f t="shared" si="81"/>
        <v>403.75</v>
      </c>
      <c r="K183">
        <v>14</v>
      </c>
      <c r="N183" s="83">
        <v>405</v>
      </c>
    </row>
    <row r="184" spans="1:17">
      <c r="A184" s="146">
        <v>46115</v>
      </c>
      <c r="B184" s="4">
        <v>10</v>
      </c>
      <c r="C184" s="4">
        <v>18</v>
      </c>
      <c r="D184" s="4">
        <v>55</v>
      </c>
      <c r="E184" s="4">
        <v>0</v>
      </c>
      <c r="F184" s="4">
        <v>50</v>
      </c>
      <c r="G184" s="10">
        <f t="shared" si="75"/>
        <v>10.3</v>
      </c>
      <c r="H184" s="4">
        <v>50</v>
      </c>
      <c r="I184" s="5">
        <f t="shared" ref="I184" si="82">G184*D184</f>
        <v>566.5</v>
      </c>
      <c r="J184" s="5">
        <f t="shared" si="81"/>
        <v>516.5</v>
      </c>
      <c r="K184">
        <v>27</v>
      </c>
      <c r="N184" s="83">
        <v>812</v>
      </c>
    </row>
    <row r="185" spans="1:17">
      <c r="A185" s="146">
        <v>46116</v>
      </c>
      <c r="B185" s="4">
        <v>10</v>
      </c>
      <c r="C185" s="4">
        <v>55</v>
      </c>
      <c r="D185" s="4">
        <v>65</v>
      </c>
      <c r="E185" s="4">
        <v>0</v>
      </c>
      <c r="F185" s="4">
        <v>50</v>
      </c>
      <c r="G185" s="10">
        <v>0</v>
      </c>
      <c r="H185" s="4">
        <v>50</v>
      </c>
      <c r="I185" s="5">
        <f>G185*D185</f>
        <v>0</v>
      </c>
      <c r="J185" s="5">
        <f t="shared" si="81"/>
        <v>-50</v>
      </c>
      <c r="K185">
        <v>33</v>
      </c>
      <c r="N185" s="83">
        <v>648</v>
      </c>
    </row>
    <row r="186" spans="1:17" ht="16" thickBot="1">
      <c r="A186" s="146">
        <v>46117</v>
      </c>
      <c r="B186" s="4">
        <v>0</v>
      </c>
      <c r="C186" s="4">
        <v>0</v>
      </c>
      <c r="D186" s="4">
        <v>45</v>
      </c>
      <c r="E186" s="4">
        <v>0</v>
      </c>
      <c r="F186" s="4">
        <v>50</v>
      </c>
      <c r="G186" s="10">
        <f t="shared" ref="G186:G192" si="83">B186+C186/60</f>
        <v>0</v>
      </c>
      <c r="H186" s="4">
        <v>0</v>
      </c>
      <c r="I186" s="5">
        <f t="shared" ref="I186" si="84">G186*D186</f>
        <v>0</v>
      </c>
      <c r="J186" s="5">
        <f t="shared" si="81"/>
        <v>0</v>
      </c>
      <c r="K186">
        <v>0</v>
      </c>
      <c r="N186" s="51">
        <v>0</v>
      </c>
    </row>
    <row r="187" spans="1:17" s="86" customFormat="1" ht="20" thickBot="1">
      <c r="A187" s="91" t="s">
        <v>540</v>
      </c>
      <c r="B187" s="8">
        <f>SUM(B188:B194)</f>
        <v>27</v>
      </c>
      <c r="C187" s="8">
        <f t="shared" ref="C187" si="85">SUM(C188:C194)</f>
        <v>124</v>
      </c>
      <c r="D187" s="126">
        <f>SUM(D188)</f>
        <v>45</v>
      </c>
      <c r="E187" s="126">
        <f t="shared" ref="E187:F187" si="86">SUM(E188:E194)</f>
        <v>4</v>
      </c>
      <c r="F187" s="126">
        <f t="shared" si="86"/>
        <v>350</v>
      </c>
      <c r="G187" s="123">
        <f t="shared" si="83"/>
        <v>29.066666666666666</v>
      </c>
      <c r="H187" s="8">
        <f>SUM(H188:H194)</f>
        <v>200</v>
      </c>
      <c r="I187" s="14">
        <f>SUM(I188:I194)</f>
        <v>1308</v>
      </c>
      <c r="J187" s="14">
        <f>SUM(J188:J194)</f>
        <v>1108</v>
      </c>
      <c r="K187" s="8">
        <f>SUM(K188:K194)</f>
        <v>58</v>
      </c>
      <c r="L187" s="9">
        <v>0</v>
      </c>
      <c r="M187" s="96">
        <f>J187</f>
        <v>1108</v>
      </c>
      <c r="N187" s="102">
        <f>SUM(N188:N194)</f>
        <v>977</v>
      </c>
      <c r="O187" s="98">
        <f>1275-N187</f>
        <v>298</v>
      </c>
    </row>
    <row r="188" spans="1:17">
      <c r="A188" s="145">
        <v>46111</v>
      </c>
      <c r="B188" s="4">
        <v>3</v>
      </c>
      <c r="C188" s="4">
        <v>53</v>
      </c>
      <c r="D188" s="4">
        <v>45</v>
      </c>
      <c r="E188" s="4">
        <v>1</v>
      </c>
      <c r="F188" s="4">
        <v>50</v>
      </c>
      <c r="G188" s="10">
        <f t="shared" si="83"/>
        <v>3.8833333333333333</v>
      </c>
      <c r="H188" s="4">
        <v>50</v>
      </c>
      <c r="I188" s="5">
        <f t="shared" ref="I188:I190" si="87">G188*D188</f>
        <v>174.75</v>
      </c>
      <c r="J188" s="5">
        <f t="shared" ref="J188:J192" si="88">I188-H188</f>
        <v>124.75</v>
      </c>
      <c r="K188">
        <v>3</v>
      </c>
      <c r="N188" s="83">
        <f>37</f>
        <v>37</v>
      </c>
      <c r="O188" s="51"/>
    </row>
    <row r="189" spans="1:17">
      <c r="A189" s="145">
        <v>46112</v>
      </c>
      <c r="B189" s="4">
        <v>9</v>
      </c>
      <c r="C189" s="4">
        <v>8</v>
      </c>
      <c r="D189" s="4">
        <v>45</v>
      </c>
      <c r="E189" s="4">
        <v>1</v>
      </c>
      <c r="F189" s="4">
        <v>50</v>
      </c>
      <c r="G189" s="10">
        <f t="shared" si="83"/>
        <v>9.1333333333333329</v>
      </c>
      <c r="H189" s="4">
        <v>50</v>
      </c>
      <c r="I189" s="5">
        <f t="shared" si="87"/>
        <v>411</v>
      </c>
      <c r="J189" s="5">
        <f t="shared" si="88"/>
        <v>361</v>
      </c>
      <c r="K189">
        <v>17</v>
      </c>
      <c r="N189" s="83">
        <f>367</f>
        <v>367</v>
      </c>
    </row>
    <row r="190" spans="1:17">
      <c r="A190" s="145">
        <v>46113</v>
      </c>
      <c r="B190" s="4">
        <v>9</v>
      </c>
      <c r="C190" s="4">
        <v>51</v>
      </c>
      <c r="D190" s="4">
        <v>45</v>
      </c>
      <c r="E190" s="4">
        <v>1</v>
      </c>
      <c r="F190" s="4">
        <v>50</v>
      </c>
      <c r="G190" s="10">
        <f t="shared" si="83"/>
        <v>9.85</v>
      </c>
      <c r="H190" s="4">
        <v>50</v>
      </c>
      <c r="I190" s="5">
        <f t="shared" si="87"/>
        <v>443.25</v>
      </c>
      <c r="J190" s="5">
        <f t="shared" si="88"/>
        <v>393.25</v>
      </c>
      <c r="K190">
        <v>16</v>
      </c>
      <c r="N190" s="83">
        <f>243</f>
        <v>243</v>
      </c>
      <c r="Q190" t="s">
        <v>64</v>
      </c>
    </row>
    <row r="191" spans="1:17">
      <c r="A191" s="145">
        <v>46114</v>
      </c>
      <c r="B191" s="4">
        <v>6</v>
      </c>
      <c r="C191" s="4">
        <v>12</v>
      </c>
      <c r="D191" s="4">
        <v>45</v>
      </c>
      <c r="E191" s="4">
        <v>1</v>
      </c>
      <c r="F191" s="4">
        <v>50</v>
      </c>
      <c r="G191" s="10">
        <f t="shared" si="83"/>
        <v>6.2</v>
      </c>
      <c r="H191" s="4">
        <v>50</v>
      </c>
      <c r="I191" s="5">
        <f>G191*D191</f>
        <v>279</v>
      </c>
      <c r="J191" s="5">
        <f t="shared" si="88"/>
        <v>229</v>
      </c>
      <c r="K191">
        <v>22</v>
      </c>
      <c r="N191" s="83">
        <f>330</f>
        <v>330</v>
      </c>
      <c r="P191" t="s">
        <v>541</v>
      </c>
    </row>
    <row r="192" spans="1:17">
      <c r="A192" s="145">
        <v>46115</v>
      </c>
      <c r="B192" s="4">
        <v>0</v>
      </c>
      <c r="C192" s="4">
        <v>0</v>
      </c>
      <c r="D192" s="4">
        <v>45</v>
      </c>
      <c r="E192" s="4">
        <v>0</v>
      </c>
      <c r="F192" s="4">
        <v>50</v>
      </c>
      <c r="G192" s="10">
        <f t="shared" si="83"/>
        <v>0</v>
      </c>
      <c r="H192" s="4">
        <v>0</v>
      </c>
      <c r="I192" s="5">
        <f t="shared" ref="I192" si="89">G192*D192</f>
        <v>0</v>
      </c>
      <c r="J192" s="5">
        <f t="shared" si="88"/>
        <v>0</v>
      </c>
      <c r="K192">
        <v>0</v>
      </c>
      <c r="N192" s="51">
        <v>0</v>
      </c>
    </row>
    <row r="193" spans="1:17">
      <c r="A193" s="145">
        <v>46116</v>
      </c>
      <c r="B193" s="4">
        <v>0</v>
      </c>
      <c r="C193" s="4">
        <v>0</v>
      </c>
      <c r="D193" s="4">
        <v>45</v>
      </c>
      <c r="E193" s="4">
        <v>0</v>
      </c>
      <c r="F193" s="4">
        <v>50</v>
      </c>
      <c r="G193" s="10">
        <v>0</v>
      </c>
      <c r="H193" s="4">
        <v>0</v>
      </c>
      <c r="I193" s="5">
        <v>0</v>
      </c>
      <c r="J193" s="5">
        <v>0</v>
      </c>
      <c r="K193">
        <v>0</v>
      </c>
      <c r="N193" s="51"/>
    </row>
    <row r="194" spans="1:17" ht="16" thickBot="1">
      <c r="A194" s="145">
        <v>46117</v>
      </c>
      <c r="B194" s="4">
        <v>0</v>
      </c>
      <c r="C194" s="4">
        <v>0</v>
      </c>
      <c r="D194" s="4">
        <v>45</v>
      </c>
      <c r="E194" s="4">
        <v>0</v>
      </c>
      <c r="F194" s="4">
        <v>50</v>
      </c>
      <c r="G194" s="10">
        <f t="shared" ref="G194:G200" si="90">B194+C194/60</f>
        <v>0</v>
      </c>
      <c r="H194" s="4">
        <v>0</v>
      </c>
      <c r="I194" s="5">
        <f t="shared" ref="I194" si="91">G194*D194</f>
        <v>0</v>
      </c>
      <c r="J194" s="5">
        <f t="shared" ref="J194" si="92">I194-H194</f>
        <v>0</v>
      </c>
      <c r="K194">
        <v>0</v>
      </c>
      <c r="N194" s="51">
        <v>0</v>
      </c>
    </row>
    <row r="195" spans="1:17" s="86" customFormat="1" ht="20" thickBot="1">
      <c r="A195" s="91" t="s">
        <v>542</v>
      </c>
      <c r="B195" s="8">
        <f>SUM(B196:B202)</f>
        <v>26</v>
      </c>
      <c r="C195" s="8">
        <f t="shared" ref="C195" si="93">SUM(C196:C202)</f>
        <v>126</v>
      </c>
      <c r="D195" s="126">
        <f>SUM(D196)</f>
        <v>45</v>
      </c>
      <c r="E195" s="126">
        <f t="shared" ref="E195:F195" si="94">SUM(E196:E202)</f>
        <v>1</v>
      </c>
      <c r="F195" s="126">
        <f t="shared" si="94"/>
        <v>350</v>
      </c>
      <c r="G195" s="123">
        <f t="shared" si="90"/>
        <v>28.1</v>
      </c>
      <c r="H195" s="8">
        <f>SUM(H196:H202)</f>
        <v>200</v>
      </c>
      <c r="I195" s="14">
        <f>SUM(I196:I202)</f>
        <v>1523.1666666666665</v>
      </c>
      <c r="J195" s="14">
        <f>SUM(J196:J202)</f>
        <v>1323.1666666666665</v>
      </c>
      <c r="K195" s="8">
        <f>SUM(K196:K202)</f>
        <v>83</v>
      </c>
      <c r="L195" s="9">
        <v>0</v>
      </c>
      <c r="M195" s="96">
        <f>J195</f>
        <v>1323.1666666666665</v>
      </c>
      <c r="N195" s="102">
        <f>SUM(N196:N202)</f>
        <v>4394</v>
      </c>
      <c r="O195" s="98">
        <f>4783-N195</f>
        <v>389</v>
      </c>
    </row>
    <row r="196" spans="1:17">
      <c r="A196" s="146" t="s">
        <v>543</v>
      </c>
      <c r="B196" s="4">
        <v>9</v>
      </c>
      <c r="C196" s="4">
        <v>11</v>
      </c>
      <c r="D196" s="4">
        <v>45</v>
      </c>
      <c r="E196" s="4">
        <v>1</v>
      </c>
      <c r="F196" s="4">
        <v>50</v>
      </c>
      <c r="G196" s="10">
        <f t="shared" si="90"/>
        <v>9.1833333333333336</v>
      </c>
      <c r="H196" s="4">
        <v>50</v>
      </c>
      <c r="I196" s="5">
        <f t="shared" ref="I196:I198" si="95">G196*D196</f>
        <v>413.25</v>
      </c>
      <c r="J196" s="5">
        <f t="shared" ref="J196:J200" si="96">I196-H196</f>
        <v>363.25</v>
      </c>
      <c r="K196">
        <v>17</v>
      </c>
      <c r="N196" s="83">
        <f>752</f>
        <v>752</v>
      </c>
      <c r="O196" s="51"/>
      <c r="P196" t="s">
        <v>544</v>
      </c>
    </row>
    <row r="197" spans="1:17">
      <c r="A197" s="146" t="s">
        <v>545</v>
      </c>
      <c r="B197" s="4">
        <v>5</v>
      </c>
      <c r="C197" s="4">
        <v>59</v>
      </c>
      <c r="D197" s="4">
        <v>45</v>
      </c>
      <c r="E197" s="4">
        <v>0</v>
      </c>
      <c r="F197" s="4">
        <v>50</v>
      </c>
      <c r="G197" s="10">
        <f t="shared" si="90"/>
        <v>5.9833333333333334</v>
      </c>
      <c r="H197" s="4">
        <v>50</v>
      </c>
      <c r="I197" s="5">
        <f t="shared" si="95"/>
        <v>269.25</v>
      </c>
      <c r="J197" s="5">
        <f t="shared" si="96"/>
        <v>219.25</v>
      </c>
      <c r="K197">
        <v>23</v>
      </c>
      <c r="N197" s="83">
        <f>720</f>
        <v>720</v>
      </c>
      <c r="P197" t="s">
        <v>546</v>
      </c>
    </row>
    <row r="198" spans="1:17">
      <c r="A198" s="146" t="s">
        <v>521</v>
      </c>
      <c r="B198" s="4">
        <v>12</v>
      </c>
      <c r="C198" s="4">
        <v>56</v>
      </c>
      <c r="D198" s="4">
        <v>65</v>
      </c>
      <c r="E198" s="4">
        <v>0</v>
      </c>
      <c r="F198" s="4">
        <v>50</v>
      </c>
      <c r="G198" s="10">
        <f t="shared" si="90"/>
        <v>12.933333333333334</v>
      </c>
      <c r="H198" s="4">
        <v>50</v>
      </c>
      <c r="I198" s="5">
        <f t="shared" si="95"/>
        <v>840.66666666666663</v>
      </c>
      <c r="J198" s="5">
        <f t="shared" si="96"/>
        <v>790.66666666666663</v>
      </c>
      <c r="K198">
        <v>43</v>
      </c>
      <c r="N198" s="83">
        <f>1140</f>
        <v>1140</v>
      </c>
      <c r="Q198" t="s">
        <v>64</v>
      </c>
    </row>
    <row r="199" spans="1:17">
      <c r="A199" s="146" t="s">
        <v>522</v>
      </c>
      <c r="B199" s="4">
        <v>0</v>
      </c>
      <c r="C199" s="4">
        <v>0</v>
      </c>
      <c r="D199" s="4">
        <v>45</v>
      </c>
      <c r="E199" s="4">
        <v>0</v>
      </c>
      <c r="F199" s="4">
        <v>50</v>
      </c>
      <c r="G199" s="10">
        <f t="shared" si="90"/>
        <v>0</v>
      </c>
      <c r="H199" s="4">
        <v>50</v>
      </c>
      <c r="I199" s="5">
        <f>G199*D199</f>
        <v>0</v>
      </c>
      <c r="J199" s="5">
        <f t="shared" si="96"/>
        <v>-50</v>
      </c>
      <c r="K199">
        <v>0</v>
      </c>
      <c r="N199" s="83"/>
    </row>
    <row r="200" spans="1:17">
      <c r="A200" s="146" t="s">
        <v>524</v>
      </c>
      <c r="B200" s="4">
        <v>0</v>
      </c>
      <c r="C200" s="4">
        <v>0</v>
      </c>
      <c r="D200" s="4">
        <v>45</v>
      </c>
      <c r="E200" s="4">
        <v>0</v>
      </c>
      <c r="F200" s="4">
        <v>50</v>
      </c>
      <c r="G200" s="10">
        <f t="shared" si="90"/>
        <v>0</v>
      </c>
      <c r="H200" s="4">
        <v>0</v>
      </c>
      <c r="I200" s="5">
        <f t="shared" ref="I200" si="97">G200*D200</f>
        <v>0</v>
      </c>
      <c r="J200" s="5">
        <f t="shared" si="96"/>
        <v>0</v>
      </c>
      <c r="K200">
        <v>0</v>
      </c>
      <c r="N200" s="51">
        <v>946</v>
      </c>
    </row>
    <row r="201" spans="1:17">
      <c r="A201" s="146" t="s">
        <v>526</v>
      </c>
      <c r="B201" s="4">
        <v>0</v>
      </c>
      <c r="C201" s="4">
        <v>0</v>
      </c>
      <c r="D201" s="4">
        <v>45</v>
      </c>
      <c r="E201" s="4">
        <v>0</v>
      </c>
      <c r="F201" s="4">
        <v>50</v>
      </c>
      <c r="G201" s="10">
        <v>0</v>
      </c>
      <c r="H201" s="4">
        <v>0</v>
      </c>
      <c r="I201" s="5">
        <v>0</v>
      </c>
      <c r="J201" s="5">
        <v>0</v>
      </c>
      <c r="K201">
        <v>0</v>
      </c>
      <c r="N201" s="51">
        <v>836</v>
      </c>
    </row>
    <row r="202" spans="1:17" ht="16" thickBot="1">
      <c r="A202" s="146" t="s">
        <v>547</v>
      </c>
      <c r="B202" s="4">
        <v>0</v>
      </c>
      <c r="C202" s="4">
        <v>0</v>
      </c>
      <c r="D202" s="4">
        <v>45</v>
      </c>
      <c r="E202" s="4">
        <v>0</v>
      </c>
      <c r="F202" s="4">
        <v>50</v>
      </c>
      <c r="G202" s="10">
        <f t="shared" ref="G202:G208" si="98">B202+C202/60</f>
        <v>0</v>
      </c>
      <c r="H202" s="4">
        <v>0</v>
      </c>
      <c r="I202" s="5">
        <f t="shared" ref="I202" si="99">G202*D202</f>
        <v>0</v>
      </c>
      <c r="J202" s="5">
        <f t="shared" ref="J202" si="100">I202-H202</f>
        <v>0</v>
      </c>
      <c r="K202">
        <v>0</v>
      </c>
      <c r="N202" s="51">
        <v>0</v>
      </c>
    </row>
    <row r="203" spans="1:17" s="86" customFormat="1" ht="20" thickBot="1">
      <c r="A203" s="91" t="s">
        <v>548</v>
      </c>
      <c r="B203" s="8">
        <f>SUM(B204:B210)</f>
        <v>50</v>
      </c>
      <c r="C203" s="8">
        <f t="shared" ref="C203" si="101">SUM(C204:C210)</f>
        <v>152</v>
      </c>
      <c r="D203" s="126">
        <f>SUM(D204)</f>
        <v>55</v>
      </c>
      <c r="E203" s="126">
        <f t="shared" ref="E203:F203" si="102">SUM(E204:E210)</f>
        <v>6</v>
      </c>
      <c r="F203" s="126">
        <f t="shared" si="102"/>
        <v>350</v>
      </c>
      <c r="G203" s="123">
        <f t="shared" si="98"/>
        <v>52.533333333333331</v>
      </c>
      <c r="H203" s="8">
        <f>SUM(H204:H210)</f>
        <v>300</v>
      </c>
      <c r="I203" s="14">
        <f>SUM(I204:I210)</f>
        <v>2294.75</v>
      </c>
      <c r="J203" s="14">
        <f>SUM(J204:J210)</f>
        <v>1994.75</v>
      </c>
      <c r="K203" s="8">
        <f>SUM(K204:K210)</f>
        <v>165</v>
      </c>
      <c r="L203" s="9">
        <v>0</v>
      </c>
      <c r="M203" s="96">
        <f>J203</f>
        <v>1994.75</v>
      </c>
      <c r="N203" s="102">
        <f>SUM(N204:N210)</f>
        <v>3045</v>
      </c>
      <c r="O203" s="98">
        <f>3344-N203</f>
        <v>299</v>
      </c>
    </row>
    <row r="204" spans="1:17">
      <c r="A204" s="145">
        <v>46111</v>
      </c>
      <c r="B204" s="4">
        <v>9</v>
      </c>
      <c r="C204" s="4">
        <v>53</v>
      </c>
      <c r="D204" s="4">
        <v>55</v>
      </c>
      <c r="E204" s="4">
        <v>1</v>
      </c>
      <c r="F204" s="4">
        <v>50</v>
      </c>
      <c r="G204" s="10">
        <f t="shared" si="98"/>
        <v>9.8833333333333329</v>
      </c>
      <c r="H204" s="4">
        <v>50</v>
      </c>
      <c r="I204" s="5">
        <f t="shared" ref="I204:I210" si="103">G204*D204</f>
        <v>543.58333333333326</v>
      </c>
      <c r="J204" s="5">
        <f t="shared" ref="J204:J210" si="104">I204-H204</f>
        <v>493.58333333333326</v>
      </c>
      <c r="K204">
        <v>27</v>
      </c>
      <c r="N204" s="83">
        <f>616</f>
        <v>616</v>
      </c>
      <c r="O204" s="51"/>
    </row>
    <row r="205" spans="1:17">
      <c r="A205" s="145">
        <v>46112</v>
      </c>
      <c r="B205" s="4">
        <v>8</v>
      </c>
      <c r="C205" s="4">
        <v>28</v>
      </c>
      <c r="D205" s="4">
        <v>45</v>
      </c>
      <c r="E205" s="4">
        <v>1</v>
      </c>
      <c r="F205" s="4">
        <v>50</v>
      </c>
      <c r="G205" s="10">
        <f t="shared" si="98"/>
        <v>8.4666666666666668</v>
      </c>
      <c r="H205" s="4">
        <v>50</v>
      </c>
      <c r="I205" s="5">
        <f t="shared" si="103"/>
        <v>381</v>
      </c>
      <c r="J205" s="5">
        <f t="shared" si="104"/>
        <v>331</v>
      </c>
      <c r="K205">
        <v>26</v>
      </c>
      <c r="N205" s="83">
        <f>300</f>
        <v>300</v>
      </c>
    </row>
    <row r="206" spans="1:17">
      <c r="A206" s="145">
        <v>46113</v>
      </c>
      <c r="B206" s="4">
        <v>7</v>
      </c>
      <c r="C206" s="4">
        <v>5</v>
      </c>
      <c r="D206" s="4">
        <v>55</v>
      </c>
      <c r="E206" s="4">
        <v>1</v>
      </c>
      <c r="F206" s="4">
        <v>50</v>
      </c>
      <c r="G206" s="10">
        <f t="shared" si="98"/>
        <v>7.083333333333333</v>
      </c>
      <c r="H206" s="4">
        <v>50</v>
      </c>
      <c r="I206" s="5">
        <f t="shared" si="103"/>
        <v>389.58333333333331</v>
      </c>
      <c r="J206" s="5">
        <f t="shared" si="104"/>
        <v>339.58333333333331</v>
      </c>
      <c r="K206">
        <v>28</v>
      </c>
      <c r="N206" s="83">
        <f>452</f>
        <v>452</v>
      </c>
      <c r="Q206" t="s">
        <v>64</v>
      </c>
    </row>
    <row r="207" spans="1:17">
      <c r="A207" s="145">
        <v>46114</v>
      </c>
      <c r="B207" s="4">
        <v>8</v>
      </c>
      <c r="C207" s="4">
        <v>43</v>
      </c>
      <c r="D207" s="4">
        <v>65</v>
      </c>
      <c r="E207" s="4">
        <v>1</v>
      </c>
      <c r="F207" s="4">
        <v>50</v>
      </c>
      <c r="G207" s="10">
        <f t="shared" si="98"/>
        <v>8.7166666666666668</v>
      </c>
      <c r="H207" s="4">
        <v>50</v>
      </c>
      <c r="I207" s="5">
        <f t="shared" si="103"/>
        <v>566.58333333333337</v>
      </c>
      <c r="J207" s="5">
        <f t="shared" si="104"/>
        <v>516.58333333333337</v>
      </c>
      <c r="K207">
        <v>32</v>
      </c>
      <c r="N207" s="83">
        <f>660</f>
        <v>660</v>
      </c>
    </row>
    <row r="208" spans="1:17">
      <c r="A208" s="145">
        <v>46115</v>
      </c>
      <c r="B208" s="4">
        <v>9</v>
      </c>
      <c r="C208" s="4">
        <v>12</v>
      </c>
      <c r="D208" s="4">
        <v>45</v>
      </c>
      <c r="E208" s="4">
        <v>1</v>
      </c>
      <c r="F208" s="4">
        <v>50</v>
      </c>
      <c r="G208" s="10">
        <f t="shared" si="98"/>
        <v>9.1999999999999993</v>
      </c>
      <c r="H208" s="4">
        <v>50</v>
      </c>
      <c r="I208" s="5">
        <f t="shared" si="103"/>
        <v>413.99999999999994</v>
      </c>
      <c r="J208" s="5">
        <f t="shared" si="104"/>
        <v>363.99999999999994</v>
      </c>
      <c r="K208">
        <v>24</v>
      </c>
      <c r="N208" s="51">
        <v>500</v>
      </c>
    </row>
    <row r="209" spans="1:17">
      <c r="A209" s="145">
        <v>46116</v>
      </c>
      <c r="B209" s="4">
        <v>9</v>
      </c>
      <c r="C209" s="4">
        <v>11</v>
      </c>
      <c r="D209" s="4">
        <v>55</v>
      </c>
      <c r="E209" s="4">
        <v>1</v>
      </c>
      <c r="F209" s="4">
        <v>50</v>
      </c>
      <c r="G209" s="10">
        <v>0</v>
      </c>
      <c r="H209" s="4">
        <v>50</v>
      </c>
      <c r="I209" s="5">
        <f t="shared" si="103"/>
        <v>0</v>
      </c>
      <c r="J209" s="5">
        <f t="shared" si="104"/>
        <v>-50</v>
      </c>
      <c r="K209">
        <v>28</v>
      </c>
      <c r="N209" s="51">
        <v>517</v>
      </c>
    </row>
    <row r="210" spans="1:17" ht="16" thickBot="1">
      <c r="A210" s="145">
        <v>46117</v>
      </c>
      <c r="B210" s="4">
        <v>0</v>
      </c>
      <c r="C210" s="4">
        <v>0</v>
      </c>
      <c r="D210" s="4">
        <v>45</v>
      </c>
      <c r="E210" s="4">
        <v>0</v>
      </c>
      <c r="F210" s="4">
        <v>50</v>
      </c>
      <c r="G210" s="10">
        <f t="shared" ref="G210" si="105">B210+C210/60</f>
        <v>0</v>
      </c>
      <c r="H210" s="4">
        <v>0</v>
      </c>
      <c r="I210" s="5">
        <f t="shared" si="103"/>
        <v>0</v>
      </c>
      <c r="J210" s="5">
        <f t="shared" si="104"/>
        <v>0</v>
      </c>
      <c r="K210">
        <v>0</v>
      </c>
      <c r="N210" s="51">
        <v>0</v>
      </c>
    </row>
    <row r="211" spans="1:17" s="86" customFormat="1" ht="20" thickBot="1">
      <c r="A211" s="91" t="s">
        <v>549</v>
      </c>
      <c r="B211" s="8">
        <f>SUM(B212:B218)</f>
        <v>16</v>
      </c>
      <c r="C211" s="8">
        <f>SUM(C212:C218)</f>
        <v>57</v>
      </c>
      <c r="D211" s="126">
        <f>SUM(D212)</f>
        <v>45</v>
      </c>
      <c r="E211" s="126">
        <f>SUM(E212:E218)</f>
        <v>3</v>
      </c>
      <c r="F211" s="126">
        <f>SUM(F212:F218)</f>
        <v>350</v>
      </c>
      <c r="G211" s="123">
        <f t="shared" ref="G211:G227" si="106">B211+C211/60</f>
        <v>16.95</v>
      </c>
      <c r="H211" s="8">
        <f>SUM(H212:H218)</f>
        <v>100</v>
      </c>
      <c r="I211" s="9">
        <f>SUM(I212:I218)</f>
        <v>932.25</v>
      </c>
      <c r="J211" s="14">
        <f>SUM(J212:J218)</f>
        <v>832.25</v>
      </c>
      <c r="K211" s="8">
        <f>SUM(K212:K218)</f>
        <v>54</v>
      </c>
      <c r="L211" s="9">
        <v>0</v>
      </c>
      <c r="M211" s="96">
        <f>J211</f>
        <v>832.25</v>
      </c>
      <c r="N211" s="102">
        <f>SUM(N212:N218)</f>
        <v>816</v>
      </c>
      <c r="O211" s="98">
        <f>1266-N211</f>
        <v>450</v>
      </c>
    </row>
    <row r="212" spans="1:17">
      <c r="A212" s="145">
        <v>46111</v>
      </c>
      <c r="B212" s="7">
        <v>0</v>
      </c>
      <c r="C212" s="7">
        <v>0</v>
      </c>
      <c r="D212" s="4">
        <v>45</v>
      </c>
      <c r="E212" s="4">
        <v>0</v>
      </c>
      <c r="F212" s="4">
        <v>50</v>
      </c>
      <c r="G212" s="10">
        <f t="shared" si="106"/>
        <v>0</v>
      </c>
      <c r="H212" s="4">
        <v>0</v>
      </c>
      <c r="I212" s="5">
        <f t="shared" ref="I212:I218" si="107">G212*D212</f>
        <v>0</v>
      </c>
      <c r="J212" s="5">
        <f t="shared" ref="J212:J218" si="108">I212-H212</f>
        <v>0</v>
      </c>
      <c r="K212">
        <v>0</v>
      </c>
      <c r="N212" s="119">
        <v>0</v>
      </c>
      <c r="O212" s="51"/>
    </row>
    <row r="213" spans="1:17">
      <c r="A213" s="145">
        <v>46112</v>
      </c>
      <c r="B213" s="4">
        <v>8</v>
      </c>
      <c r="C213" s="4">
        <v>19</v>
      </c>
      <c r="D213" s="4">
        <v>55</v>
      </c>
      <c r="E213" s="4">
        <v>1</v>
      </c>
      <c r="F213" s="4">
        <v>50</v>
      </c>
      <c r="G213" s="10">
        <f t="shared" si="106"/>
        <v>8.3166666666666664</v>
      </c>
      <c r="H213" s="4">
        <v>50</v>
      </c>
      <c r="I213" s="5">
        <f t="shared" si="107"/>
        <v>457.41666666666663</v>
      </c>
      <c r="J213" s="5">
        <f t="shared" si="108"/>
        <v>407.41666666666663</v>
      </c>
      <c r="K213">
        <v>25</v>
      </c>
      <c r="N213" s="83">
        <f>300+42+150</f>
        <v>492</v>
      </c>
      <c r="P213" t="s">
        <v>550</v>
      </c>
    </row>
    <row r="214" spans="1:17">
      <c r="A214" s="145">
        <v>46113</v>
      </c>
      <c r="B214" s="4">
        <v>8</v>
      </c>
      <c r="C214" s="4">
        <v>38</v>
      </c>
      <c r="D214" s="4">
        <v>55</v>
      </c>
      <c r="E214" s="4">
        <v>1</v>
      </c>
      <c r="F214" s="4">
        <v>50</v>
      </c>
      <c r="G214" s="10">
        <f t="shared" si="106"/>
        <v>8.6333333333333329</v>
      </c>
      <c r="H214" s="4">
        <v>50</v>
      </c>
      <c r="I214" s="5">
        <f t="shared" si="107"/>
        <v>474.83333333333331</v>
      </c>
      <c r="J214" s="5">
        <f t="shared" si="108"/>
        <v>424.83333333333331</v>
      </c>
      <c r="K214">
        <v>29</v>
      </c>
      <c r="N214" s="83">
        <v>324</v>
      </c>
      <c r="Q214" t="s">
        <v>64</v>
      </c>
    </row>
    <row r="215" spans="1:17">
      <c r="A215" s="145">
        <v>46114</v>
      </c>
      <c r="B215" s="4">
        <v>0</v>
      </c>
      <c r="C215" s="4">
        <v>0</v>
      </c>
      <c r="D215" s="4">
        <v>0</v>
      </c>
      <c r="E215" s="4">
        <v>0</v>
      </c>
      <c r="F215" s="4">
        <v>50</v>
      </c>
      <c r="G215" s="10">
        <f t="shared" si="106"/>
        <v>0</v>
      </c>
      <c r="H215" s="4">
        <v>0</v>
      </c>
      <c r="I215" s="5">
        <f t="shared" si="107"/>
        <v>0</v>
      </c>
      <c r="J215" s="5">
        <f t="shared" si="108"/>
        <v>0</v>
      </c>
      <c r="K215">
        <v>0</v>
      </c>
      <c r="N215" s="119">
        <v>0</v>
      </c>
    </row>
    <row r="216" spans="1:17">
      <c r="A216" s="145">
        <v>46115</v>
      </c>
      <c r="B216" s="4">
        <v>0</v>
      </c>
      <c r="C216" s="4">
        <v>0</v>
      </c>
      <c r="D216" s="4">
        <v>45</v>
      </c>
      <c r="E216" s="4">
        <v>0</v>
      </c>
      <c r="F216" s="4">
        <v>50</v>
      </c>
      <c r="G216" s="10">
        <f t="shared" si="106"/>
        <v>0</v>
      </c>
      <c r="H216" s="4">
        <v>0</v>
      </c>
      <c r="I216" s="5">
        <f t="shared" si="107"/>
        <v>0</v>
      </c>
      <c r="J216" s="5">
        <f t="shared" si="108"/>
        <v>0</v>
      </c>
      <c r="K216">
        <v>0</v>
      </c>
      <c r="N216" s="119">
        <v>0</v>
      </c>
    </row>
    <row r="217" spans="1:17">
      <c r="A217" s="145">
        <v>46116</v>
      </c>
      <c r="B217" s="4">
        <v>0</v>
      </c>
      <c r="C217" s="4">
        <v>0</v>
      </c>
      <c r="D217" s="4">
        <v>45</v>
      </c>
      <c r="E217" s="4">
        <v>0</v>
      </c>
      <c r="F217" s="4">
        <v>50</v>
      </c>
      <c r="G217" s="10">
        <f t="shared" si="106"/>
        <v>0</v>
      </c>
      <c r="H217" s="4">
        <v>0</v>
      </c>
      <c r="I217" s="5">
        <f t="shared" si="107"/>
        <v>0</v>
      </c>
      <c r="J217" s="5">
        <f t="shared" si="108"/>
        <v>0</v>
      </c>
      <c r="K217">
        <v>0</v>
      </c>
      <c r="N217" s="119">
        <v>0</v>
      </c>
    </row>
    <row r="218" spans="1:17" ht="16" thickBot="1">
      <c r="A218" s="145">
        <v>46117</v>
      </c>
      <c r="B218" s="4">
        <v>0</v>
      </c>
      <c r="C218" s="4">
        <v>0</v>
      </c>
      <c r="D218" s="4">
        <v>45</v>
      </c>
      <c r="E218" s="4">
        <v>1</v>
      </c>
      <c r="F218" s="4">
        <v>50</v>
      </c>
      <c r="G218" s="10">
        <f t="shared" si="106"/>
        <v>0</v>
      </c>
      <c r="H218" s="4">
        <v>0</v>
      </c>
      <c r="I218" s="5">
        <f t="shared" si="107"/>
        <v>0</v>
      </c>
      <c r="J218" s="5">
        <f t="shared" si="108"/>
        <v>0</v>
      </c>
      <c r="K218">
        <v>0</v>
      </c>
      <c r="N218" s="119">
        <v>0</v>
      </c>
    </row>
    <row r="219" spans="1:17" ht="20" thickBot="1">
      <c r="A219" s="91" t="s">
        <v>551</v>
      </c>
      <c r="B219" s="8">
        <f>SUM(B220:B226)</f>
        <v>25</v>
      </c>
      <c r="C219" s="8">
        <f>SUM(C220:C226)</f>
        <v>41</v>
      </c>
      <c r="D219" s="8">
        <v>45</v>
      </c>
      <c r="E219" s="8">
        <f>SUM(E220:E226)</f>
        <v>7</v>
      </c>
      <c r="F219" s="8">
        <f>SUM(F220:F226)</f>
        <v>350</v>
      </c>
      <c r="G219" s="93">
        <f t="shared" si="106"/>
        <v>25.683333333333334</v>
      </c>
      <c r="H219" s="8">
        <f>SUM(H220:H226)</f>
        <v>200</v>
      </c>
      <c r="I219" s="9">
        <f>SUM(I220:I226)</f>
        <v>1155.75</v>
      </c>
      <c r="J219" s="14">
        <f>SUM(J220:J226)</f>
        <v>955.75</v>
      </c>
      <c r="K219" s="8">
        <f>SUM(K220:K226)</f>
        <v>45</v>
      </c>
      <c r="L219" s="9">
        <v>0</v>
      </c>
      <c r="M219" s="96">
        <f>J219</f>
        <v>955.75</v>
      </c>
      <c r="N219" s="102">
        <f>SUM(N220:N226)</f>
        <v>1884</v>
      </c>
      <c r="O219" s="98">
        <f>2988-N219</f>
        <v>1104</v>
      </c>
      <c r="P219" s="86"/>
      <c r="Q219" s="86"/>
    </row>
    <row r="220" spans="1:17">
      <c r="A220" s="145">
        <v>46111</v>
      </c>
      <c r="B220" s="4">
        <v>0</v>
      </c>
      <c r="C220" s="4">
        <v>0</v>
      </c>
      <c r="D220" s="4">
        <v>45</v>
      </c>
      <c r="E220" s="4">
        <v>1</v>
      </c>
      <c r="F220" s="4">
        <v>50</v>
      </c>
      <c r="G220" s="10">
        <f t="shared" si="106"/>
        <v>0</v>
      </c>
      <c r="H220" s="4">
        <v>50</v>
      </c>
      <c r="I220" s="5">
        <f t="shared" ref="I220:I226" si="109">G220*D220</f>
        <v>0</v>
      </c>
      <c r="J220" s="5">
        <f t="shared" ref="J220:J226" si="110">I220-H220</f>
        <v>-50</v>
      </c>
      <c r="K220">
        <v>0</v>
      </c>
      <c r="N220" s="83">
        <v>0</v>
      </c>
      <c r="O220" s="51"/>
    </row>
    <row r="221" spans="1:17">
      <c r="A221" s="145">
        <v>46112</v>
      </c>
      <c r="B221" s="4">
        <v>9</v>
      </c>
      <c r="C221" s="4">
        <v>30</v>
      </c>
      <c r="D221" s="4">
        <v>45</v>
      </c>
      <c r="E221" s="4">
        <v>1</v>
      </c>
      <c r="F221" s="4">
        <v>50</v>
      </c>
      <c r="G221" s="10">
        <f t="shared" si="106"/>
        <v>9.5</v>
      </c>
      <c r="H221" s="4">
        <v>50</v>
      </c>
      <c r="I221" s="5">
        <f t="shared" si="109"/>
        <v>427.5</v>
      </c>
      <c r="J221" s="5">
        <f t="shared" si="110"/>
        <v>377.5</v>
      </c>
      <c r="K221">
        <v>23</v>
      </c>
      <c r="N221" s="83">
        <f>290+150</f>
        <v>440</v>
      </c>
      <c r="P221" t="s">
        <v>552</v>
      </c>
    </row>
    <row r="222" spans="1:17">
      <c r="A222" s="145">
        <v>46113</v>
      </c>
      <c r="B222" s="4">
        <v>10</v>
      </c>
      <c r="C222" s="4">
        <v>8</v>
      </c>
      <c r="D222" s="4">
        <v>45</v>
      </c>
      <c r="E222" s="4">
        <v>1</v>
      </c>
      <c r="F222" s="4">
        <v>50</v>
      </c>
      <c r="G222" s="10">
        <f t="shared" si="106"/>
        <v>10.133333333333333</v>
      </c>
      <c r="H222" s="4">
        <v>50</v>
      </c>
      <c r="I222" s="5">
        <f t="shared" si="109"/>
        <v>456</v>
      </c>
      <c r="J222" s="5">
        <f t="shared" si="110"/>
        <v>406</v>
      </c>
      <c r="K222">
        <v>22</v>
      </c>
      <c r="N222" s="83">
        <f>534+150</f>
        <v>684</v>
      </c>
      <c r="P222" t="s">
        <v>553</v>
      </c>
      <c r="Q222" t="s">
        <v>64</v>
      </c>
    </row>
    <row r="223" spans="1:17">
      <c r="A223" s="145">
        <v>46114</v>
      </c>
      <c r="B223" s="4">
        <v>6</v>
      </c>
      <c r="C223" s="4">
        <v>3</v>
      </c>
      <c r="D223" s="4">
        <v>45</v>
      </c>
      <c r="E223" s="4">
        <v>1</v>
      </c>
      <c r="F223" s="4">
        <v>50</v>
      </c>
      <c r="G223" s="10">
        <f t="shared" si="106"/>
        <v>6.05</v>
      </c>
      <c r="H223" s="4">
        <v>50</v>
      </c>
      <c r="I223" s="5">
        <f t="shared" si="109"/>
        <v>272.25</v>
      </c>
      <c r="J223" s="5">
        <f t="shared" si="110"/>
        <v>222.25</v>
      </c>
      <c r="K223">
        <v>0</v>
      </c>
      <c r="N223" s="83">
        <v>177</v>
      </c>
      <c r="P223" t="s">
        <v>554</v>
      </c>
    </row>
    <row r="224" spans="1:17">
      <c r="A224" s="145">
        <v>46115</v>
      </c>
      <c r="B224" s="4">
        <v>0</v>
      </c>
      <c r="C224" s="4">
        <v>0</v>
      </c>
      <c r="D224" s="4">
        <v>45</v>
      </c>
      <c r="E224" s="4">
        <v>1</v>
      </c>
      <c r="F224" s="4">
        <v>50</v>
      </c>
      <c r="G224" s="10">
        <f t="shared" si="106"/>
        <v>0</v>
      </c>
      <c r="H224" s="4">
        <v>0</v>
      </c>
      <c r="I224" s="5">
        <f t="shared" si="109"/>
        <v>0</v>
      </c>
      <c r="J224" s="5">
        <f t="shared" si="110"/>
        <v>0</v>
      </c>
      <c r="K224">
        <v>0</v>
      </c>
      <c r="N224" s="119">
        <v>0</v>
      </c>
    </row>
    <row r="225" spans="1:17">
      <c r="A225" s="145">
        <v>46116</v>
      </c>
      <c r="B225" s="4">
        <v>0</v>
      </c>
      <c r="C225" s="4">
        <v>0</v>
      </c>
      <c r="D225" s="4">
        <v>45</v>
      </c>
      <c r="E225" s="4">
        <v>1</v>
      </c>
      <c r="F225" s="4">
        <v>50</v>
      </c>
      <c r="G225" s="10">
        <f t="shared" si="106"/>
        <v>0</v>
      </c>
      <c r="H225" s="4">
        <v>0</v>
      </c>
      <c r="I225" s="5">
        <f t="shared" si="109"/>
        <v>0</v>
      </c>
      <c r="J225" s="5">
        <f t="shared" si="110"/>
        <v>0</v>
      </c>
      <c r="K225">
        <v>0</v>
      </c>
      <c r="N225" s="119">
        <v>583</v>
      </c>
    </row>
    <row r="226" spans="1:17" ht="16" thickBot="1">
      <c r="A226" s="145">
        <v>46117</v>
      </c>
      <c r="B226" s="4">
        <v>0</v>
      </c>
      <c r="C226" s="4">
        <v>0</v>
      </c>
      <c r="D226" s="4">
        <v>45</v>
      </c>
      <c r="E226" s="4">
        <v>1</v>
      </c>
      <c r="F226" s="4">
        <v>50</v>
      </c>
      <c r="G226" s="10">
        <f t="shared" si="106"/>
        <v>0</v>
      </c>
      <c r="H226" s="4">
        <v>0</v>
      </c>
      <c r="I226" s="5">
        <f t="shared" si="109"/>
        <v>0</v>
      </c>
      <c r="J226" s="5">
        <f t="shared" si="110"/>
        <v>0</v>
      </c>
      <c r="K226">
        <v>0</v>
      </c>
      <c r="N226" s="119">
        <v>0</v>
      </c>
    </row>
    <row r="227" spans="1:17" s="86" customFormat="1" ht="20" thickBot="1">
      <c r="A227" s="91" t="s">
        <v>555</v>
      </c>
      <c r="B227" s="8">
        <f>SUM(B228:B234)</f>
        <v>58</v>
      </c>
      <c r="C227" s="8">
        <f>SUM(C228:C234)</f>
        <v>220</v>
      </c>
      <c r="D227" s="8">
        <f>SUM(D228)</f>
        <v>45</v>
      </c>
      <c r="E227" s="8">
        <f>SUM(E228:E234)</f>
        <v>7</v>
      </c>
      <c r="F227" s="8">
        <f>SUM(F228:F234)</f>
        <v>350</v>
      </c>
      <c r="G227" s="93">
        <f t="shared" si="106"/>
        <v>61.666666666666664</v>
      </c>
      <c r="H227" s="8">
        <f>SUM(H228:H234)</f>
        <v>350</v>
      </c>
      <c r="I227" s="9">
        <f>SUM(I228:I234)</f>
        <v>3065.5</v>
      </c>
      <c r="J227" s="14">
        <f>SUM(J228:J234)</f>
        <v>2715.5</v>
      </c>
      <c r="K227" s="8">
        <f>SUM(K228:K234)</f>
        <v>179</v>
      </c>
      <c r="L227" s="9">
        <v>0</v>
      </c>
      <c r="M227" s="96">
        <f>J227</f>
        <v>2715.5</v>
      </c>
      <c r="N227" s="129">
        <f>SUM(N228:N234)</f>
        <v>2685</v>
      </c>
      <c r="O227" s="98">
        <f>4591-N227</f>
        <v>1906</v>
      </c>
    </row>
    <row r="228" spans="1:17">
      <c r="A228" s="145">
        <v>46111</v>
      </c>
      <c r="B228" s="4">
        <v>7</v>
      </c>
      <c r="C228" s="4">
        <v>59</v>
      </c>
      <c r="D228" s="4">
        <v>45</v>
      </c>
      <c r="E228" s="4">
        <v>1</v>
      </c>
      <c r="F228" s="4">
        <v>50</v>
      </c>
      <c r="G228" s="10">
        <f t="shared" ref="G228:G234" si="111">B228+C228/60</f>
        <v>7.9833333333333334</v>
      </c>
      <c r="H228" s="4">
        <v>50</v>
      </c>
      <c r="I228" s="5">
        <f>G228*D228</f>
        <v>359.25</v>
      </c>
      <c r="J228" s="5">
        <f t="shared" ref="J228:J234" si="112">I228-H228</f>
        <v>309.25</v>
      </c>
      <c r="K228">
        <v>22</v>
      </c>
      <c r="N228" s="83">
        <v>295</v>
      </c>
      <c r="O228" s="51"/>
      <c r="P228" t="s">
        <v>556</v>
      </c>
    </row>
    <row r="229" spans="1:17">
      <c r="A229" s="145">
        <v>46112</v>
      </c>
      <c r="B229" s="4">
        <v>8</v>
      </c>
      <c r="C229" s="4">
        <v>37</v>
      </c>
      <c r="D229" s="4">
        <v>45</v>
      </c>
      <c r="E229" s="4">
        <v>1</v>
      </c>
      <c r="F229" s="4">
        <v>50</v>
      </c>
      <c r="G229" s="10">
        <f t="shared" si="111"/>
        <v>8.6166666666666671</v>
      </c>
      <c r="H229" s="4">
        <v>50</v>
      </c>
      <c r="I229" s="5">
        <f>G229*D229</f>
        <v>387.75</v>
      </c>
      <c r="J229" s="5">
        <f t="shared" si="112"/>
        <v>337.75</v>
      </c>
      <c r="K229">
        <v>24</v>
      </c>
      <c r="N229" s="83">
        <f>152</f>
        <v>152</v>
      </c>
    </row>
    <row r="230" spans="1:17">
      <c r="A230" s="145">
        <v>46113</v>
      </c>
      <c r="B230" s="4">
        <v>10</v>
      </c>
      <c r="C230" s="4">
        <v>21</v>
      </c>
      <c r="D230" s="4">
        <v>55</v>
      </c>
      <c r="E230" s="4">
        <v>1</v>
      </c>
      <c r="F230" s="4">
        <v>50</v>
      </c>
      <c r="G230" s="10">
        <f t="shared" si="111"/>
        <v>10.35</v>
      </c>
      <c r="H230" s="4">
        <v>50</v>
      </c>
      <c r="I230" s="5">
        <f t="shared" ref="I230:I233" si="113">G230*D230</f>
        <v>569.25</v>
      </c>
      <c r="J230" s="5">
        <f t="shared" si="112"/>
        <v>519.25</v>
      </c>
      <c r="K230">
        <v>32</v>
      </c>
      <c r="N230" s="83">
        <f>300</f>
        <v>300</v>
      </c>
      <c r="Q230" t="s">
        <v>64</v>
      </c>
    </row>
    <row r="231" spans="1:17">
      <c r="A231" s="145">
        <v>46114</v>
      </c>
      <c r="B231" s="4">
        <v>7</v>
      </c>
      <c r="C231" s="4">
        <v>31</v>
      </c>
      <c r="D231" s="4">
        <v>45</v>
      </c>
      <c r="E231" s="4">
        <v>1</v>
      </c>
      <c r="F231" s="4">
        <v>50</v>
      </c>
      <c r="G231" s="10">
        <f t="shared" si="111"/>
        <v>7.5166666666666666</v>
      </c>
      <c r="H231" s="4">
        <v>50</v>
      </c>
      <c r="I231" s="5">
        <f t="shared" si="113"/>
        <v>338.25</v>
      </c>
      <c r="J231" s="5">
        <f t="shared" si="112"/>
        <v>288.25</v>
      </c>
      <c r="K231">
        <v>25</v>
      </c>
      <c r="N231" s="83">
        <f>417</f>
        <v>417</v>
      </c>
      <c r="P231" t="s">
        <v>557</v>
      </c>
    </row>
    <row r="232" spans="1:17">
      <c r="A232" s="145">
        <v>46115</v>
      </c>
      <c r="B232" s="4">
        <v>8</v>
      </c>
      <c r="C232" s="4">
        <v>30</v>
      </c>
      <c r="D232" s="4">
        <v>45</v>
      </c>
      <c r="E232" s="4">
        <v>1</v>
      </c>
      <c r="F232" s="4">
        <v>50</v>
      </c>
      <c r="G232" s="10">
        <f t="shared" si="111"/>
        <v>8.5</v>
      </c>
      <c r="H232" s="4">
        <v>50</v>
      </c>
      <c r="I232" s="5">
        <f t="shared" si="113"/>
        <v>382.5</v>
      </c>
      <c r="J232" s="5">
        <f t="shared" si="112"/>
        <v>332.5</v>
      </c>
      <c r="K232">
        <v>22</v>
      </c>
      <c r="N232" s="119">
        <v>0</v>
      </c>
    </row>
    <row r="233" spans="1:17">
      <c r="A233" s="145">
        <v>46116</v>
      </c>
      <c r="B233" s="4">
        <v>8</v>
      </c>
      <c r="C233" s="4">
        <v>32</v>
      </c>
      <c r="D233" s="4">
        <v>55</v>
      </c>
      <c r="E233" s="4">
        <v>1</v>
      </c>
      <c r="F233" s="4">
        <v>50</v>
      </c>
      <c r="G233" s="10">
        <f t="shared" si="111"/>
        <v>8.5333333333333332</v>
      </c>
      <c r="H233" s="4">
        <v>50</v>
      </c>
      <c r="I233" s="5">
        <f t="shared" si="113"/>
        <v>469.33333333333331</v>
      </c>
      <c r="J233" s="5">
        <f t="shared" si="112"/>
        <v>419.33333333333331</v>
      </c>
      <c r="K233">
        <v>27</v>
      </c>
      <c r="N233" s="119">
        <v>873</v>
      </c>
    </row>
    <row r="234" spans="1:17" ht="16" thickBot="1">
      <c r="A234" s="145">
        <v>46117</v>
      </c>
      <c r="B234" s="4">
        <v>10</v>
      </c>
      <c r="C234" s="4">
        <v>10</v>
      </c>
      <c r="D234" s="4">
        <v>55</v>
      </c>
      <c r="E234" s="4">
        <v>1</v>
      </c>
      <c r="F234" s="4">
        <v>50</v>
      </c>
      <c r="G234" s="10">
        <f t="shared" si="111"/>
        <v>10.166666666666666</v>
      </c>
      <c r="H234" s="4">
        <v>50</v>
      </c>
      <c r="I234" s="5">
        <f>G234*D234</f>
        <v>559.16666666666663</v>
      </c>
      <c r="J234" s="5">
        <f t="shared" si="112"/>
        <v>509.16666666666663</v>
      </c>
      <c r="K234">
        <v>27</v>
      </c>
      <c r="N234" s="119">
        <f>548+100</f>
        <v>648</v>
      </c>
      <c r="P234" t="s">
        <v>558</v>
      </c>
    </row>
    <row r="235" spans="1:17" s="86" customFormat="1" ht="20" thickBot="1">
      <c r="A235" s="91" t="s">
        <v>559</v>
      </c>
      <c r="B235" s="8">
        <f>SUM(B236:B242)</f>
        <v>58</v>
      </c>
      <c r="C235" s="8">
        <f>SUM(C236:C242)</f>
        <v>199</v>
      </c>
      <c r="D235" s="8">
        <f>SUM(D236)</f>
        <v>0</v>
      </c>
      <c r="E235" s="8">
        <f>SUM(E236:E242)</f>
        <v>5</v>
      </c>
      <c r="F235" s="8">
        <f>SUM(F236:F242)</f>
        <v>350</v>
      </c>
      <c r="G235" s="93">
        <f t="shared" ref="G235:G258" si="114">B235+C235/60</f>
        <v>61.31666666666667</v>
      </c>
      <c r="H235" s="8">
        <f>SUM(H236:H242)</f>
        <v>300</v>
      </c>
      <c r="I235" s="9">
        <f>SUM(I236:I242)</f>
        <v>3985.5833333333335</v>
      </c>
      <c r="J235" s="14">
        <f>SUM(J236:J242)</f>
        <v>3685.5833333333335</v>
      </c>
      <c r="K235" s="8">
        <f>SUM(K236:K242)</f>
        <v>277</v>
      </c>
      <c r="L235" s="9">
        <v>300</v>
      </c>
      <c r="M235" s="96">
        <f>J235+L235</f>
        <v>3985.5833333333335</v>
      </c>
      <c r="N235" s="102">
        <f>SUM(N236:N242)</f>
        <v>9350</v>
      </c>
      <c r="O235" s="98">
        <f>9230-N235</f>
        <v>-120</v>
      </c>
    </row>
    <row r="236" spans="1:17">
      <c r="A236" s="145">
        <v>46111</v>
      </c>
      <c r="B236" s="4">
        <v>0</v>
      </c>
      <c r="C236" s="4">
        <v>0</v>
      </c>
      <c r="D236" s="4">
        <v>0</v>
      </c>
      <c r="E236" s="4">
        <v>0</v>
      </c>
      <c r="F236" s="4">
        <v>50</v>
      </c>
      <c r="G236" s="10">
        <f t="shared" si="114"/>
        <v>0</v>
      </c>
      <c r="H236" s="4">
        <v>0</v>
      </c>
      <c r="I236" s="5">
        <f t="shared" ref="I236" si="115">G236*D236</f>
        <v>0</v>
      </c>
      <c r="J236" s="5">
        <f t="shared" ref="J236:J242" si="116">I236-H236</f>
        <v>0</v>
      </c>
      <c r="K236">
        <v>0</v>
      </c>
      <c r="N236" s="51">
        <v>0</v>
      </c>
      <c r="O236" s="51"/>
    </row>
    <row r="237" spans="1:17">
      <c r="A237" s="145">
        <v>46112</v>
      </c>
      <c r="B237" s="4">
        <v>10</v>
      </c>
      <c r="C237" s="4">
        <v>29</v>
      </c>
      <c r="D237" s="4">
        <v>65</v>
      </c>
      <c r="E237" s="4">
        <v>1</v>
      </c>
      <c r="F237" s="4">
        <v>50</v>
      </c>
      <c r="G237" s="10">
        <f t="shared" si="114"/>
        <v>10.483333333333333</v>
      </c>
      <c r="H237" s="4">
        <v>50</v>
      </c>
      <c r="I237" s="5">
        <f t="shared" ref="I237:I242" si="117">G237*D237</f>
        <v>681.41666666666663</v>
      </c>
      <c r="J237" s="5">
        <f t="shared" si="116"/>
        <v>631.41666666666663</v>
      </c>
      <c r="K237">
        <v>40</v>
      </c>
      <c r="N237" s="83">
        <f>1226</f>
        <v>1226</v>
      </c>
    </row>
    <row r="238" spans="1:17">
      <c r="A238" s="145">
        <v>46113</v>
      </c>
      <c r="B238" s="4">
        <v>10</v>
      </c>
      <c r="C238" s="4">
        <v>27</v>
      </c>
      <c r="D238" s="4">
        <v>65</v>
      </c>
      <c r="E238" s="4">
        <v>1</v>
      </c>
      <c r="F238" s="4">
        <v>50</v>
      </c>
      <c r="G238" s="10">
        <f t="shared" si="114"/>
        <v>10.45</v>
      </c>
      <c r="H238" s="4">
        <v>50</v>
      </c>
      <c r="I238" s="5">
        <f t="shared" si="117"/>
        <v>679.25</v>
      </c>
      <c r="J238" s="5">
        <f t="shared" si="116"/>
        <v>629.25</v>
      </c>
      <c r="K238">
        <v>46</v>
      </c>
      <c r="N238" s="83">
        <f>1501</f>
        <v>1501</v>
      </c>
      <c r="Q238" t="s">
        <v>64</v>
      </c>
    </row>
    <row r="239" spans="1:17">
      <c r="A239" s="145">
        <v>37713</v>
      </c>
      <c r="B239" s="4">
        <v>8</v>
      </c>
      <c r="C239" s="4">
        <v>19</v>
      </c>
      <c r="D239" s="4">
        <v>65</v>
      </c>
      <c r="E239" s="4">
        <v>1</v>
      </c>
      <c r="F239" s="4">
        <v>50</v>
      </c>
      <c r="G239" s="10">
        <f t="shared" si="114"/>
        <v>8.3166666666666664</v>
      </c>
      <c r="H239" s="4">
        <v>50</v>
      </c>
      <c r="I239" s="5">
        <f t="shared" si="117"/>
        <v>540.58333333333337</v>
      </c>
      <c r="J239" s="5">
        <f t="shared" si="116"/>
        <v>490.58333333333337</v>
      </c>
      <c r="K239">
        <v>43</v>
      </c>
      <c r="N239" s="83">
        <f>1501</f>
        <v>1501</v>
      </c>
    </row>
    <row r="240" spans="1:17">
      <c r="A240" s="145">
        <v>46115</v>
      </c>
      <c r="B240" s="4">
        <v>10</v>
      </c>
      <c r="C240" s="4">
        <v>50</v>
      </c>
      <c r="D240" s="4">
        <v>65</v>
      </c>
      <c r="E240" s="4">
        <v>1</v>
      </c>
      <c r="F240" s="4">
        <v>50</v>
      </c>
      <c r="G240" s="10">
        <f t="shared" si="114"/>
        <v>10.833333333333334</v>
      </c>
      <c r="H240" s="4">
        <v>50</v>
      </c>
      <c r="I240" s="5">
        <f t="shared" si="117"/>
        <v>704.16666666666674</v>
      </c>
      <c r="J240" s="5">
        <f t="shared" si="116"/>
        <v>654.16666666666674</v>
      </c>
      <c r="K240">
        <v>50</v>
      </c>
      <c r="L240">
        <v>9</v>
      </c>
      <c r="N240" s="51">
        <v>1702</v>
      </c>
    </row>
    <row r="241" spans="1:17">
      <c r="A241" s="145">
        <v>46116</v>
      </c>
      <c r="B241" s="4">
        <v>10</v>
      </c>
      <c r="C241" s="4">
        <v>33</v>
      </c>
      <c r="D241" s="4">
        <v>65</v>
      </c>
      <c r="E241" s="4">
        <v>1</v>
      </c>
      <c r="F241" s="4">
        <v>50</v>
      </c>
      <c r="G241" s="10">
        <f t="shared" si="114"/>
        <v>10.55</v>
      </c>
      <c r="H241" s="4">
        <v>50</v>
      </c>
      <c r="I241" s="5">
        <f t="shared" si="117"/>
        <v>685.75</v>
      </c>
      <c r="J241" s="5">
        <f t="shared" si="116"/>
        <v>635.75</v>
      </c>
      <c r="K241">
        <v>50</v>
      </c>
      <c r="N241" s="51">
        <v>1750</v>
      </c>
    </row>
    <row r="242" spans="1:17" ht="16" thickBot="1">
      <c r="A242" s="145">
        <v>46117</v>
      </c>
      <c r="B242" s="4">
        <v>10</v>
      </c>
      <c r="C242" s="4">
        <v>41</v>
      </c>
      <c r="D242" s="4">
        <v>65</v>
      </c>
      <c r="E242" s="4">
        <v>0</v>
      </c>
      <c r="F242" s="4">
        <v>50</v>
      </c>
      <c r="G242" s="10">
        <f t="shared" si="114"/>
        <v>10.683333333333334</v>
      </c>
      <c r="H242" s="4">
        <v>50</v>
      </c>
      <c r="I242" s="5">
        <f t="shared" si="117"/>
        <v>694.41666666666663</v>
      </c>
      <c r="J242" s="5">
        <f t="shared" si="116"/>
        <v>644.41666666666663</v>
      </c>
      <c r="K242">
        <v>48</v>
      </c>
      <c r="N242" s="51">
        <v>1670</v>
      </c>
    </row>
    <row r="243" spans="1:17" s="86" customFormat="1" ht="20" thickBot="1">
      <c r="A243" s="91" t="s">
        <v>560</v>
      </c>
      <c r="B243" s="8">
        <f>SUM(B244:B250)</f>
        <v>66</v>
      </c>
      <c r="C243" s="8">
        <f>SUM(C244:C250)</f>
        <v>97</v>
      </c>
      <c r="D243" s="8">
        <f>SUM(D244)</f>
        <v>65</v>
      </c>
      <c r="E243" s="8">
        <f>SUM(E244:E250)</f>
        <v>5</v>
      </c>
      <c r="F243" s="8">
        <f>SUM(F244:F250)</f>
        <v>350</v>
      </c>
      <c r="G243" s="93">
        <f t="shared" si="114"/>
        <v>67.61666666666666</v>
      </c>
      <c r="H243" s="8">
        <f>SUM(H244:H250)</f>
        <v>200</v>
      </c>
      <c r="I243" s="9">
        <f>SUM(I244:I250)</f>
        <v>4395.083333333333</v>
      </c>
      <c r="J243" s="14">
        <f>SUM(J244:J250)</f>
        <v>4195.083333333333</v>
      </c>
      <c r="K243" s="8">
        <f>SUM(K244:K250)</f>
        <v>181</v>
      </c>
      <c r="L243" s="9">
        <v>0</v>
      </c>
      <c r="M243" s="96">
        <f>J243</f>
        <v>4195.083333333333</v>
      </c>
      <c r="N243" s="102">
        <f>SUM(N244:N250)</f>
        <v>4898</v>
      </c>
      <c r="O243" s="98">
        <f>4978-N243</f>
        <v>80</v>
      </c>
    </row>
    <row r="244" spans="1:17">
      <c r="A244" s="80" t="s">
        <v>561</v>
      </c>
      <c r="B244" s="4">
        <v>11</v>
      </c>
      <c r="C244" s="4">
        <v>2</v>
      </c>
      <c r="D244" s="4">
        <v>65</v>
      </c>
      <c r="E244" s="4">
        <v>1</v>
      </c>
      <c r="F244" s="4">
        <v>50</v>
      </c>
      <c r="G244" s="10">
        <f t="shared" si="114"/>
        <v>11.033333333333333</v>
      </c>
      <c r="H244" s="4">
        <v>50</v>
      </c>
      <c r="I244" s="5">
        <f t="shared" ref="I244:I250" si="118">G244*D244</f>
        <v>717.16666666666663</v>
      </c>
      <c r="J244" s="5">
        <f t="shared" ref="J244:J250" si="119">I244-H244</f>
        <v>667.16666666666663</v>
      </c>
      <c r="K244">
        <v>32</v>
      </c>
      <c r="N244" s="83">
        <f>459</f>
        <v>459</v>
      </c>
      <c r="O244" s="51"/>
    </row>
    <row r="245" spans="1:17">
      <c r="A245" s="80" t="s">
        <v>545</v>
      </c>
      <c r="B245" s="4">
        <v>14</v>
      </c>
      <c r="C245" s="4">
        <v>47</v>
      </c>
      <c r="D245" s="4">
        <v>65</v>
      </c>
      <c r="E245" s="4">
        <v>1</v>
      </c>
      <c r="F245" s="4">
        <v>50</v>
      </c>
      <c r="G245" s="10">
        <f t="shared" si="114"/>
        <v>14.783333333333333</v>
      </c>
      <c r="H245" s="4">
        <v>50</v>
      </c>
      <c r="I245" s="5">
        <f t="shared" si="118"/>
        <v>960.91666666666663</v>
      </c>
      <c r="J245" s="5">
        <f t="shared" si="119"/>
        <v>910.91666666666663</v>
      </c>
      <c r="K245">
        <v>42</v>
      </c>
      <c r="N245" s="83">
        <f>638</f>
        <v>638</v>
      </c>
    </row>
    <row r="246" spans="1:17">
      <c r="A246" s="80" t="s">
        <v>521</v>
      </c>
      <c r="B246" s="4">
        <v>19</v>
      </c>
      <c r="C246" s="4">
        <v>1</v>
      </c>
      <c r="D246" s="4">
        <v>65</v>
      </c>
      <c r="E246" s="4">
        <v>1</v>
      </c>
      <c r="F246" s="4">
        <v>50</v>
      </c>
      <c r="G246" s="10">
        <f t="shared" si="114"/>
        <v>19.016666666666666</v>
      </c>
      <c r="H246" s="4">
        <v>50</v>
      </c>
      <c r="I246" s="5">
        <f t="shared" si="118"/>
        <v>1236.0833333333333</v>
      </c>
      <c r="J246" s="5">
        <f t="shared" si="119"/>
        <v>1186.0833333333333</v>
      </c>
      <c r="K246">
        <v>50</v>
      </c>
      <c r="N246" s="83">
        <f>945</f>
        <v>945</v>
      </c>
      <c r="Q246" t="s">
        <v>64</v>
      </c>
    </row>
    <row r="247" spans="1:17">
      <c r="A247" s="80" t="s">
        <v>522</v>
      </c>
      <c r="B247" s="4">
        <v>22</v>
      </c>
      <c r="C247" s="4">
        <v>47</v>
      </c>
      <c r="D247" s="4">
        <v>65</v>
      </c>
      <c r="E247" s="4">
        <v>1</v>
      </c>
      <c r="F247" s="4">
        <v>50</v>
      </c>
      <c r="G247" s="10">
        <f t="shared" si="114"/>
        <v>22.783333333333335</v>
      </c>
      <c r="H247" s="4">
        <v>50</v>
      </c>
      <c r="I247" s="5">
        <f t="shared" si="118"/>
        <v>1480.9166666666667</v>
      </c>
      <c r="J247" s="5">
        <f t="shared" si="119"/>
        <v>1430.9166666666667</v>
      </c>
      <c r="K247">
        <v>57</v>
      </c>
      <c r="N247" s="51">
        <v>794</v>
      </c>
    </row>
    <row r="248" spans="1:17">
      <c r="A248" s="80" t="s">
        <v>524</v>
      </c>
      <c r="B248" s="4">
        <v>0</v>
      </c>
      <c r="C248" s="4">
        <v>0</v>
      </c>
      <c r="D248" s="4">
        <v>45</v>
      </c>
      <c r="E248" s="4">
        <v>1</v>
      </c>
      <c r="F248" s="4">
        <v>50</v>
      </c>
      <c r="G248" s="10">
        <f t="shared" si="114"/>
        <v>0</v>
      </c>
      <c r="H248" s="4">
        <v>0</v>
      </c>
      <c r="I248" s="5">
        <f t="shared" si="118"/>
        <v>0</v>
      </c>
      <c r="J248" s="5">
        <f t="shared" si="119"/>
        <v>0</v>
      </c>
      <c r="K248">
        <v>0</v>
      </c>
      <c r="N248" s="51">
        <v>1031</v>
      </c>
    </row>
    <row r="249" spans="1:17">
      <c r="A249" s="80" t="s">
        <v>526</v>
      </c>
      <c r="B249" s="4">
        <v>0</v>
      </c>
      <c r="C249" s="4">
        <v>0</v>
      </c>
      <c r="D249" s="4">
        <v>45</v>
      </c>
      <c r="E249" s="4">
        <v>0</v>
      </c>
      <c r="F249" s="4">
        <v>50</v>
      </c>
      <c r="G249" s="10">
        <f t="shared" si="114"/>
        <v>0</v>
      </c>
      <c r="H249" s="4">
        <v>0</v>
      </c>
      <c r="I249" s="5">
        <f t="shared" si="118"/>
        <v>0</v>
      </c>
      <c r="J249" s="5">
        <f t="shared" si="119"/>
        <v>0</v>
      </c>
      <c r="K249">
        <v>0</v>
      </c>
      <c r="N249" s="51">
        <v>0</v>
      </c>
    </row>
    <row r="250" spans="1:17" ht="16" thickBot="1">
      <c r="A250" s="80" t="s">
        <v>547</v>
      </c>
      <c r="B250" s="4">
        <v>0</v>
      </c>
      <c r="C250" s="4">
        <v>0</v>
      </c>
      <c r="D250" s="4">
        <v>45</v>
      </c>
      <c r="E250" s="4">
        <v>0</v>
      </c>
      <c r="F250" s="4">
        <v>50</v>
      </c>
      <c r="G250" s="10">
        <f t="shared" si="114"/>
        <v>0</v>
      </c>
      <c r="H250" s="4">
        <v>0</v>
      </c>
      <c r="I250" s="5">
        <f t="shared" si="118"/>
        <v>0</v>
      </c>
      <c r="J250" s="5">
        <f t="shared" si="119"/>
        <v>0</v>
      </c>
      <c r="K250">
        <v>0</v>
      </c>
      <c r="N250" s="51">
        <v>1031</v>
      </c>
    </row>
    <row r="251" spans="1:17" s="86" customFormat="1" ht="20" thickBot="1">
      <c r="A251" s="91" t="s">
        <v>562</v>
      </c>
      <c r="B251" s="8">
        <f>SUM(B252:B258)</f>
        <v>42</v>
      </c>
      <c r="C251" s="8">
        <f>SUM(C252:C258)</f>
        <v>172</v>
      </c>
      <c r="D251" s="8">
        <f>SUM(D252)</f>
        <v>45</v>
      </c>
      <c r="E251" s="8">
        <f>SUM(E252:E258)</f>
        <v>5</v>
      </c>
      <c r="F251" s="8">
        <f>SUM(F252:F258)</f>
        <v>350</v>
      </c>
      <c r="G251" s="93">
        <f t="shared" si="114"/>
        <v>44.866666666666667</v>
      </c>
      <c r="H251" s="8">
        <f>SUM(H252:H258)</f>
        <v>250</v>
      </c>
      <c r="I251" s="9">
        <f>SUM(I252:I258)</f>
        <v>2208.6666666666665</v>
      </c>
      <c r="J251" s="14">
        <f>SUM(J252:J258)</f>
        <v>1958.6666666666665</v>
      </c>
      <c r="K251" s="8">
        <f>SUM(K252:K258)</f>
        <v>133</v>
      </c>
      <c r="L251" s="9">
        <v>0</v>
      </c>
      <c r="M251" s="96">
        <f>J251</f>
        <v>1958.6666666666665</v>
      </c>
      <c r="N251" s="102">
        <f>SUM(N252:N258)</f>
        <v>1725</v>
      </c>
      <c r="O251" s="98">
        <f>4535-N251</f>
        <v>2810</v>
      </c>
    </row>
    <row r="252" spans="1:17">
      <c r="A252" s="145">
        <v>46111</v>
      </c>
      <c r="B252" s="4">
        <v>5</v>
      </c>
      <c r="C252" s="4">
        <v>9</v>
      </c>
      <c r="D252" s="4">
        <v>45</v>
      </c>
      <c r="E252" s="4">
        <v>0</v>
      </c>
      <c r="F252" s="4">
        <v>50</v>
      </c>
      <c r="G252" s="10">
        <f t="shared" si="114"/>
        <v>5.15</v>
      </c>
      <c r="H252" s="4">
        <v>0</v>
      </c>
      <c r="I252" s="5">
        <f t="shared" ref="I252:I258" si="120">G252*D252</f>
        <v>231.75000000000003</v>
      </c>
      <c r="J252" s="5">
        <f t="shared" ref="J252:J258" si="121">I252-H252</f>
        <v>231.75000000000003</v>
      </c>
      <c r="K252">
        <v>17</v>
      </c>
      <c r="N252" s="51">
        <v>0</v>
      </c>
      <c r="O252" s="51"/>
    </row>
    <row r="253" spans="1:17">
      <c r="A253" s="145">
        <v>46112</v>
      </c>
      <c r="B253" s="4">
        <v>0</v>
      </c>
      <c r="C253" s="4">
        <v>0</v>
      </c>
      <c r="D253" s="4">
        <v>45</v>
      </c>
      <c r="E253" s="4">
        <v>0</v>
      </c>
      <c r="F253" s="4">
        <v>50</v>
      </c>
      <c r="G253" s="10">
        <f t="shared" si="114"/>
        <v>0</v>
      </c>
      <c r="H253" s="4">
        <v>0</v>
      </c>
      <c r="I253" s="5">
        <f t="shared" si="120"/>
        <v>0</v>
      </c>
      <c r="J253" s="5">
        <f t="shared" si="121"/>
        <v>0</v>
      </c>
      <c r="K253">
        <v>0</v>
      </c>
      <c r="N253" s="51">
        <v>0</v>
      </c>
    </row>
    <row r="254" spans="1:17">
      <c r="A254" s="145">
        <v>46113</v>
      </c>
      <c r="B254" s="4">
        <v>9</v>
      </c>
      <c r="C254" s="4">
        <v>30</v>
      </c>
      <c r="D254" s="4">
        <v>55</v>
      </c>
      <c r="E254" s="4">
        <v>1</v>
      </c>
      <c r="F254" s="4">
        <v>50</v>
      </c>
      <c r="G254" s="10">
        <f t="shared" si="114"/>
        <v>9.5</v>
      </c>
      <c r="H254" s="4">
        <v>50</v>
      </c>
      <c r="I254" s="5">
        <f t="shared" si="120"/>
        <v>522.5</v>
      </c>
      <c r="J254" s="5">
        <f t="shared" si="121"/>
        <v>472.5</v>
      </c>
      <c r="K254">
        <v>27</v>
      </c>
      <c r="N254" s="83">
        <f>117</f>
        <v>117</v>
      </c>
      <c r="Q254" t="s">
        <v>64</v>
      </c>
    </row>
    <row r="255" spans="1:17">
      <c r="A255" s="145">
        <v>46114</v>
      </c>
      <c r="B255" s="4">
        <v>8</v>
      </c>
      <c r="C255" s="4">
        <v>57</v>
      </c>
      <c r="D255" s="4">
        <v>45</v>
      </c>
      <c r="E255" s="4">
        <v>1</v>
      </c>
      <c r="F255" s="4">
        <v>50</v>
      </c>
      <c r="G255" s="10">
        <f t="shared" si="114"/>
        <v>8.9499999999999993</v>
      </c>
      <c r="H255" s="4">
        <v>50</v>
      </c>
      <c r="I255" s="5">
        <f t="shared" si="120"/>
        <v>402.74999999999994</v>
      </c>
      <c r="J255" s="5">
        <f t="shared" si="121"/>
        <v>352.74999999999994</v>
      </c>
      <c r="K255">
        <v>26</v>
      </c>
      <c r="N255" s="83">
        <f>480</f>
        <v>480</v>
      </c>
    </row>
    <row r="256" spans="1:17">
      <c r="A256" s="145">
        <v>46115</v>
      </c>
      <c r="B256" s="4">
        <v>4</v>
      </c>
      <c r="C256" s="4">
        <v>24</v>
      </c>
      <c r="D256" s="4">
        <v>45</v>
      </c>
      <c r="E256" s="4">
        <v>1</v>
      </c>
      <c r="F256" s="4">
        <v>50</v>
      </c>
      <c r="G256" s="10">
        <f t="shared" si="114"/>
        <v>4.4000000000000004</v>
      </c>
      <c r="H256" s="4">
        <v>50</v>
      </c>
      <c r="I256" s="5">
        <f t="shared" si="120"/>
        <v>198.00000000000003</v>
      </c>
      <c r="J256" s="5">
        <f t="shared" si="121"/>
        <v>148.00000000000003</v>
      </c>
      <c r="K256">
        <v>12</v>
      </c>
      <c r="N256" s="51">
        <v>260</v>
      </c>
    </row>
    <row r="257" spans="1:15">
      <c r="A257" s="145">
        <v>46116</v>
      </c>
      <c r="B257" s="4">
        <v>7</v>
      </c>
      <c r="C257" s="4">
        <v>24</v>
      </c>
      <c r="D257" s="4">
        <v>45</v>
      </c>
      <c r="E257" s="4">
        <v>1</v>
      </c>
      <c r="F257" s="4">
        <v>50</v>
      </c>
      <c r="G257" s="10">
        <f t="shared" si="114"/>
        <v>7.4</v>
      </c>
      <c r="H257" s="4">
        <v>50</v>
      </c>
      <c r="I257" s="5">
        <f t="shared" si="120"/>
        <v>333</v>
      </c>
      <c r="J257" s="5">
        <f t="shared" si="121"/>
        <v>283</v>
      </c>
      <c r="K257">
        <v>24</v>
      </c>
      <c r="N257" s="51">
        <v>168</v>
      </c>
    </row>
    <row r="258" spans="1:15">
      <c r="A258" s="145">
        <v>46117</v>
      </c>
      <c r="B258" s="4">
        <v>9</v>
      </c>
      <c r="C258" s="4">
        <v>28</v>
      </c>
      <c r="D258" s="4">
        <v>55</v>
      </c>
      <c r="E258" s="4">
        <v>1</v>
      </c>
      <c r="F258" s="4">
        <v>50</v>
      </c>
      <c r="G258" s="10">
        <f t="shared" si="114"/>
        <v>9.4666666666666668</v>
      </c>
      <c r="H258" s="4">
        <v>50</v>
      </c>
      <c r="I258" s="5">
        <f t="shared" si="120"/>
        <v>520.66666666666663</v>
      </c>
      <c r="J258" s="5">
        <f t="shared" si="121"/>
        <v>470.66666666666663</v>
      </c>
      <c r="K258">
        <v>27</v>
      </c>
      <c r="N258" s="51">
        <v>700</v>
      </c>
    </row>
    <row r="259" spans="1:15">
      <c r="A259" s="80"/>
      <c r="G259" s="133"/>
      <c r="H259" s="131"/>
      <c r="I259" s="132"/>
      <c r="J259" s="132"/>
      <c r="N259" s="119"/>
    </row>
    <row r="260" spans="1:15" ht="33" customHeight="1" thickBot="1">
      <c r="A260" t="s">
        <v>17</v>
      </c>
      <c r="H260" s="121">
        <f>H3+H11+H19+H27+H35+H75+H83+H91+H99+H107+H115+H123+H131+H139+H147+H155+H163+H171+H179+H187+H195+H203+H211+H219+H227+H235+H243+H251</f>
        <v>6450</v>
      </c>
      <c r="I260" s="121">
        <f t="shared" ref="I260:O260" si="122">I3+I11+I19+I27+I35+I75+I83+I91+I99+I107+I115+I123+I131+I139+I147+I155+I163+I171+I179+I187+I195+I203+I211+I219+I227+I235+I243+I251</f>
        <v>56900.5</v>
      </c>
      <c r="J260" s="121">
        <f t="shared" si="122"/>
        <v>50450.5</v>
      </c>
      <c r="K260" s="122">
        <f t="shared" si="122"/>
        <v>3208</v>
      </c>
      <c r="L260" s="121">
        <f t="shared" si="122"/>
        <v>900</v>
      </c>
      <c r="M260" s="121">
        <f t="shared" si="122"/>
        <v>51350.5</v>
      </c>
      <c r="N260" s="121">
        <f t="shared" si="122"/>
        <v>77680</v>
      </c>
      <c r="O260" s="121">
        <f t="shared" si="122"/>
        <v>22537</v>
      </c>
    </row>
    <row r="261" spans="1:15" ht="16" thickTop="1"/>
  </sheetData>
  <pageMargins left="0.7" right="0.7" top="0.75" bottom="0.75" header="0.3" footer="0.3"/>
  <pageSetup paperSize="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2DD2-E89C-C643-A81F-F2938CCA5412}">
  <dimension ref="A1:T302"/>
  <sheetViews>
    <sheetView workbookViewId="0">
      <pane xSplit="1" ySplit="1" topLeftCell="J274" activePane="bottomRight" state="frozen"/>
      <selection pane="topRight"/>
      <selection pane="bottomLeft"/>
      <selection pane="bottomRight" activeCell="N206" sqref="N206"/>
    </sheetView>
  </sheetViews>
  <sheetFormatPr baseColWidth="10" defaultColWidth="8.6640625" defaultRowHeight="15" customHeight="1"/>
  <cols>
    <col min="1" max="1" width="27.6640625" bestFit="1" customWidth="1"/>
    <col min="3" max="3" width="13.33203125" customWidth="1"/>
    <col min="4" max="4" width="17.6640625" customWidth="1"/>
    <col min="6" max="6" width="16.6640625" customWidth="1"/>
    <col min="7" max="7" width="19" customWidth="1"/>
    <col min="8" max="8" width="18" customWidth="1"/>
    <col min="9" max="9" width="20.5" customWidth="1"/>
    <col min="10" max="10" width="18.6640625" customWidth="1"/>
    <col min="11" max="11" width="17.5" customWidth="1"/>
    <col min="12" max="12" width="12.6640625" bestFit="1" customWidth="1"/>
    <col min="13" max="13" width="17" bestFit="1" customWidth="1"/>
    <col min="14" max="14" width="19.33203125" bestFit="1" customWidth="1"/>
    <col min="15" max="15" width="22.6640625" bestFit="1" customWidth="1"/>
    <col min="16" max="16" width="22.6640625" customWidth="1"/>
    <col min="17" max="17" width="175.5" customWidth="1"/>
  </cols>
  <sheetData>
    <row r="1" spans="1:17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49"/>
      <c r="Q1" s="79" t="s">
        <v>24</v>
      </c>
    </row>
    <row r="2" spans="1:17" ht="19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7" s="86" customFormat="1" ht="19">
      <c r="A3" s="91" t="s">
        <v>453</v>
      </c>
      <c r="B3" s="8">
        <f>SUM(B4:B10)</f>
        <v>31</v>
      </c>
      <c r="C3" s="8">
        <f>SUM(C4:C10)</f>
        <v>122</v>
      </c>
      <c r="D3" s="8">
        <f>SUM(D4)</f>
        <v>45</v>
      </c>
      <c r="E3" s="8">
        <f>SUM(E4:E10)</f>
        <v>5</v>
      </c>
      <c r="F3" s="8">
        <f>SUM(F4:F10)</f>
        <v>350</v>
      </c>
      <c r="G3" s="93">
        <f t="shared" ref="G3" si="0">B3+C3/60</f>
        <v>33.033333333333331</v>
      </c>
      <c r="H3" s="8">
        <f>SUM(H4:H10)</f>
        <v>274.10000000000002</v>
      </c>
      <c r="I3" s="9">
        <f>SUM(I4:I10)</f>
        <v>2028.1666666666665</v>
      </c>
      <c r="J3" s="14">
        <f>SUM(J4:J10)</f>
        <v>1754.0666666666666</v>
      </c>
      <c r="K3" s="8">
        <f>SUM(K4:K10)</f>
        <v>149</v>
      </c>
      <c r="L3" s="9">
        <v>0</v>
      </c>
      <c r="M3" s="96">
        <f>J3+L3</f>
        <v>1754.0666666666666</v>
      </c>
      <c r="N3" s="97">
        <f>SUM(N4:N9)</f>
        <v>2815</v>
      </c>
      <c r="O3" s="98">
        <f>3045-N3</f>
        <v>230</v>
      </c>
      <c r="P3" s="98"/>
    </row>
    <row r="4" spans="1:17">
      <c r="A4" s="80">
        <v>46118</v>
      </c>
      <c r="B4" s="4">
        <v>0</v>
      </c>
      <c r="C4" s="4">
        <v>0</v>
      </c>
      <c r="D4" s="4">
        <v>45</v>
      </c>
      <c r="E4" s="4">
        <v>1</v>
      </c>
      <c r="F4" s="4">
        <v>50</v>
      </c>
      <c r="G4" s="10">
        <f t="shared" ref="G4:G10" si="1">B4+C4/60</f>
        <v>0</v>
      </c>
      <c r="H4" s="4">
        <v>0</v>
      </c>
      <c r="I4" s="5">
        <f t="shared" ref="I4:I10" si="2">G4*D4</f>
        <v>0</v>
      </c>
      <c r="J4" s="5">
        <f>I4-H4</f>
        <v>0</v>
      </c>
      <c r="K4">
        <v>32</v>
      </c>
      <c r="N4" s="51"/>
      <c r="Q4" t="s">
        <v>563</v>
      </c>
    </row>
    <row r="5" spans="1:17">
      <c r="A5" s="80">
        <v>46119</v>
      </c>
      <c r="B5" s="4">
        <v>10</v>
      </c>
      <c r="C5" s="4">
        <v>16</v>
      </c>
      <c r="D5" s="4">
        <v>65</v>
      </c>
      <c r="E5" s="4">
        <v>1</v>
      </c>
      <c r="F5" s="4">
        <v>50</v>
      </c>
      <c r="G5" s="10">
        <f t="shared" si="1"/>
        <v>10.266666666666667</v>
      </c>
      <c r="H5" s="4">
        <v>50</v>
      </c>
      <c r="I5" s="5">
        <f t="shared" si="2"/>
        <v>667.33333333333337</v>
      </c>
      <c r="J5" s="5">
        <f>I5-H5</f>
        <v>617.33333333333337</v>
      </c>
      <c r="K5">
        <v>33</v>
      </c>
      <c r="N5" s="51">
        <v>679</v>
      </c>
    </row>
    <row r="6" spans="1:17">
      <c r="A6" s="80" t="s">
        <v>564</v>
      </c>
      <c r="B6" s="4">
        <v>8</v>
      </c>
      <c r="C6" s="4">
        <v>41</v>
      </c>
      <c r="D6" s="4">
        <v>65</v>
      </c>
      <c r="E6" s="4">
        <v>1</v>
      </c>
      <c r="F6" s="4">
        <v>50</v>
      </c>
      <c r="G6" s="10">
        <f t="shared" si="1"/>
        <v>8.6833333333333336</v>
      </c>
      <c r="H6" s="4">
        <v>50</v>
      </c>
      <c r="I6" s="5">
        <f t="shared" si="2"/>
        <v>564.41666666666663</v>
      </c>
      <c r="J6" s="5">
        <f>I6-H6</f>
        <v>514.41666666666663</v>
      </c>
      <c r="K6">
        <v>32</v>
      </c>
      <c r="N6" s="51">
        <f>1065</f>
        <v>1065</v>
      </c>
      <c r="Q6" t="s">
        <v>565</v>
      </c>
    </row>
    <row r="7" spans="1:17">
      <c r="A7" s="80" t="s">
        <v>566</v>
      </c>
      <c r="B7" s="4">
        <v>5</v>
      </c>
      <c r="C7" s="4">
        <v>57</v>
      </c>
      <c r="D7" s="4">
        <v>45</v>
      </c>
      <c r="E7" s="4">
        <v>1</v>
      </c>
      <c r="F7" s="4">
        <v>50</v>
      </c>
      <c r="G7" s="10">
        <f t="shared" si="1"/>
        <v>5.95</v>
      </c>
      <c r="H7" s="4">
        <f>50+74.1</f>
        <v>124.1</v>
      </c>
      <c r="I7" s="5">
        <f t="shared" si="2"/>
        <v>267.75</v>
      </c>
      <c r="J7" s="5">
        <f t="shared" ref="J7:J10" si="3">I7-H7</f>
        <v>143.65</v>
      </c>
      <c r="K7">
        <v>20</v>
      </c>
      <c r="N7" s="51">
        <f>490</f>
        <v>490</v>
      </c>
      <c r="Q7" t="s">
        <v>567</v>
      </c>
    </row>
    <row r="8" spans="1:17">
      <c r="A8" s="80" t="s">
        <v>568</v>
      </c>
      <c r="B8" s="4">
        <v>8</v>
      </c>
      <c r="C8" s="4">
        <v>8</v>
      </c>
      <c r="D8" s="4">
        <v>65</v>
      </c>
      <c r="E8" s="4">
        <v>1</v>
      </c>
      <c r="F8" s="4">
        <v>50</v>
      </c>
      <c r="G8" s="10">
        <f t="shared" si="1"/>
        <v>8.1333333333333329</v>
      </c>
      <c r="H8" s="4">
        <v>50</v>
      </c>
      <c r="I8" s="5">
        <f t="shared" si="2"/>
        <v>528.66666666666663</v>
      </c>
      <c r="J8" s="5">
        <f t="shared" si="3"/>
        <v>478.66666666666663</v>
      </c>
      <c r="K8">
        <v>32</v>
      </c>
      <c r="N8" s="51">
        <f>581</f>
        <v>581</v>
      </c>
      <c r="Q8" t="s">
        <v>569</v>
      </c>
    </row>
    <row r="9" spans="1:17">
      <c r="A9" s="80" t="s">
        <v>570</v>
      </c>
      <c r="B9" s="4">
        <v>0</v>
      </c>
      <c r="C9" s="4">
        <v>0</v>
      </c>
      <c r="D9" s="4">
        <v>45</v>
      </c>
      <c r="E9" s="4">
        <v>0</v>
      </c>
      <c r="F9" s="4">
        <v>50</v>
      </c>
      <c r="G9" s="10">
        <f t="shared" si="1"/>
        <v>0</v>
      </c>
      <c r="H9" s="4">
        <v>0</v>
      </c>
      <c r="I9" s="5">
        <f t="shared" si="2"/>
        <v>0</v>
      </c>
      <c r="J9" s="5">
        <f t="shared" si="3"/>
        <v>0</v>
      </c>
      <c r="K9">
        <v>0</v>
      </c>
      <c r="N9" s="51">
        <v>0</v>
      </c>
    </row>
    <row r="10" spans="1:17" ht="16" thickBot="1">
      <c r="A10" s="80" t="s">
        <v>571</v>
      </c>
      <c r="B10" s="4">
        <v>0</v>
      </c>
      <c r="C10" s="4">
        <v>0</v>
      </c>
      <c r="D10" s="4">
        <v>45</v>
      </c>
      <c r="E10" s="4">
        <v>0</v>
      </c>
      <c r="F10" s="4">
        <v>50</v>
      </c>
      <c r="G10" s="10">
        <f t="shared" si="1"/>
        <v>0</v>
      </c>
      <c r="H10" s="4">
        <v>0</v>
      </c>
      <c r="I10" s="5">
        <f t="shared" si="2"/>
        <v>0</v>
      </c>
      <c r="J10" s="5">
        <f t="shared" si="3"/>
        <v>0</v>
      </c>
      <c r="K10">
        <v>0</v>
      </c>
      <c r="N10" s="51">
        <v>0</v>
      </c>
    </row>
    <row r="11" spans="1:17" s="86" customFormat="1" ht="19">
      <c r="A11" s="91" t="s">
        <v>463</v>
      </c>
      <c r="B11" s="92">
        <f>SUM(B12:B18)</f>
        <v>72</v>
      </c>
      <c r="C11" s="92">
        <f>SUM(C12:C18)</f>
        <v>227</v>
      </c>
      <c r="D11" s="92">
        <f>SUM(D12)</f>
        <v>65</v>
      </c>
      <c r="E11" s="92">
        <f>SUM(E12:E18)</f>
        <v>7</v>
      </c>
      <c r="F11" s="92">
        <f>SUM(F12:F18)</f>
        <v>350</v>
      </c>
      <c r="G11" s="93">
        <f>B11+C11/60</f>
        <v>75.783333333333331</v>
      </c>
      <c r="H11" s="92">
        <f>SUM(H12:H18)</f>
        <v>350</v>
      </c>
      <c r="I11" s="94">
        <f>SUM(I12:I18)</f>
        <v>4380.916666666667</v>
      </c>
      <c r="J11" s="95">
        <f>SUM(J12:J18)</f>
        <v>4030.9166666666665</v>
      </c>
      <c r="K11" s="8">
        <f>SUM(K12:K18)</f>
        <v>203</v>
      </c>
      <c r="L11" s="9">
        <v>0</v>
      </c>
      <c r="M11" s="96">
        <f>J11+L11</f>
        <v>4030.9166666666665</v>
      </c>
      <c r="N11" s="97">
        <f>SUM(N12:N18)</f>
        <v>5727</v>
      </c>
      <c r="O11" s="98">
        <f>5727-N11</f>
        <v>0</v>
      </c>
      <c r="P11" s="98"/>
    </row>
    <row r="12" spans="1:17">
      <c r="A12" s="6">
        <v>46118</v>
      </c>
      <c r="B12" s="4">
        <v>10</v>
      </c>
      <c r="C12" s="4">
        <v>55</v>
      </c>
      <c r="D12" s="4">
        <v>65</v>
      </c>
      <c r="E12" s="4">
        <v>1</v>
      </c>
      <c r="F12" s="4">
        <v>50</v>
      </c>
      <c r="G12" s="10">
        <f>B12+C12/60</f>
        <v>10.916666666666666</v>
      </c>
      <c r="H12" s="4">
        <v>50</v>
      </c>
      <c r="I12" s="5">
        <f>G12*D12</f>
        <v>709.58333333333326</v>
      </c>
      <c r="J12" s="5">
        <f>I12-H12</f>
        <v>659.58333333333326</v>
      </c>
      <c r="K12">
        <v>32</v>
      </c>
      <c r="M12" t="s">
        <v>26</v>
      </c>
      <c r="N12" s="83">
        <v>736</v>
      </c>
      <c r="Q12" t="s">
        <v>572</v>
      </c>
    </row>
    <row r="13" spans="1:17">
      <c r="A13" s="6">
        <v>46119</v>
      </c>
      <c r="B13" s="4">
        <v>10</v>
      </c>
      <c r="C13" s="4">
        <v>38</v>
      </c>
      <c r="D13" s="4">
        <v>65</v>
      </c>
      <c r="E13" s="4">
        <v>1</v>
      </c>
      <c r="F13" s="4">
        <v>50</v>
      </c>
      <c r="G13" s="10">
        <f t="shared" ref="G13:G72" si="4">B13+C13/60</f>
        <v>10.633333333333333</v>
      </c>
      <c r="H13" s="4">
        <v>50</v>
      </c>
      <c r="I13" s="5">
        <f>G13*D13</f>
        <v>691.16666666666663</v>
      </c>
      <c r="J13" s="5">
        <f t="shared" ref="J13:J18" si="5">I13-H13</f>
        <v>641.16666666666663</v>
      </c>
      <c r="K13">
        <v>32</v>
      </c>
      <c r="N13" s="83">
        <v>562</v>
      </c>
      <c r="Q13" t="s">
        <v>573</v>
      </c>
    </row>
    <row r="14" spans="1:17">
      <c r="A14" s="6">
        <v>46120</v>
      </c>
      <c r="B14" s="4">
        <v>11</v>
      </c>
      <c r="C14" s="4">
        <v>0</v>
      </c>
      <c r="D14" s="4">
        <v>55</v>
      </c>
      <c r="E14" s="4">
        <v>1</v>
      </c>
      <c r="F14" s="4">
        <v>50</v>
      </c>
      <c r="G14" s="10">
        <f t="shared" si="4"/>
        <v>11</v>
      </c>
      <c r="H14" s="4">
        <v>50</v>
      </c>
      <c r="I14" s="5">
        <f t="shared" ref="I14:I18" si="6">G14*D14</f>
        <v>605</v>
      </c>
      <c r="J14" s="5">
        <f t="shared" si="5"/>
        <v>555</v>
      </c>
      <c r="K14">
        <v>28</v>
      </c>
      <c r="N14" s="83">
        <f>675</f>
        <v>675</v>
      </c>
      <c r="Q14" t="s">
        <v>574</v>
      </c>
    </row>
    <row r="15" spans="1:17">
      <c r="A15" s="6">
        <v>46121</v>
      </c>
      <c r="B15" s="4">
        <v>11</v>
      </c>
      <c r="C15" s="4">
        <v>0</v>
      </c>
      <c r="D15" s="4">
        <v>45</v>
      </c>
      <c r="E15" s="4">
        <v>1</v>
      </c>
      <c r="F15" s="4">
        <v>50</v>
      </c>
      <c r="G15" s="10">
        <f t="shared" si="4"/>
        <v>11</v>
      </c>
      <c r="H15" s="4">
        <v>50</v>
      </c>
      <c r="I15" s="5">
        <f t="shared" si="6"/>
        <v>495</v>
      </c>
      <c r="J15" s="5">
        <f t="shared" si="5"/>
        <v>445</v>
      </c>
      <c r="K15">
        <v>25</v>
      </c>
      <c r="N15" s="83">
        <f>1026</f>
        <v>1026</v>
      </c>
      <c r="Q15" t="s">
        <v>575</v>
      </c>
    </row>
    <row r="16" spans="1:17">
      <c r="A16" s="6">
        <v>46122</v>
      </c>
      <c r="B16" s="4">
        <v>10</v>
      </c>
      <c r="C16" s="4">
        <v>45</v>
      </c>
      <c r="D16" s="4">
        <v>45</v>
      </c>
      <c r="E16" s="4">
        <v>1</v>
      </c>
      <c r="F16" s="4">
        <v>50</v>
      </c>
      <c r="G16" s="10">
        <f t="shared" si="4"/>
        <v>10.75</v>
      </c>
      <c r="H16" s="4">
        <v>50</v>
      </c>
      <c r="I16" s="5">
        <f t="shared" si="6"/>
        <v>483.75</v>
      </c>
      <c r="J16" s="5">
        <f t="shared" si="5"/>
        <v>433.75</v>
      </c>
      <c r="K16">
        <v>22</v>
      </c>
      <c r="N16" s="83">
        <f>665</f>
        <v>665</v>
      </c>
      <c r="Q16" t="s">
        <v>576</v>
      </c>
    </row>
    <row r="17" spans="1:17">
      <c r="A17" s="6">
        <v>46123</v>
      </c>
      <c r="B17" s="4">
        <v>10</v>
      </c>
      <c r="C17" s="4">
        <v>33</v>
      </c>
      <c r="D17" s="4">
        <v>65</v>
      </c>
      <c r="E17" s="4">
        <v>1</v>
      </c>
      <c r="F17" s="4">
        <v>50</v>
      </c>
      <c r="G17" s="10">
        <f t="shared" si="4"/>
        <v>10.55</v>
      </c>
      <c r="H17" s="4">
        <v>50</v>
      </c>
      <c r="I17" s="5">
        <f t="shared" si="6"/>
        <v>685.75</v>
      </c>
      <c r="J17" s="5">
        <f t="shared" si="5"/>
        <v>635.75</v>
      </c>
      <c r="K17">
        <v>32</v>
      </c>
      <c r="N17" s="83">
        <f>955</f>
        <v>955</v>
      </c>
    </row>
    <row r="18" spans="1:17" ht="16" thickBot="1">
      <c r="A18" s="6">
        <v>46124</v>
      </c>
      <c r="B18" s="4">
        <v>10</v>
      </c>
      <c r="C18" s="4">
        <v>56</v>
      </c>
      <c r="D18" s="4">
        <v>65</v>
      </c>
      <c r="E18" s="4">
        <v>1</v>
      </c>
      <c r="F18" s="4">
        <v>50</v>
      </c>
      <c r="G18" s="10">
        <f t="shared" si="4"/>
        <v>10.933333333333334</v>
      </c>
      <c r="H18" s="4">
        <v>50</v>
      </c>
      <c r="I18" s="5">
        <f t="shared" si="6"/>
        <v>710.66666666666663</v>
      </c>
      <c r="J18" s="5">
        <f t="shared" si="5"/>
        <v>660.66666666666663</v>
      </c>
      <c r="K18">
        <v>32</v>
      </c>
      <c r="N18" s="51">
        <v>1108</v>
      </c>
    </row>
    <row r="19" spans="1:17" s="86" customFormat="1" ht="19">
      <c r="A19" s="91" t="s">
        <v>465</v>
      </c>
      <c r="B19" s="8">
        <f>SUM(B20:B26)</f>
        <v>55</v>
      </c>
      <c r="C19" s="8">
        <f>SUM(C20:C26)</f>
        <v>164</v>
      </c>
      <c r="D19" s="8">
        <f>SUM(D20)</f>
        <v>0</v>
      </c>
      <c r="E19" s="8"/>
      <c r="F19" s="8">
        <f>SUM(F20:F25)</f>
        <v>250</v>
      </c>
      <c r="G19" s="93">
        <f t="shared" si="4"/>
        <v>57.733333333333334</v>
      </c>
      <c r="H19" s="8">
        <f>SUM(H20:H26)</f>
        <v>330</v>
      </c>
      <c r="I19" s="9">
        <f>SUM(I20:I26)</f>
        <v>3375.8333333333335</v>
      </c>
      <c r="J19" s="14">
        <f>SUM(J20:J26)</f>
        <v>3045.8333333333335</v>
      </c>
      <c r="K19" s="8">
        <f>SUM(K20:K26)</f>
        <v>174</v>
      </c>
      <c r="L19" s="9">
        <v>0</v>
      </c>
      <c r="M19" s="96">
        <f>J19+L19</f>
        <v>3045.8333333333335</v>
      </c>
      <c r="N19" s="99">
        <f>SUM(N20:N26)</f>
        <v>5076</v>
      </c>
      <c r="O19" s="98">
        <f>4874-N19</f>
        <v>-202</v>
      </c>
      <c r="P19" s="98"/>
    </row>
    <row r="20" spans="1:17">
      <c r="A20" s="6">
        <v>46118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10">
        <f>B20+C20/60</f>
        <v>0</v>
      </c>
      <c r="H20" s="4">
        <v>0</v>
      </c>
      <c r="I20" s="5">
        <f t="shared" ref="I20:I50" si="7">G20*D20</f>
        <v>0</v>
      </c>
      <c r="J20" s="5">
        <f t="shared" ref="J20:J58" si="8">I20-H20</f>
        <v>0</v>
      </c>
      <c r="K20">
        <v>0</v>
      </c>
      <c r="N20" s="51">
        <v>0</v>
      </c>
    </row>
    <row r="21" spans="1:17">
      <c r="A21" s="80" t="s">
        <v>515</v>
      </c>
      <c r="B21" s="4">
        <v>10</v>
      </c>
      <c r="C21" s="4">
        <v>20</v>
      </c>
      <c r="D21" s="4">
        <v>65</v>
      </c>
      <c r="E21" s="4">
        <v>1</v>
      </c>
      <c r="F21" s="4">
        <v>50</v>
      </c>
      <c r="G21" s="10">
        <f t="shared" ref="G21:G26" si="9">B21+C21/60</f>
        <v>10.333333333333334</v>
      </c>
      <c r="H21" s="4">
        <v>50</v>
      </c>
      <c r="I21" s="5">
        <f t="shared" si="7"/>
        <v>671.66666666666674</v>
      </c>
      <c r="J21" s="5">
        <f t="shared" si="8"/>
        <v>621.66666666666674</v>
      </c>
      <c r="K21">
        <v>32</v>
      </c>
      <c r="N21" s="83">
        <v>1100</v>
      </c>
      <c r="Q21" t="s">
        <v>577</v>
      </c>
    </row>
    <row r="22" spans="1:17">
      <c r="A22" s="80" t="s">
        <v>564</v>
      </c>
      <c r="B22" s="4">
        <v>9</v>
      </c>
      <c r="C22" s="4">
        <v>54</v>
      </c>
      <c r="D22" s="4">
        <v>55</v>
      </c>
      <c r="E22" s="4">
        <v>1</v>
      </c>
      <c r="F22" s="4">
        <v>50</v>
      </c>
      <c r="G22" s="10">
        <f t="shared" si="9"/>
        <v>9.9</v>
      </c>
      <c r="H22" s="4">
        <v>50</v>
      </c>
      <c r="I22" s="5">
        <f t="shared" si="7"/>
        <v>544.5</v>
      </c>
      <c r="J22" s="5">
        <f t="shared" si="8"/>
        <v>494.5</v>
      </c>
      <c r="K22">
        <v>29</v>
      </c>
      <c r="N22" s="83">
        <v>650</v>
      </c>
      <c r="Q22" t="s">
        <v>578</v>
      </c>
    </row>
    <row r="23" spans="1:17">
      <c r="A23" s="80" t="s">
        <v>566</v>
      </c>
      <c r="B23" s="4">
        <v>8</v>
      </c>
      <c r="C23" s="4">
        <v>47</v>
      </c>
      <c r="D23" s="4">
        <v>65</v>
      </c>
      <c r="E23" s="4">
        <v>1</v>
      </c>
      <c r="F23" s="4">
        <v>50</v>
      </c>
      <c r="G23" s="10">
        <f t="shared" si="9"/>
        <v>8.7833333333333332</v>
      </c>
      <c r="H23" s="4">
        <v>50</v>
      </c>
      <c r="I23" s="5">
        <f t="shared" si="7"/>
        <v>570.91666666666663</v>
      </c>
      <c r="J23" s="5">
        <f t="shared" si="8"/>
        <v>520.91666666666663</v>
      </c>
      <c r="K23">
        <v>33</v>
      </c>
      <c r="N23" s="51">
        <v>800</v>
      </c>
      <c r="Q23" t="s">
        <v>579</v>
      </c>
    </row>
    <row r="24" spans="1:17">
      <c r="A24" s="80" t="s">
        <v>568</v>
      </c>
      <c r="B24" s="4">
        <v>10</v>
      </c>
      <c r="C24" s="4">
        <v>13</v>
      </c>
      <c r="D24" s="4">
        <v>65</v>
      </c>
      <c r="E24" s="4">
        <v>1</v>
      </c>
      <c r="F24" s="4">
        <v>50</v>
      </c>
      <c r="G24" s="10">
        <f t="shared" si="9"/>
        <v>10.216666666666667</v>
      </c>
      <c r="H24" s="4">
        <v>50</v>
      </c>
      <c r="I24" s="5">
        <f t="shared" si="7"/>
        <v>664.08333333333337</v>
      </c>
      <c r="J24" s="5">
        <f t="shared" si="8"/>
        <v>614.08333333333337</v>
      </c>
      <c r="K24">
        <v>33</v>
      </c>
      <c r="N24" s="51">
        <v>800</v>
      </c>
      <c r="Q24" t="s">
        <v>580</v>
      </c>
    </row>
    <row r="25" spans="1:17">
      <c r="A25" s="80" t="s">
        <v>570</v>
      </c>
      <c r="B25" s="4">
        <v>9</v>
      </c>
      <c r="C25" s="4">
        <v>17</v>
      </c>
      <c r="D25" s="4">
        <v>45</v>
      </c>
      <c r="E25" s="4">
        <v>1</v>
      </c>
      <c r="F25" s="4">
        <v>50</v>
      </c>
      <c r="G25" s="10">
        <f t="shared" si="9"/>
        <v>9.2833333333333332</v>
      </c>
      <c r="H25" s="4">
        <f>50+30</f>
        <v>80</v>
      </c>
      <c r="I25" s="5">
        <f t="shared" si="7"/>
        <v>417.75</v>
      </c>
      <c r="J25" s="5">
        <f t="shared" si="8"/>
        <v>337.75</v>
      </c>
      <c r="K25">
        <v>21</v>
      </c>
      <c r="N25" s="51">
        <v>466</v>
      </c>
      <c r="Q25" t="s">
        <v>581</v>
      </c>
    </row>
    <row r="26" spans="1:17" ht="16" thickBot="1">
      <c r="A26" s="80" t="s">
        <v>571</v>
      </c>
      <c r="B26" s="4">
        <v>9</v>
      </c>
      <c r="C26" s="4">
        <v>13</v>
      </c>
      <c r="D26" s="4">
        <v>55</v>
      </c>
      <c r="E26" s="4">
        <v>1</v>
      </c>
      <c r="F26" s="4">
        <v>0</v>
      </c>
      <c r="G26" s="10">
        <f t="shared" si="9"/>
        <v>9.2166666666666668</v>
      </c>
      <c r="H26" s="4">
        <v>50</v>
      </c>
      <c r="I26" s="5">
        <f t="shared" si="7"/>
        <v>506.91666666666669</v>
      </c>
      <c r="J26" s="5">
        <f t="shared" si="8"/>
        <v>456.91666666666669</v>
      </c>
      <c r="K26">
        <v>26</v>
      </c>
      <c r="N26" s="51">
        <f>800+460</f>
        <v>1260</v>
      </c>
    </row>
    <row r="27" spans="1:17" s="86" customFormat="1" ht="19">
      <c r="A27" s="91" t="s">
        <v>468</v>
      </c>
      <c r="B27" s="8">
        <f>SUM(B28:B34)</f>
        <v>59</v>
      </c>
      <c r="C27" s="8">
        <f>SUM(C28:C34)</f>
        <v>179</v>
      </c>
      <c r="D27" s="8">
        <f>SUM(D28)</f>
        <v>65</v>
      </c>
      <c r="E27" s="8">
        <f>SUM(E28:E34)</f>
        <v>7</v>
      </c>
      <c r="F27" s="8">
        <f>SUM(F28:F34)</f>
        <v>350</v>
      </c>
      <c r="G27" s="93">
        <f>B27+C27/60</f>
        <v>61.983333333333334</v>
      </c>
      <c r="H27" s="8">
        <f>SUM(H28:H34)</f>
        <v>300</v>
      </c>
      <c r="I27" s="9">
        <f>SUM(I28:I34)</f>
        <v>4028.9166666666665</v>
      </c>
      <c r="J27" s="14">
        <f>SUM(J28:J34)</f>
        <v>3728.9166666666665</v>
      </c>
      <c r="K27" s="8">
        <f>SUM(K28:K34)</f>
        <v>222</v>
      </c>
      <c r="L27" s="9">
        <v>0</v>
      </c>
      <c r="M27" s="96">
        <f>J27+L27</f>
        <v>3728.9166666666665</v>
      </c>
      <c r="N27" s="99">
        <f>SUM(N28:N34)</f>
        <v>7184</v>
      </c>
      <c r="O27" s="98">
        <f>7184-N27</f>
        <v>0</v>
      </c>
      <c r="P27" s="98"/>
    </row>
    <row r="28" spans="1:17">
      <c r="A28" s="6">
        <v>46119</v>
      </c>
      <c r="B28" s="4">
        <v>10</v>
      </c>
      <c r="C28" s="4">
        <v>32</v>
      </c>
      <c r="D28" s="4">
        <v>65</v>
      </c>
      <c r="E28" s="4">
        <v>1</v>
      </c>
      <c r="F28" s="4">
        <v>50</v>
      </c>
      <c r="G28" s="10">
        <f>B28+C28/60</f>
        <v>10.533333333333333</v>
      </c>
      <c r="H28" s="4">
        <v>50</v>
      </c>
      <c r="I28" s="5">
        <f>G28*D28</f>
        <v>684.66666666666663</v>
      </c>
      <c r="J28" s="5">
        <f>I28-H28</f>
        <v>634.66666666666663</v>
      </c>
      <c r="K28">
        <v>39</v>
      </c>
      <c r="N28" s="51">
        <v>1000</v>
      </c>
      <c r="Q28" t="s">
        <v>582</v>
      </c>
    </row>
    <row r="29" spans="1:17">
      <c r="A29" s="6">
        <v>46120</v>
      </c>
      <c r="B29" s="4">
        <v>10</v>
      </c>
      <c r="C29" s="4">
        <v>8</v>
      </c>
      <c r="D29" s="4">
        <v>65</v>
      </c>
      <c r="E29" s="4">
        <v>1</v>
      </c>
      <c r="F29" s="4">
        <v>50</v>
      </c>
      <c r="G29" s="10">
        <f t="shared" ref="G29:G34" si="10">B29+C29/60</f>
        <v>10.133333333333333</v>
      </c>
      <c r="H29" s="4">
        <v>50</v>
      </c>
      <c r="I29" s="5">
        <f>G29*D29</f>
        <v>658.66666666666663</v>
      </c>
      <c r="J29" s="5">
        <f>I29-H29</f>
        <v>608.66666666666663</v>
      </c>
      <c r="K29">
        <v>38</v>
      </c>
      <c r="N29" s="51">
        <f>1200</f>
        <v>1200</v>
      </c>
      <c r="Q29" t="s">
        <v>583</v>
      </c>
    </row>
    <row r="30" spans="1:17">
      <c r="A30" s="6">
        <v>46121</v>
      </c>
      <c r="B30" s="4">
        <v>10</v>
      </c>
      <c r="C30" s="4">
        <v>28</v>
      </c>
      <c r="D30" s="4">
        <v>65</v>
      </c>
      <c r="E30" s="4">
        <v>1</v>
      </c>
      <c r="F30" s="4">
        <v>50</v>
      </c>
      <c r="G30" s="10">
        <f t="shared" si="10"/>
        <v>10.466666666666667</v>
      </c>
      <c r="H30" s="4">
        <v>50</v>
      </c>
      <c r="I30" s="5">
        <f t="shared" ref="I30:I34" si="11">G30*D30</f>
        <v>680.33333333333337</v>
      </c>
      <c r="J30" s="5">
        <f t="shared" ref="J30:J34" si="12">I30-H30</f>
        <v>630.33333333333337</v>
      </c>
      <c r="K30">
        <v>36</v>
      </c>
      <c r="N30" s="51">
        <f>1140</f>
        <v>1140</v>
      </c>
      <c r="Q30" t="s">
        <v>584</v>
      </c>
    </row>
    <row r="31" spans="1:17">
      <c r="A31" s="6">
        <v>46122</v>
      </c>
      <c r="B31" s="4">
        <v>10</v>
      </c>
      <c r="C31" s="4">
        <v>21</v>
      </c>
      <c r="D31" s="4">
        <v>65</v>
      </c>
      <c r="E31" s="4">
        <v>1</v>
      </c>
      <c r="F31" s="4">
        <v>50</v>
      </c>
      <c r="G31" s="10">
        <f t="shared" si="10"/>
        <v>10.35</v>
      </c>
      <c r="H31" s="4">
        <v>50</v>
      </c>
      <c r="I31" s="5">
        <f t="shared" si="11"/>
        <v>672.75</v>
      </c>
      <c r="J31" s="5">
        <f t="shared" si="12"/>
        <v>622.75</v>
      </c>
      <c r="K31">
        <v>37</v>
      </c>
      <c r="N31" s="51">
        <f>850</f>
        <v>850</v>
      </c>
      <c r="Q31" t="s">
        <v>585</v>
      </c>
    </row>
    <row r="32" spans="1:17">
      <c r="A32" s="6">
        <v>46123</v>
      </c>
      <c r="B32" s="4">
        <v>9</v>
      </c>
      <c r="C32" s="4">
        <v>45</v>
      </c>
      <c r="D32" s="4">
        <v>65</v>
      </c>
      <c r="E32" s="4">
        <v>1</v>
      </c>
      <c r="F32" s="7">
        <v>50</v>
      </c>
      <c r="G32" s="10">
        <f t="shared" si="10"/>
        <v>9.75</v>
      </c>
      <c r="H32" s="4">
        <v>50</v>
      </c>
      <c r="I32" s="5">
        <f t="shared" si="11"/>
        <v>633.75</v>
      </c>
      <c r="J32" s="5">
        <f t="shared" si="12"/>
        <v>583.75</v>
      </c>
      <c r="K32">
        <v>35</v>
      </c>
      <c r="N32" s="51">
        <f>1160</f>
        <v>1160</v>
      </c>
    </row>
    <row r="33" spans="1:17">
      <c r="A33" s="6">
        <v>46124</v>
      </c>
      <c r="B33" s="4">
        <v>10</v>
      </c>
      <c r="C33" s="4">
        <v>45</v>
      </c>
      <c r="D33" s="4">
        <v>65</v>
      </c>
      <c r="E33" s="4">
        <v>1</v>
      </c>
      <c r="F33" s="4">
        <v>50</v>
      </c>
      <c r="G33" s="10">
        <f>B33+C33/60</f>
        <v>10.75</v>
      </c>
      <c r="H33" s="4">
        <v>50</v>
      </c>
      <c r="I33" s="5">
        <f>G33*D33</f>
        <v>698.75</v>
      </c>
      <c r="J33" s="5">
        <f>I33-H33</f>
        <v>648.75</v>
      </c>
      <c r="K33">
        <v>37</v>
      </c>
      <c r="N33" s="51">
        <f>1210</f>
        <v>1210</v>
      </c>
    </row>
    <row r="34" spans="1:17" ht="16" thickBot="1">
      <c r="A34" s="6">
        <v>46125</v>
      </c>
      <c r="B34" s="4">
        <v>0</v>
      </c>
      <c r="C34" s="4">
        <v>0</v>
      </c>
      <c r="D34" s="4">
        <v>45</v>
      </c>
      <c r="E34" s="4">
        <v>1</v>
      </c>
      <c r="F34" s="4">
        <v>50</v>
      </c>
      <c r="G34" s="10">
        <f t="shared" si="10"/>
        <v>0</v>
      </c>
      <c r="H34" s="4">
        <v>0</v>
      </c>
      <c r="I34" s="5">
        <f t="shared" si="11"/>
        <v>0</v>
      </c>
      <c r="J34" s="5">
        <f t="shared" si="12"/>
        <v>0</v>
      </c>
      <c r="K34">
        <v>0</v>
      </c>
      <c r="N34" s="51">
        <v>624</v>
      </c>
    </row>
    <row r="35" spans="1:17" s="86" customFormat="1" ht="19">
      <c r="A35" s="91" t="s">
        <v>475</v>
      </c>
      <c r="B35" s="8">
        <f>SUM(B36:B42)</f>
        <v>37</v>
      </c>
      <c r="C35" s="8">
        <f>SUM(C36:C42)</f>
        <v>116</v>
      </c>
      <c r="D35" s="8">
        <f>SUM(D36)</f>
        <v>45</v>
      </c>
      <c r="E35" s="8">
        <f>SUM(E36:E42)</f>
        <v>4</v>
      </c>
      <c r="F35" s="8">
        <f>SUM(F36:F42)</f>
        <v>350</v>
      </c>
      <c r="G35" s="93">
        <f t="shared" si="4"/>
        <v>38.93333333333333</v>
      </c>
      <c r="H35" s="8">
        <f>SUM(H36:H42)</f>
        <v>200</v>
      </c>
      <c r="I35" s="9">
        <f>SUM(I36:I42)</f>
        <v>1752</v>
      </c>
      <c r="J35" s="14">
        <f>SUM(J36:J42)</f>
        <v>1552</v>
      </c>
      <c r="K35" s="8">
        <f>SUM(K36:K42)</f>
        <v>77</v>
      </c>
      <c r="L35" s="9">
        <v>0</v>
      </c>
      <c r="M35" s="96">
        <f>J35+L35</f>
        <v>1552</v>
      </c>
      <c r="N35" s="129">
        <f>SUM(N36:N42)</f>
        <v>1731</v>
      </c>
      <c r="O35" s="98">
        <f>1796-N35</f>
        <v>65</v>
      </c>
      <c r="P35" s="98"/>
    </row>
    <row r="36" spans="1:17" ht="19.25" customHeight="1">
      <c r="A36" s="146" t="s">
        <v>526</v>
      </c>
      <c r="B36" s="4">
        <v>9</v>
      </c>
      <c r="C36" s="4">
        <v>1</v>
      </c>
      <c r="D36" s="4">
        <v>45</v>
      </c>
      <c r="E36" s="4">
        <v>1</v>
      </c>
      <c r="F36" s="4">
        <v>50</v>
      </c>
      <c r="G36" s="10">
        <f>B36+C36/60</f>
        <v>9.0166666666666675</v>
      </c>
      <c r="H36" s="4">
        <v>50</v>
      </c>
      <c r="I36" s="5">
        <f t="shared" ref="I36:I42" si="13">G36*D36</f>
        <v>405.75000000000006</v>
      </c>
      <c r="J36" s="5">
        <f t="shared" ref="J36:J42" si="14">I36-H36</f>
        <v>355.75000000000006</v>
      </c>
      <c r="K36">
        <v>17</v>
      </c>
      <c r="N36" s="119">
        <v>0</v>
      </c>
      <c r="O36" s="49"/>
      <c r="P36" s="49"/>
      <c r="Q36" t="s">
        <v>586</v>
      </c>
    </row>
    <row r="37" spans="1:17" ht="16.25" customHeight="1">
      <c r="A37" s="146" t="s">
        <v>547</v>
      </c>
      <c r="B37" s="4">
        <v>0</v>
      </c>
      <c r="C37" s="4">
        <v>0</v>
      </c>
      <c r="D37" s="4">
        <v>45</v>
      </c>
      <c r="E37" s="4">
        <v>0</v>
      </c>
      <c r="F37" s="4">
        <v>50</v>
      </c>
      <c r="G37" s="10">
        <f t="shared" ref="G37:G41" si="15">B37+C37/60</f>
        <v>0</v>
      </c>
      <c r="H37" s="4">
        <v>0</v>
      </c>
      <c r="I37" s="5">
        <f t="shared" si="13"/>
        <v>0</v>
      </c>
      <c r="J37" s="5">
        <f t="shared" si="14"/>
        <v>0</v>
      </c>
      <c r="K37">
        <v>0</v>
      </c>
      <c r="N37" s="119">
        <v>0</v>
      </c>
      <c r="O37" s="49"/>
      <c r="P37" s="49"/>
    </row>
    <row r="38" spans="1:17">
      <c r="A38" s="146" t="s">
        <v>587</v>
      </c>
      <c r="B38" s="4">
        <v>0</v>
      </c>
      <c r="C38" s="4">
        <v>0</v>
      </c>
      <c r="D38" s="4">
        <v>45</v>
      </c>
      <c r="E38" s="4">
        <v>0</v>
      </c>
      <c r="F38" s="4">
        <v>50</v>
      </c>
      <c r="G38" s="10">
        <f t="shared" si="15"/>
        <v>0</v>
      </c>
      <c r="H38" s="4">
        <v>0</v>
      </c>
      <c r="I38" s="5">
        <f t="shared" si="13"/>
        <v>0</v>
      </c>
      <c r="J38" s="5">
        <f t="shared" si="14"/>
        <v>0</v>
      </c>
      <c r="K38">
        <v>0</v>
      </c>
      <c r="N38" s="119">
        <v>0</v>
      </c>
    </row>
    <row r="39" spans="1:17">
      <c r="A39" s="146" t="s">
        <v>564</v>
      </c>
      <c r="B39" s="4">
        <v>0</v>
      </c>
      <c r="C39" s="4">
        <v>0</v>
      </c>
      <c r="D39" s="4">
        <v>45</v>
      </c>
      <c r="E39" s="4">
        <v>0</v>
      </c>
      <c r="F39" s="4">
        <v>50</v>
      </c>
      <c r="G39" s="10">
        <f t="shared" si="15"/>
        <v>0</v>
      </c>
      <c r="H39" s="4">
        <v>0</v>
      </c>
      <c r="I39" s="5">
        <f t="shared" si="13"/>
        <v>0</v>
      </c>
      <c r="J39" s="5">
        <f t="shared" si="14"/>
        <v>0</v>
      </c>
      <c r="K39">
        <v>0</v>
      </c>
      <c r="N39" s="119">
        <f>370</f>
        <v>370</v>
      </c>
    </row>
    <row r="40" spans="1:17">
      <c r="A40" s="146" t="s">
        <v>566</v>
      </c>
      <c r="B40" s="4">
        <v>8</v>
      </c>
      <c r="C40" s="4">
        <v>50</v>
      </c>
      <c r="D40" s="4">
        <v>45</v>
      </c>
      <c r="E40" s="4">
        <v>1</v>
      </c>
      <c r="F40" s="4">
        <v>50</v>
      </c>
      <c r="G40" s="10">
        <f t="shared" si="15"/>
        <v>8.8333333333333339</v>
      </c>
      <c r="H40" s="4">
        <v>50</v>
      </c>
      <c r="I40" s="5">
        <f t="shared" si="13"/>
        <v>397.5</v>
      </c>
      <c r="J40" s="5">
        <f t="shared" si="14"/>
        <v>347.5</v>
      </c>
      <c r="K40">
        <v>17</v>
      </c>
      <c r="N40" s="119">
        <f>253</f>
        <v>253</v>
      </c>
      <c r="Q40" t="s">
        <v>588</v>
      </c>
    </row>
    <row r="41" spans="1:17">
      <c r="A41" s="146" t="s">
        <v>570</v>
      </c>
      <c r="B41" s="4">
        <v>10</v>
      </c>
      <c r="C41" s="4">
        <v>43</v>
      </c>
      <c r="D41" s="4">
        <v>45</v>
      </c>
      <c r="E41" s="4">
        <v>1</v>
      </c>
      <c r="F41" s="4">
        <v>50</v>
      </c>
      <c r="G41" s="10">
        <f t="shared" si="15"/>
        <v>10.716666666666667</v>
      </c>
      <c r="H41" s="4">
        <v>50</v>
      </c>
      <c r="I41" s="5">
        <f t="shared" si="13"/>
        <v>482.25</v>
      </c>
      <c r="J41" s="5">
        <f t="shared" si="14"/>
        <v>432.25</v>
      </c>
      <c r="K41">
        <v>21</v>
      </c>
      <c r="N41" s="119">
        <f>448</f>
        <v>448</v>
      </c>
      <c r="Q41" s="51" t="s">
        <v>589</v>
      </c>
    </row>
    <row r="42" spans="1:17" ht="16" thickBot="1">
      <c r="A42" s="146" t="s">
        <v>571</v>
      </c>
      <c r="B42" s="4">
        <v>10</v>
      </c>
      <c r="C42" s="4">
        <v>22</v>
      </c>
      <c r="D42" s="4">
        <v>45</v>
      </c>
      <c r="E42" s="4">
        <v>1</v>
      </c>
      <c r="F42" s="4">
        <v>50</v>
      </c>
      <c r="G42" s="10">
        <f>B42+C42/60</f>
        <v>10.366666666666667</v>
      </c>
      <c r="H42" s="4">
        <v>50</v>
      </c>
      <c r="I42" s="5">
        <f t="shared" si="13"/>
        <v>466.5</v>
      </c>
      <c r="J42" s="5">
        <f t="shared" si="14"/>
        <v>416.5</v>
      </c>
      <c r="K42">
        <v>22</v>
      </c>
      <c r="L42" s="1"/>
      <c r="N42" s="119">
        <f>660</f>
        <v>660</v>
      </c>
    </row>
    <row r="43" spans="1:17" s="86" customFormat="1" ht="19" hidden="1">
      <c r="A43" s="91" t="s">
        <v>482</v>
      </c>
      <c r="B43" s="8">
        <f>SUM(B44:B50)</f>
        <v>0</v>
      </c>
      <c r="C43" s="8">
        <f>SUM(C44:C50)</f>
        <v>0</v>
      </c>
      <c r="D43" s="8">
        <f>SUM(D44)</f>
        <v>45</v>
      </c>
      <c r="E43" s="8">
        <f>SUM(E44:E50)</f>
        <v>7</v>
      </c>
      <c r="F43" s="8">
        <f>SUM(F44:F50)</f>
        <v>350</v>
      </c>
      <c r="G43" s="93">
        <f t="shared" si="4"/>
        <v>0</v>
      </c>
      <c r="H43" s="8">
        <f>SUM(H44:H50)</f>
        <v>0</v>
      </c>
      <c r="I43" s="100">
        <f>SUM(I44:I50)</f>
        <v>0</v>
      </c>
      <c r="J43" s="101">
        <f>SUM(J44:J50)</f>
        <v>0</v>
      </c>
      <c r="K43" s="8">
        <f>SUM(K44:K50)</f>
        <v>0</v>
      </c>
      <c r="L43" s="104">
        <v>0</v>
      </c>
      <c r="M43" s="96">
        <f>J43+L43</f>
        <v>0</v>
      </c>
      <c r="N43" s="99">
        <f>SUM(N44:N50)</f>
        <v>0</v>
      </c>
      <c r="O43" s="98">
        <v>0</v>
      </c>
      <c r="P43" s="98"/>
    </row>
    <row r="44" spans="1:17" hidden="1">
      <c r="A44" s="145">
        <v>46111</v>
      </c>
      <c r="B44" s="4">
        <v>0</v>
      </c>
      <c r="C44" s="4">
        <v>0</v>
      </c>
      <c r="D44" s="4">
        <v>45</v>
      </c>
      <c r="E44" s="4">
        <v>1</v>
      </c>
      <c r="F44" s="4">
        <v>50</v>
      </c>
      <c r="G44" s="10">
        <f t="shared" si="4"/>
        <v>0</v>
      </c>
      <c r="H44" s="4">
        <v>0</v>
      </c>
      <c r="I44" s="5">
        <f t="shared" si="7"/>
        <v>0</v>
      </c>
      <c r="J44" s="5">
        <f>I44-H44</f>
        <v>0</v>
      </c>
      <c r="K44">
        <v>0</v>
      </c>
      <c r="N44" s="87">
        <v>0</v>
      </c>
    </row>
    <row r="45" spans="1:17" hidden="1">
      <c r="A45" s="145">
        <v>46112</v>
      </c>
      <c r="B45" s="4">
        <v>0</v>
      </c>
      <c r="C45" s="4">
        <v>0</v>
      </c>
      <c r="D45" s="4">
        <v>45</v>
      </c>
      <c r="E45" s="4">
        <v>1</v>
      </c>
      <c r="F45" s="4">
        <v>50</v>
      </c>
      <c r="G45" s="10">
        <f t="shared" si="4"/>
        <v>0</v>
      </c>
      <c r="H45" s="4">
        <v>0</v>
      </c>
      <c r="I45" s="5">
        <f t="shared" si="7"/>
        <v>0</v>
      </c>
      <c r="J45" s="5">
        <f t="shared" ref="J45:J50" si="16">I45-H45</f>
        <v>0</v>
      </c>
      <c r="K45">
        <v>0</v>
      </c>
      <c r="N45" s="81">
        <v>0</v>
      </c>
    </row>
    <row r="46" spans="1:17" hidden="1">
      <c r="A46" s="145">
        <v>46113</v>
      </c>
      <c r="B46" s="4">
        <v>0</v>
      </c>
      <c r="C46" s="4">
        <v>0</v>
      </c>
      <c r="D46" s="4">
        <v>45</v>
      </c>
      <c r="E46" s="4">
        <v>1</v>
      </c>
      <c r="F46" s="4">
        <v>50</v>
      </c>
      <c r="G46" s="10">
        <f t="shared" si="4"/>
        <v>0</v>
      </c>
      <c r="H46" s="4">
        <v>0</v>
      </c>
      <c r="I46" s="5">
        <f t="shared" si="7"/>
        <v>0</v>
      </c>
      <c r="J46" s="5">
        <f t="shared" si="16"/>
        <v>0</v>
      </c>
      <c r="K46">
        <v>0</v>
      </c>
      <c r="N46" s="81">
        <v>0</v>
      </c>
    </row>
    <row r="47" spans="1:17" hidden="1">
      <c r="A47" s="145">
        <v>46114</v>
      </c>
      <c r="B47" s="4">
        <v>0</v>
      </c>
      <c r="C47" s="4">
        <v>0</v>
      </c>
      <c r="D47" s="4">
        <v>45</v>
      </c>
      <c r="E47" s="4">
        <v>1</v>
      </c>
      <c r="F47" s="4">
        <v>50</v>
      </c>
      <c r="G47" s="10">
        <f t="shared" si="4"/>
        <v>0</v>
      </c>
      <c r="H47" s="4">
        <v>0</v>
      </c>
      <c r="I47" s="5">
        <f t="shared" si="7"/>
        <v>0</v>
      </c>
      <c r="J47" s="5">
        <f t="shared" si="16"/>
        <v>0</v>
      </c>
      <c r="K47">
        <v>0</v>
      </c>
      <c r="N47" s="118">
        <v>0</v>
      </c>
    </row>
    <row r="48" spans="1:17" hidden="1">
      <c r="A48" s="145">
        <v>46115</v>
      </c>
      <c r="B48" s="4">
        <v>0</v>
      </c>
      <c r="C48" s="4">
        <v>0</v>
      </c>
      <c r="D48" s="4">
        <v>45</v>
      </c>
      <c r="E48" s="4">
        <v>1</v>
      </c>
      <c r="F48" s="4">
        <v>50</v>
      </c>
      <c r="G48" s="10">
        <f t="shared" si="4"/>
        <v>0</v>
      </c>
      <c r="H48" s="4">
        <v>0</v>
      </c>
      <c r="I48" s="5">
        <f t="shared" si="7"/>
        <v>0</v>
      </c>
      <c r="J48" s="5">
        <f t="shared" si="16"/>
        <v>0</v>
      </c>
      <c r="K48">
        <v>0</v>
      </c>
      <c r="N48" s="118">
        <v>0</v>
      </c>
    </row>
    <row r="49" spans="1:18" hidden="1">
      <c r="A49" s="145">
        <v>46116</v>
      </c>
      <c r="B49" s="4">
        <v>0</v>
      </c>
      <c r="C49" s="4">
        <v>0</v>
      </c>
      <c r="D49" s="4">
        <v>45</v>
      </c>
      <c r="E49" s="4">
        <v>1</v>
      </c>
      <c r="F49" s="4">
        <v>50</v>
      </c>
      <c r="G49" s="10">
        <f t="shared" si="4"/>
        <v>0</v>
      </c>
      <c r="H49" s="4">
        <v>0</v>
      </c>
      <c r="I49" s="5">
        <f t="shared" si="7"/>
        <v>0</v>
      </c>
      <c r="J49" s="5">
        <f t="shared" si="16"/>
        <v>0</v>
      </c>
      <c r="K49">
        <v>0</v>
      </c>
      <c r="N49" s="118">
        <v>0</v>
      </c>
    </row>
    <row r="50" spans="1:18" hidden="1">
      <c r="A50" s="145">
        <v>46117</v>
      </c>
      <c r="B50" s="4">
        <v>0</v>
      </c>
      <c r="C50" s="4">
        <v>0</v>
      </c>
      <c r="D50" s="4">
        <v>45</v>
      </c>
      <c r="E50" s="4">
        <v>1</v>
      </c>
      <c r="F50" s="4">
        <v>50</v>
      </c>
      <c r="G50" s="10">
        <f t="shared" si="4"/>
        <v>0</v>
      </c>
      <c r="H50" s="4">
        <v>0</v>
      </c>
      <c r="I50" s="5">
        <f t="shared" si="7"/>
        <v>0</v>
      </c>
      <c r="J50" s="5">
        <f t="shared" si="16"/>
        <v>0</v>
      </c>
      <c r="K50">
        <v>0</v>
      </c>
      <c r="N50" s="118">
        <v>0</v>
      </c>
    </row>
    <row r="51" spans="1:18" s="86" customFormat="1" ht="19" hidden="1">
      <c r="A51" s="91" t="s">
        <v>483</v>
      </c>
      <c r="B51" s="8">
        <f>SUM(B52:B58)</f>
        <v>0</v>
      </c>
      <c r="C51" s="8">
        <f>SUM(C52:C58)</f>
        <v>0</v>
      </c>
      <c r="D51" s="8">
        <f>SUM(D52)</f>
        <v>45</v>
      </c>
      <c r="E51" s="8">
        <f>SUM(E52:E58)</f>
        <v>3</v>
      </c>
      <c r="F51" s="8">
        <f>SUM(F52:F58)</f>
        <v>350</v>
      </c>
      <c r="G51" s="93">
        <f t="shared" si="4"/>
        <v>0</v>
      </c>
      <c r="H51" s="8">
        <f>SUM(H52:H58)</f>
        <v>0</v>
      </c>
      <c r="I51" s="9">
        <f>SUM(I52:I58)</f>
        <v>0</v>
      </c>
      <c r="J51" s="14">
        <f>SUM(J52:J58)</f>
        <v>0</v>
      </c>
      <c r="K51" s="8">
        <f>SUM(K52:K58)</f>
        <v>0</v>
      </c>
      <c r="L51" s="9">
        <v>0</v>
      </c>
      <c r="M51" s="96">
        <f>J51</f>
        <v>0</v>
      </c>
      <c r="N51" s="102">
        <f>SUM(N52:N58)</f>
        <v>0</v>
      </c>
      <c r="O51" s="98">
        <v>0</v>
      </c>
      <c r="P51" s="98"/>
    </row>
    <row r="52" spans="1:18" ht="19" hidden="1">
      <c r="A52" s="145">
        <v>46118</v>
      </c>
      <c r="B52" s="4">
        <v>0</v>
      </c>
      <c r="C52" s="4">
        <v>0</v>
      </c>
      <c r="D52" s="4">
        <v>45</v>
      </c>
      <c r="E52" s="4">
        <v>0</v>
      </c>
      <c r="F52" s="4">
        <v>50</v>
      </c>
      <c r="G52" s="10">
        <f>B52+C52/60</f>
        <v>0</v>
      </c>
      <c r="H52" s="4">
        <v>0</v>
      </c>
      <c r="I52" s="5">
        <f>G52*D52</f>
        <v>0</v>
      </c>
      <c r="J52" s="5">
        <f>I52-H52</f>
        <v>0</v>
      </c>
      <c r="K52">
        <v>0</v>
      </c>
      <c r="N52" s="51">
        <v>0</v>
      </c>
      <c r="O52" s="49"/>
      <c r="P52" s="49"/>
    </row>
    <row r="53" spans="1:18" hidden="1">
      <c r="A53" s="145">
        <v>46119</v>
      </c>
      <c r="B53" s="4">
        <v>0</v>
      </c>
      <c r="C53" s="4">
        <v>0</v>
      </c>
      <c r="D53" s="4">
        <v>45</v>
      </c>
      <c r="E53" s="4">
        <v>0</v>
      </c>
      <c r="F53" s="4">
        <v>50</v>
      </c>
      <c r="G53" s="10">
        <f t="shared" ref="G53:G58" si="17">B53+C53/60</f>
        <v>0</v>
      </c>
      <c r="H53" s="4">
        <v>0</v>
      </c>
      <c r="I53" s="5">
        <f t="shared" ref="I53:I58" si="18">G53*D53</f>
        <v>0</v>
      </c>
      <c r="J53" s="5">
        <f>I53-H53</f>
        <v>0</v>
      </c>
      <c r="K53">
        <v>0</v>
      </c>
      <c r="N53" s="51">
        <v>0</v>
      </c>
    </row>
    <row r="54" spans="1:18" hidden="1">
      <c r="A54" s="145">
        <v>46120</v>
      </c>
      <c r="B54" s="4">
        <v>0</v>
      </c>
      <c r="C54" s="4">
        <v>0</v>
      </c>
      <c r="D54" s="4">
        <v>45</v>
      </c>
      <c r="E54" s="4">
        <v>0</v>
      </c>
      <c r="F54" s="4">
        <v>50</v>
      </c>
      <c r="G54" s="10">
        <f t="shared" si="17"/>
        <v>0</v>
      </c>
      <c r="H54" s="4">
        <v>0</v>
      </c>
      <c r="I54" s="5">
        <f>G54*D54</f>
        <v>0</v>
      </c>
      <c r="J54" s="5">
        <f>I54-H54</f>
        <v>0</v>
      </c>
      <c r="K54">
        <v>0</v>
      </c>
      <c r="N54" s="51">
        <v>0</v>
      </c>
    </row>
    <row r="55" spans="1:18" hidden="1">
      <c r="A55" s="145">
        <v>46121</v>
      </c>
      <c r="B55" s="4">
        <v>0</v>
      </c>
      <c r="C55" s="4">
        <v>0</v>
      </c>
      <c r="D55" s="4">
        <v>45</v>
      </c>
      <c r="E55" s="4">
        <v>0</v>
      </c>
      <c r="F55" s="4">
        <v>50</v>
      </c>
      <c r="G55" s="10">
        <v>0</v>
      </c>
      <c r="H55" s="4">
        <v>0</v>
      </c>
      <c r="I55" s="5">
        <v>0</v>
      </c>
      <c r="J55" s="5">
        <f>I55-H55</f>
        <v>0</v>
      </c>
      <c r="K55">
        <v>0</v>
      </c>
      <c r="N55" s="51">
        <v>0</v>
      </c>
    </row>
    <row r="56" spans="1:18" hidden="1">
      <c r="A56" s="145">
        <v>46122</v>
      </c>
      <c r="B56" s="4">
        <v>0</v>
      </c>
      <c r="C56" s="4">
        <v>0</v>
      </c>
      <c r="D56" s="4">
        <v>45</v>
      </c>
      <c r="E56" s="4">
        <v>1</v>
      </c>
      <c r="F56" s="4">
        <v>50</v>
      </c>
      <c r="G56" s="10">
        <f t="shared" si="17"/>
        <v>0</v>
      </c>
      <c r="H56" s="4">
        <v>0</v>
      </c>
      <c r="I56" s="5">
        <f t="shared" si="18"/>
        <v>0</v>
      </c>
      <c r="J56" s="5">
        <f t="shared" si="8"/>
        <v>0</v>
      </c>
      <c r="K56">
        <v>0</v>
      </c>
      <c r="N56" s="51">
        <v>0</v>
      </c>
    </row>
    <row r="57" spans="1:18" hidden="1">
      <c r="A57" s="145">
        <v>46123</v>
      </c>
      <c r="B57" s="4">
        <v>0</v>
      </c>
      <c r="C57" s="4">
        <v>0</v>
      </c>
      <c r="D57" s="4">
        <v>45</v>
      </c>
      <c r="E57" s="4">
        <v>1</v>
      </c>
      <c r="F57" s="4">
        <v>50</v>
      </c>
      <c r="G57" s="10">
        <f t="shared" si="17"/>
        <v>0</v>
      </c>
      <c r="H57" s="4">
        <v>0</v>
      </c>
      <c r="I57" s="5">
        <v>0</v>
      </c>
      <c r="J57" s="5">
        <v>0</v>
      </c>
      <c r="K57">
        <v>0</v>
      </c>
      <c r="N57" s="51">
        <v>0</v>
      </c>
    </row>
    <row r="58" spans="1:18" hidden="1">
      <c r="A58" s="145">
        <v>46124</v>
      </c>
      <c r="B58" s="4">
        <v>0</v>
      </c>
      <c r="C58" s="4">
        <v>0</v>
      </c>
      <c r="D58" s="4">
        <v>45</v>
      </c>
      <c r="E58" s="4">
        <v>1</v>
      </c>
      <c r="F58" s="4">
        <v>50</v>
      </c>
      <c r="G58" s="10">
        <f t="shared" si="17"/>
        <v>0</v>
      </c>
      <c r="H58" s="4">
        <v>0</v>
      </c>
      <c r="I58" s="5">
        <f t="shared" si="18"/>
        <v>0</v>
      </c>
      <c r="J58" s="5">
        <f t="shared" si="8"/>
        <v>0</v>
      </c>
      <c r="K58">
        <v>0</v>
      </c>
      <c r="N58" s="51">
        <v>0</v>
      </c>
    </row>
    <row r="59" spans="1:18" s="86" customFormat="1" ht="19" hidden="1">
      <c r="A59" s="91" t="s">
        <v>484</v>
      </c>
      <c r="B59" s="8">
        <f>SUM(B60:B66)</f>
        <v>0</v>
      </c>
      <c r="C59" s="8">
        <f>SUM(C60:C66)</f>
        <v>0</v>
      </c>
      <c r="D59" s="8">
        <f>SUM(D60)</f>
        <v>45</v>
      </c>
      <c r="E59" s="8">
        <f>SUM(E60:E66)</f>
        <v>3</v>
      </c>
      <c r="F59" s="8">
        <f>SUM(F60:F66)</f>
        <v>350</v>
      </c>
      <c r="G59" s="93">
        <f t="shared" si="4"/>
        <v>0</v>
      </c>
      <c r="H59" s="8">
        <f>SUM(H60:H66)</f>
        <v>0</v>
      </c>
      <c r="I59" s="9">
        <f>SUM(I60:I66)</f>
        <v>0</v>
      </c>
      <c r="J59" s="14">
        <f>SUM(J60:J66)</f>
        <v>0</v>
      </c>
      <c r="K59" s="8">
        <f>SUM(K60:K66)</f>
        <v>0</v>
      </c>
      <c r="L59" s="9">
        <v>0</v>
      </c>
      <c r="M59" s="96">
        <f>J59</f>
        <v>0</v>
      </c>
      <c r="N59" s="102">
        <f>SUM(N60:N66)</f>
        <v>0</v>
      </c>
      <c r="O59" s="98">
        <v>0</v>
      </c>
      <c r="P59" s="98"/>
    </row>
    <row r="60" spans="1:18" hidden="1">
      <c r="A60" s="145">
        <v>46118</v>
      </c>
      <c r="B60" s="4">
        <v>0</v>
      </c>
      <c r="C60" s="4">
        <v>0</v>
      </c>
      <c r="D60" s="4">
        <v>45</v>
      </c>
      <c r="E60" s="4">
        <v>0</v>
      </c>
      <c r="F60" s="4">
        <v>50</v>
      </c>
      <c r="G60" s="10">
        <f t="shared" si="4"/>
        <v>0</v>
      </c>
      <c r="H60" s="4">
        <v>0</v>
      </c>
      <c r="I60" s="5">
        <f t="shared" ref="I60:I66" si="19">G60*D60</f>
        <v>0</v>
      </c>
      <c r="J60" s="5">
        <f t="shared" ref="J60:J62" si="20">I60-H60</f>
        <v>0</v>
      </c>
      <c r="K60">
        <v>0</v>
      </c>
      <c r="N60" s="51">
        <v>0</v>
      </c>
      <c r="O60" s="51"/>
      <c r="P60" s="51"/>
    </row>
    <row r="61" spans="1:18" hidden="1">
      <c r="A61" s="145">
        <v>46119</v>
      </c>
      <c r="B61" s="4">
        <v>0</v>
      </c>
      <c r="C61" s="4">
        <v>0</v>
      </c>
      <c r="D61" s="4">
        <v>65</v>
      </c>
      <c r="E61" s="4">
        <v>0</v>
      </c>
      <c r="F61" s="4">
        <v>50</v>
      </c>
      <c r="G61" s="10">
        <f t="shared" si="4"/>
        <v>0</v>
      </c>
      <c r="H61" s="4">
        <v>0</v>
      </c>
      <c r="I61" s="5">
        <f t="shared" si="19"/>
        <v>0</v>
      </c>
      <c r="J61" s="5">
        <f t="shared" si="20"/>
        <v>0</v>
      </c>
      <c r="K61">
        <v>0</v>
      </c>
      <c r="N61" s="51">
        <v>0</v>
      </c>
    </row>
    <row r="62" spans="1:18" hidden="1">
      <c r="A62" s="145">
        <v>46120</v>
      </c>
      <c r="B62" s="4">
        <v>0</v>
      </c>
      <c r="C62" s="4">
        <v>0</v>
      </c>
      <c r="D62" s="4">
        <v>45</v>
      </c>
      <c r="E62" s="4">
        <v>0</v>
      </c>
      <c r="F62" s="4">
        <v>50</v>
      </c>
      <c r="G62" s="10">
        <f t="shared" si="4"/>
        <v>0</v>
      </c>
      <c r="H62" s="4">
        <v>0</v>
      </c>
      <c r="I62" s="5">
        <f t="shared" si="19"/>
        <v>0</v>
      </c>
      <c r="J62" s="5">
        <f t="shared" si="20"/>
        <v>0</v>
      </c>
      <c r="K62">
        <v>0</v>
      </c>
      <c r="N62" s="51">
        <v>0</v>
      </c>
      <c r="R62" t="s">
        <v>64</v>
      </c>
    </row>
    <row r="63" spans="1:18" hidden="1">
      <c r="A63" s="145">
        <v>46121</v>
      </c>
      <c r="B63" s="4">
        <v>0</v>
      </c>
      <c r="C63" s="4">
        <v>0</v>
      </c>
      <c r="D63" s="4">
        <v>45</v>
      </c>
      <c r="E63" s="4">
        <v>0</v>
      </c>
      <c r="F63" s="4">
        <v>50</v>
      </c>
      <c r="G63" s="10">
        <f t="shared" si="4"/>
        <v>0</v>
      </c>
      <c r="H63" s="4">
        <v>0</v>
      </c>
      <c r="I63" s="5">
        <f t="shared" si="19"/>
        <v>0</v>
      </c>
      <c r="J63" s="5">
        <f>I63-H63</f>
        <v>0</v>
      </c>
      <c r="K63">
        <v>0</v>
      </c>
      <c r="N63" s="51">
        <v>0</v>
      </c>
    </row>
    <row r="64" spans="1:18" hidden="1">
      <c r="A64" s="145">
        <v>46122</v>
      </c>
      <c r="B64" s="4">
        <v>0</v>
      </c>
      <c r="C64" s="4">
        <v>0</v>
      </c>
      <c r="D64" s="4">
        <v>45</v>
      </c>
      <c r="E64" s="4">
        <v>1</v>
      </c>
      <c r="F64" s="4">
        <v>50</v>
      </c>
      <c r="G64" s="10">
        <f t="shared" si="4"/>
        <v>0</v>
      </c>
      <c r="H64" s="4">
        <v>0</v>
      </c>
      <c r="I64" s="5">
        <f t="shared" si="19"/>
        <v>0</v>
      </c>
      <c r="J64" s="5">
        <f>I64-H64</f>
        <v>0</v>
      </c>
      <c r="K64">
        <v>0</v>
      </c>
      <c r="N64" s="51">
        <v>0</v>
      </c>
      <c r="R64" t="s">
        <v>64</v>
      </c>
    </row>
    <row r="65" spans="1:18" hidden="1">
      <c r="A65" s="145">
        <v>46123</v>
      </c>
      <c r="B65" s="4">
        <v>0</v>
      </c>
      <c r="C65" s="4">
        <v>0</v>
      </c>
      <c r="D65" s="4">
        <v>45</v>
      </c>
      <c r="E65" s="4">
        <v>1</v>
      </c>
      <c r="F65" s="4">
        <v>50</v>
      </c>
      <c r="G65" s="10">
        <f t="shared" si="4"/>
        <v>0</v>
      </c>
      <c r="H65" s="4">
        <v>0</v>
      </c>
      <c r="I65" s="5">
        <f t="shared" si="19"/>
        <v>0</v>
      </c>
      <c r="J65" s="5">
        <f>I65-H65</f>
        <v>0</v>
      </c>
      <c r="K65">
        <v>0</v>
      </c>
      <c r="N65" s="51">
        <v>0</v>
      </c>
    </row>
    <row r="66" spans="1:18" hidden="1">
      <c r="A66" s="145">
        <v>46124</v>
      </c>
      <c r="B66" s="4">
        <v>0</v>
      </c>
      <c r="C66" s="4">
        <v>0</v>
      </c>
      <c r="D66" s="4">
        <v>45</v>
      </c>
      <c r="E66" s="4">
        <v>1</v>
      </c>
      <c r="F66" s="4">
        <v>50</v>
      </c>
      <c r="G66" s="10">
        <f t="shared" si="4"/>
        <v>0</v>
      </c>
      <c r="H66" s="4">
        <v>0</v>
      </c>
      <c r="I66" s="5">
        <f t="shared" si="19"/>
        <v>0</v>
      </c>
      <c r="J66" s="5">
        <v>0</v>
      </c>
      <c r="K66">
        <v>0</v>
      </c>
      <c r="N66" s="51">
        <v>0</v>
      </c>
    </row>
    <row r="67" spans="1:18" s="86" customFormat="1" ht="20" thickBot="1">
      <c r="A67" s="91" t="s">
        <v>590</v>
      </c>
      <c r="B67" s="8">
        <f>SUM(B68:B74)</f>
        <v>18</v>
      </c>
      <c r="C67" s="8">
        <f t="shared" ref="C67" si="21">SUM(C68:C74)</f>
        <v>90</v>
      </c>
      <c r="D67" s="126">
        <f>SUM(D68)</f>
        <v>45</v>
      </c>
      <c r="E67" s="126">
        <f t="shared" ref="E67:F67" si="22">SUM(E68:E74)</f>
        <v>2</v>
      </c>
      <c r="F67" s="126">
        <f t="shared" si="22"/>
        <v>350</v>
      </c>
      <c r="G67" s="123">
        <f t="shared" si="4"/>
        <v>19.5</v>
      </c>
      <c r="H67" s="8">
        <f>SUM(H68:H74)</f>
        <v>100</v>
      </c>
      <c r="I67" s="14">
        <f>SUM(I68:I74)</f>
        <v>983.66666666666674</v>
      </c>
      <c r="J67" s="14">
        <f>SUM(J68:J74)</f>
        <v>883.66666666666674</v>
      </c>
      <c r="K67" s="8">
        <f>SUM(K68:K74)</f>
        <v>51</v>
      </c>
      <c r="L67" s="9">
        <v>0</v>
      </c>
      <c r="M67" s="96">
        <f>J67</f>
        <v>883.66666666666674</v>
      </c>
      <c r="N67" s="102">
        <f>SUM(N68:N74)</f>
        <v>1497</v>
      </c>
      <c r="O67" s="98">
        <f>1534-N67</f>
        <v>37</v>
      </c>
      <c r="P67" s="98"/>
    </row>
    <row r="68" spans="1:18">
      <c r="A68" s="145">
        <v>46118</v>
      </c>
      <c r="B68" s="4">
        <v>0</v>
      </c>
      <c r="C68" s="4">
        <v>0</v>
      </c>
      <c r="D68" s="4">
        <v>45</v>
      </c>
      <c r="E68" s="4">
        <v>0</v>
      </c>
      <c r="F68" s="4">
        <v>50</v>
      </c>
      <c r="G68" s="10">
        <f t="shared" si="4"/>
        <v>0</v>
      </c>
      <c r="H68" s="4">
        <v>0</v>
      </c>
      <c r="I68" s="5">
        <f t="shared" ref="I68:I70" si="23">G68*D68</f>
        <v>0</v>
      </c>
      <c r="J68" s="5">
        <f t="shared" ref="J68:J72" si="24">I68-H68</f>
        <v>0</v>
      </c>
      <c r="K68">
        <v>0</v>
      </c>
      <c r="N68" s="51">
        <v>0</v>
      </c>
      <c r="O68" s="51"/>
      <c r="P68" s="51"/>
    </row>
    <row r="69" spans="1:18">
      <c r="A69" s="145">
        <v>46119</v>
      </c>
      <c r="B69" s="4">
        <v>0</v>
      </c>
      <c r="C69" s="4">
        <v>0</v>
      </c>
      <c r="D69" s="4">
        <v>45</v>
      </c>
      <c r="E69" s="4">
        <v>0</v>
      </c>
      <c r="F69" s="4">
        <v>50</v>
      </c>
      <c r="G69" s="10">
        <f t="shared" si="4"/>
        <v>0</v>
      </c>
      <c r="H69" s="4">
        <v>0</v>
      </c>
      <c r="I69" s="5">
        <f t="shared" si="23"/>
        <v>0</v>
      </c>
      <c r="J69" s="5">
        <f t="shared" si="24"/>
        <v>0</v>
      </c>
      <c r="K69">
        <v>0</v>
      </c>
      <c r="N69" s="51">
        <v>0</v>
      </c>
    </row>
    <row r="70" spans="1:18">
      <c r="A70" s="145">
        <v>46120</v>
      </c>
      <c r="B70" s="4">
        <v>0</v>
      </c>
      <c r="C70" s="4">
        <v>0</v>
      </c>
      <c r="D70" s="4">
        <v>45</v>
      </c>
      <c r="E70" s="4">
        <v>0</v>
      </c>
      <c r="F70" s="4">
        <v>50</v>
      </c>
      <c r="G70" s="10">
        <f t="shared" si="4"/>
        <v>0</v>
      </c>
      <c r="H70" s="4">
        <v>0</v>
      </c>
      <c r="I70" s="5">
        <f t="shared" si="23"/>
        <v>0</v>
      </c>
      <c r="J70" s="5">
        <f t="shared" si="24"/>
        <v>0</v>
      </c>
      <c r="K70">
        <v>0</v>
      </c>
      <c r="N70" s="51">
        <v>0</v>
      </c>
      <c r="R70" t="s">
        <v>64</v>
      </c>
    </row>
    <row r="71" spans="1:18">
      <c r="A71" s="145">
        <v>46121</v>
      </c>
      <c r="B71" s="4">
        <v>0</v>
      </c>
      <c r="C71" s="4">
        <v>0</v>
      </c>
      <c r="D71" s="4">
        <v>45</v>
      </c>
      <c r="E71" s="4">
        <v>0</v>
      </c>
      <c r="F71" s="4">
        <v>50</v>
      </c>
      <c r="G71" s="10">
        <f t="shared" si="4"/>
        <v>0</v>
      </c>
      <c r="H71" s="4">
        <v>0</v>
      </c>
      <c r="I71" s="5">
        <f>G71*D71</f>
        <v>0</v>
      </c>
      <c r="J71" s="5">
        <f t="shared" si="24"/>
        <v>0</v>
      </c>
      <c r="K71">
        <v>0</v>
      </c>
      <c r="N71" s="51">
        <v>0</v>
      </c>
    </row>
    <row r="72" spans="1:18">
      <c r="A72" s="145">
        <v>46122</v>
      </c>
      <c r="B72" s="4">
        <v>0</v>
      </c>
      <c r="C72" s="4">
        <v>0</v>
      </c>
      <c r="D72" s="4">
        <v>45</v>
      </c>
      <c r="E72" s="4">
        <v>0</v>
      </c>
      <c r="F72" s="4">
        <v>50</v>
      </c>
      <c r="G72" s="10">
        <f t="shared" si="4"/>
        <v>0</v>
      </c>
      <c r="H72" s="4">
        <v>0</v>
      </c>
      <c r="I72" s="5">
        <f t="shared" ref="I72" si="25">G72*D72</f>
        <v>0</v>
      </c>
      <c r="J72" s="5">
        <f t="shared" si="24"/>
        <v>0</v>
      </c>
      <c r="K72">
        <v>0</v>
      </c>
      <c r="N72" s="51">
        <v>0</v>
      </c>
    </row>
    <row r="73" spans="1:18">
      <c r="A73" s="146" t="s">
        <v>568</v>
      </c>
      <c r="B73" s="4">
        <v>8</v>
      </c>
      <c r="C73" s="4">
        <v>53</v>
      </c>
      <c r="D73" s="4">
        <v>45</v>
      </c>
      <c r="E73" s="4">
        <v>1</v>
      </c>
      <c r="F73" s="4">
        <v>50</v>
      </c>
      <c r="G73" s="10">
        <f>B73+C73/60</f>
        <v>8.8833333333333329</v>
      </c>
      <c r="H73" s="4">
        <v>50</v>
      </c>
      <c r="I73" s="5">
        <f>G73*D73</f>
        <v>399.75</v>
      </c>
      <c r="J73" s="5">
        <f>I73-H73</f>
        <v>349.75</v>
      </c>
      <c r="K73">
        <v>21</v>
      </c>
      <c r="N73" s="51">
        <f>623</f>
        <v>623</v>
      </c>
    </row>
    <row r="74" spans="1:18">
      <c r="A74" s="146" t="s">
        <v>570</v>
      </c>
      <c r="B74" s="4">
        <v>10</v>
      </c>
      <c r="C74" s="4">
        <v>37</v>
      </c>
      <c r="D74" s="4">
        <v>55</v>
      </c>
      <c r="E74" s="4">
        <v>1</v>
      </c>
      <c r="F74" s="4">
        <v>50</v>
      </c>
      <c r="G74" s="10">
        <f t="shared" ref="G74" si="26">B74+C74/60</f>
        <v>10.616666666666667</v>
      </c>
      <c r="H74" s="4">
        <v>50</v>
      </c>
      <c r="I74" s="5">
        <f t="shared" ref="I74" si="27">G74*D74</f>
        <v>583.91666666666674</v>
      </c>
      <c r="J74" s="5">
        <f t="shared" ref="J74" si="28">I74-H74</f>
        <v>533.91666666666674</v>
      </c>
      <c r="K74">
        <v>30</v>
      </c>
      <c r="N74" s="51">
        <f>874</f>
        <v>874</v>
      </c>
    </row>
    <row r="75" spans="1:18" s="86" customFormat="1" ht="19">
      <c r="A75" s="91" t="s">
        <v>591</v>
      </c>
      <c r="B75" s="8">
        <f>SUM(B76:B82)</f>
        <v>35</v>
      </c>
      <c r="C75" s="8">
        <f>SUM(C76:C82)</f>
        <v>118</v>
      </c>
      <c r="D75" s="8">
        <f>SUM(D76)</f>
        <v>0</v>
      </c>
      <c r="E75" s="8">
        <f>SUM(E76:E82)</f>
        <v>5</v>
      </c>
      <c r="F75" s="8">
        <f>SUM(F76:F98)</f>
        <v>1750</v>
      </c>
      <c r="G75" s="93">
        <f t="shared" ref="G75" si="29">B75+C75/60</f>
        <v>36.966666666666669</v>
      </c>
      <c r="H75" s="92">
        <f>SUM(H76:H82)</f>
        <v>200</v>
      </c>
      <c r="I75" s="9">
        <f>SUM(I76:I82)</f>
        <v>1949.3333333333333</v>
      </c>
      <c r="J75" s="14">
        <f>SUM(J76:J82)</f>
        <v>1749.3333333333333</v>
      </c>
      <c r="K75" s="8">
        <f>SUM(K76:K82)</f>
        <v>114</v>
      </c>
      <c r="L75" s="9">
        <v>0</v>
      </c>
      <c r="M75" s="96">
        <f>J75</f>
        <v>1749.3333333333333</v>
      </c>
      <c r="N75" s="102">
        <f>SUM(N76:N79)</f>
        <v>3139</v>
      </c>
      <c r="O75" s="98">
        <f>3229-N75</f>
        <v>90</v>
      </c>
      <c r="P75" s="98"/>
    </row>
    <row r="76" spans="1:18">
      <c r="A76" s="145">
        <v>46119</v>
      </c>
      <c r="B76" s="4">
        <v>0</v>
      </c>
      <c r="C76" s="4">
        <v>0</v>
      </c>
      <c r="D76" s="4">
        <v>0</v>
      </c>
      <c r="E76" s="4">
        <v>0</v>
      </c>
      <c r="F76" s="4">
        <v>50</v>
      </c>
      <c r="G76" s="144">
        <f>B76+C76/60</f>
        <v>0</v>
      </c>
      <c r="H76" s="167">
        <v>0</v>
      </c>
      <c r="I76" s="142">
        <f t="shared" ref="I76:I82" si="30">G76*D76</f>
        <v>0</v>
      </c>
      <c r="J76" s="5">
        <f>I76-H76</f>
        <v>0</v>
      </c>
      <c r="K76">
        <v>0</v>
      </c>
      <c r="N76" s="83">
        <v>0</v>
      </c>
      <c r="O76" s="51"/>
      <c r="P76" s="51"/>
    </row>
    <row r="77" spans="1:18">
      <c r="A77" s="146" t="s">
        <v>564</v>
      </c>
      <c r="B77" s="4">
        <v>9</v>
      </c>
      <c r="C77" s="4">
        <v>15</v>
      </c>
      <c r="D77" s="4">
        <v>55</v>
      </c>
      <c r="E77" s="4">
        <v>1</v>
      </c>
      <c r="F77" s="4">
        <v>50</v>
      </c>
      <c r="G77" s="144">
        <f t="shared" ref="G77:G79" si="31">B77+C77/60</f>
        <v>9.25</v>
      </c>
      <c r="H77" s="167">
        <v>50</v>
      </c>
      <c r="I77" s="142">
        <f t="shared" si="30"/>
        <v>508.75</v>
      </c>
      <c r="J77" s="5">
        <f>I77-H77</f>
        <v>458.75</v>
      </c>
      <c r="K77">
        <v>29</v>
      </c>
      <c r="N77" s="83">
        <f>848+150</f>
        <v>998</v>
      </c>
      <c r="Q77" t="s">
        <v>592</v>
      </c>
    </row>
    <row r="78" spans="1:18">
      <c r="A78" s="146" t="s">
        <v>566</v>
      </c>
      <c r="B78" s="4">
        <v>9</v>
      </c>
      <c r="C78" s="4">
        <v>19</v>
      </c>
      <c r="D78" s="4">
        <v>45</v>
      </c>
      <c r="E78" s="4">
        <v>1</v>
      </c>
      <c r="F78" s="4">
        <v>50</v>
      </c>
      <c r="G78" s="144">
        <f t="shared" si="31"/>
        <v>9.3166666666666664</v>
      </c>
      <c r="H78" s="167">
        <v>50</v>
      </c>
      <c r="I78" s="142">
        <f t="shared" si="30"/>
        <v>419.25</v>
      </c>
      <c r="J78" s="5">
        <f t="shared" ref="J78:J82" si="32">I78-H78</f>
        <v>369.25</v>
      </c>
      <c r="K78">
        <v>24</v>
      </c>
      <c r="N78" s="119">
        <f>759+150</f>
        <v>909</v>
      </c>
      <c r="Q78" t="s">
        <v>593</v>
      </c>
      <c r="R78" t="s">
        <v>64</v>
      </c>
    </row>
    <row r="79" spans="1:18">
      <c r="A79" s="146" t="s">
        <v>568</v>
      </c>
      <c r="B79" s="4">
        <v>9</v>
      </c>
      <c r="C79" s="4">
        <v>40</v>
      </c>
      <c r="D79" s="4">
        <v>65</v>
      </c>
      <c r="E79" s="4">
        <v>1</v>
      </c>
      <c r="F79" s="4">
        <v>50</v>
      </c>
      <c r="G79" s="144">
        <f t="shared" si="31"/>
        <v>9.6666666666666661</v>
      </c>
      <c r="H79" s="167">
        <v>50</v>
      </c>
      <c r="I79" s="142">
        <f t="shared" si="30"/>
        <v>628.33333333333326</v>
      </c>
      <c r="J79" s="5">
        <f t="shared" si="32"/>
        <v>578.33333333333326</v>
      </c>
      <c r="K79">
        <v>38</v>
      </c>
      <c r="N79" s="119">
        <f>1152+80</f>
        <v>1232</v>
      </c>
      <c r="Q79" t="s">
        <v>594</v>
      </c>
    </row>
    <row r="80" spans="1:18">
      <c r="A80" s="146" t="s">
        <v>570</v>
      </c>
      <c r="B80" s="4">
        <v>0</v>
      </c>
      <c r="C80" s="4">
        <v>0</v>
      </c>
      <c r="D80" s="4">
        <v>45</v>
      </c>
      <c r="E80" s="4">
        <v>0</v>
      </c>
      <c r="F80" s="4">
        <v>50</v>
      </c>
      <c r="G80" s="10">
        <f>B80+C80/60</f>
        <v>0</v>
      </c>
      <c r="H80" s="141">
        <v>0</v>
      </c>
      <c r="I80" s="5">
        <f t="shared" si="30"/>
        <v>0</v>
      </c>
      <c r="J80" s="5">
        <f t="shared" si="32"/>
        <v>0</v>
      </c>
      <c r="K80">
        <v>0</v>
      </c>
      <c r="N80" s="119">
        <v>0</v>
      </c>
    </row>
    <row r="81" spans="1:18">
      <c r="A81" s="146" t="s">
        <v>571</v>
      </c>
      <c r="B81" s="4">
        <v>0</v>
      </c>
      <c r="C81" s="4">
        <v>0</v>
      </c>
      <c r="D81" s="4">
        <v>45</v>
      </c>
      <c r="E81" s="4">
        <v>1</v>
      </c>
      <c r="F81" s="4">
        <v>50</v>
      </c>
      <c r="G81" s="10">
        <f t="shared" ref="G81:G91" si="33">B81+C81/60</f>
        <v>0</v>
      </c>
      <c r="H81" s="4">
        <v>0</v>
      </c>
      <c r="I81" s="5">
        <f t="shared" si="30"/>
        <v>0</v>
      </c>
      <c r="J81" s="5">
        <f t="shared" si="32"/>
        <v>0</v>
      </c>
      <c r="K81">
        <v>0</v>
      </c>
      <c r="N81" s="119">
        <v>0</v>
      </c>
    </row>
    <row r="82" spans="1:18">
      <c r="A82" s="146" t="s">
        <v>595</v>
      </c>
      <c r="B82" s="4">
        <v>8</v>
      </c>
      <c r="C82" s="4">
        <v>44</v>
      </c>
      <c r="D82" s="4">
        <v>45</v>
      </c>
      <c r="E82" s="4">
        <v>1</v>
      </c>
      <c r="F82" s="4">
        <v>50</v>
      </c>
      <c r="G82" s="10">
        <f t="shared" si="33"/>
        <v>8.7333333333333325</v>
      </c>
      <c r="H82" s="4">
        <v>50</v>
      </c>
      <c r="I82" s="5">
        <f t="shared" si="30"/>
        <v>392.99999999999994</v>
      </c>
      <c r="J82" s="5">
        <f t="shared" si="32"/>
        <v>342.99999999999994</v>
      </c>
      <c r="K82">
        <v>23</v>
      </c>
      <c r="N82" s="119">
        <v>0</v>
      </c>
      <c r="Q82" t="s">
        <v>596</v>
      </c>
    </row>
    <row r="83" spans="1:18" s="86" customFormat="1" ht="19">
      <c r="A83" s="91" t="s">
        <v>597</v>
      </c>
      <c r="B83" s="8">
        <f>SUM(B84:B90)</f>
        <v>18</v>
      </c>
      <c r="C83" s="8">
        <f t="shared" ref="C83" si="34">SUM(C84:C90)</f>
        <v>60</v>
      </c>
      <c r="D83" s="126">
        <f>SUM(D84)</f>
        <v>45</v>
      </c>
      <c r="E83" s="126">
        <f t="shared" ref="E83:F83" si="35">SUM(E84:E90)</f>
        <v>0</v>
      </c>
      <c r="F83" s="126">
        <f t="shared" si="35"/>
        <v>350</v>
      </c>
      <c r="G83" s="123">
        <f t="shared" si="33"/>
        <v>19</v>
      </c>
      <c r="H83" s="8">
        <f>SUM(H84:H90)</f>
        <v>100</v>
      </c>
      <c r="I83" s="14">
        <f>SUM(I84:I90)</f>
        <v>855</v>
      </c>
      <c r="J83" s="14">
        <f>SUM(J84:J90)</f>
        <v>755</v>
      </c>
      <c r="K83" s="8">
        <f>SUM(K84:K90)</f>
        <v>19</v>
      </c>
      <c r="L83" s="9">
        <v>0</v>
      </c>
      <c r="M83" s="96">
        <f>J83</f>
        <v>755</v>
      </c>
      <c r="N83" s="102">
        <f>SUM(N84:N90)</f>
        <v>1031</v>
      </c>
      <c r="O83" s="98">
        <f>1093-N83</f>
        <v>62</v>
      </c>
      <c r="P83" s="98"/>
    </row>
    <row r="84" spans="1:18">
      <c r="A84" s="145">
        <v>46118</v>
      </c>
      <c r="B84" s="4">
        <v>0</v>
      </c>
      <c r="C84" s="4">
        <v>0</v>
      </c>
      <c r="D84" s="4">
        <v>45</v>
      </c>
      <c r="E84" s="4">
        <v>0</v>
      </c>
      <c r="F84" s="4">
        <v>50</v>
      </c>
      <c r="G84" s="10">
        <f t="shared" si="33"/>
        <v>0</v>
      </c>
      <c r="H84" s="4">
        <v>0</v>
      </c>
      <c r="I84" s="5">
        <f t="shared" ref="I84:I86" si="36">G84*D84</f>
        <v>0</v>
      </c>
      <c r="J84" s="5">
        <f t="shared" ref="J84:J88" si="37">I84-H84</f>
        <v>0</v>
      </c>
      <c r="K84">
        <v>0</v>
      </c>
      <c r="N84" s="51">
        <v>0</v>
      </c>
      <c r="O84" s="51"/>
      <c r="P84" s="51"/>
    </row>
    <row r="85" spans="1:18">
      <c r="A85" s="145">
        <v>46119</v>
      </c>
      <c r="B85" s="4">
        <v>0</v>
      </c>
      <c r="C85" s="4">
        <v>0</v>
      </c>
      <c r="D85" s="4">
        <v>45</v>
      </c>
      <c r="E85" s="4">
        <v>0</v>
      </c>
      <c r="F85" s="4">
        <v>50</v>
      </c>
      <c r="G85" s="10">
        <f t="shared" si="33"/>
        <v>0</v>
      </c>
      <c r="H85" s="4">
        <v>0</v>
      </c>
      <c r="I85" s="5">
        <f t="shared" si="36"/>
        <v>0</v>
      </c>
      <c r="J85" s="5">
        <f t="shared" si="37"/>
        <v>0</v>
      </c>
      <c r="K85">
        <v>0</v>
      </c>
      <c r="N85" s="51">
        <v>0</v>
      </c>
    </row>
    <row r="86" spans="1:18">
      <c r="A86" s="145">
        <v>46120</v>
      </c>
      <c r="B86" s="4">
        <v>0</v>
      </c>
      <c r="C86" s="4">
        <v>0</v>
      </c>
      <c r="D86" s="4">
        <v>45</v>
      </c>
      <c r="E86" s="4">
        <v>0</v>
      </c>
      <c r="F86" s="4">
        <v>50</v>
      </c>
      <c r="G86" s="10">
        <f t="shared" si="33"/>
        <v>0</v>
      </c>
      <c r="H86" s="4">
        <v>0</v>
      </c>
      <c r="I86" s="5">
        <f t="shared" si="36"/>
        <v>0</v>
      </c>
      <c r="J86" s="5">
        <f t="shared" si="37"/>
        <v>0</v>
      </c>
      <c r="K86">
        <v>0</v>
      </c>
      <c r="N86" s="51">
        <v>0</v>
      </c>
      <c r="R86" t="s">
        <v>64</v>
      </c>
    </row>
    <row r="87" spans="1:18">
      <c r="A87" s="145">
        <v>46121</v>
      </c>
      <c r="B87" s="4">
        <v>0</v>
      </c>
      <c r="C87" s="4">
        <v>0</v>
      </c>
      <c r="D87" s="4">
        <v>45</v>
      </c>
      <c r="E87" s="4">
        <v>0</v>
      </c>
      <c r="F87" s="4">
        <v>50</v>
      </c>
      <c r="G87" s="10">
        <f t="shared" si="33"/>
        <v>0</v>
      </c>
      <c r="H87" s="4">
        <v>0</v>
      </c>
      <c r="I87" s="5">
        <f>G87*D87</f>
        <v>0</v>
      </c>
      <c r="J87" s="5">
        <f t="shared" si="37"/>
        <v>0</v>
      </c>
      <c r="K87">
        <v>0</v>
      </c>
      <c r="N87" s="51">
        <v>0</v>
      </c>
    </row>
    <row r="88" spans="1:18">
      <c r="A88" s="145">
        <v>46122</v>
      </c>
      <c r="B88" s="4">
        <v>8</v>
      </c>
      <c r="C88" s="4">
        <v>32</v>
      </c>
      <c r="D88" s="4">
        <v>45</v>
      </c>
      <c r="E88" s="4">
        <v>0</v>
      </c>
      <c r="F88" s="4">
        <v>50</v>
      </c>
      <c r="G88" s="10">
        <f t="shared" si="33"/>
        <v>8.5333333333333332</v>
      </c>
      <c r="H88" s="4">
        <v>50</v>
      </c>
      <c r="I88" s="5">
        <f t="shared" ref="I88" si="38">G88*D88</f>
        <v>384</v>
      </c>
      <c r="J88" s="5">
        <f t="shared" si="37"/>
        <v>334</v>
      </c>
      <c r="K88">
        <v>6</v>
      </c>
      <c r="N88" s="51">
        <f>470</f>
        <v>470</v>
      </c>
    </row>
    <row r="89" spans="1:18">
      <c r="A89" s="145">
        <v>46123</v>
      </c>
      <c r="B89" s="4">
        <v>0</v>
      </c>
      <c r="C89" s="4">
        <v>0</v>
      </c>
      <c r="D89" s="4">
        <v>45</v>
      </c>
      <c r="E89" s="4">
        <v>0</v>
      </c>
      <c r="F89" s="4">
        <v>50</v>
      </c>
      <c r="G89" s="10">
        <v>0</v>
      </c>
      <c r="H89" s="4">
        <v>0</v>
      </c>
      <c r="I89" s="5">
        <v>0</v>
      </c>
      <c r="J89" s="5">
        <v>0</v>
      </c>
      <c r="K89">
        <v>0</v>
      </c>
      <c r="N89" s="51">
        <v>0</v>
      </c>
    </row>
    <row r="90" spans="1:18">
      <c r="A90" s="145">
        <v>46124</v>
      </c>
      <c r="B90" s="4">
        <v>10</v>
      </c>
      <c r="C90" s="4">
        <v>28</v>
      </c>
      <c r="D90" s="4">
        <v>45</v>
      </c>
      <c r="E90" s="4">
        <v>0</v>
      </c>
      <c r="F90" s="4">
        <v>50</v>
      </c>
      <c r="G90" s="10">
        <f t="shared" ref="G90" si="39">B90+C90/60</f>
        <v>10.466666666666667</v>
      </c>
      <c r="H90" s="4">
        <v>50</v>
      </c>
      <c r="I90" s="5">
        <f t="shared" ref="I90" si="40">G90*D90</f>
        <v>471</v>
      </c>
      <c r="J90" s="5">
        <f t="shared" ref="J90" si="41">I90-H90</f>
        <v>421</v>
      </c>
      <c r="K90">
        <v>13</v>
      </c>
      <c r="N90" s="51">
        <f>561</f>
        <v>561</v>
      </c>
    </row>
    <row r="91" spans="1:18" s="86" customFormat="1" ht="19">
      <c r="A91" s="91" t="s">
        <v>494</v>
      </c>
      <c r="B91" s="8">
        <f>SUM(B92:B98)</f>
        <v>37</v>
      </c>
      <c r="C91" s="8">
        <f>SUM(C92:C98)</f>
        <v>151</v>
      </c>
      <c r="D91" s="8">
        <f>SUM(D92)</f>
        <v>45</v>
      </c>
      <c r="E91" s="8">
        <f>SUM(E92:E98)</f>
        <v>6</v>
      </c>
      <c r="F91" s="8">
        <f>SUM(F92:F98)</f>
        <v>350</v>
      </c>
      <c r="G91" s="93">
        <f t="shared" si="33"/>
        <v>39.516666666666666</v>
      </c>
      <c r="H91" s="8">
        <f>SUM(H92:H98)</f>
        <v>358.8</v>
      </c>
      <c r="I91" s="9">
        <f>SUM(I92:I98)</f>
        <v>1778.25</v>
      </c>
      <c r="J91" s="14">
        <f>SUM(J92:J98)</f>
        <v>1419.45</v>
      </c>
      <c r="K91" s="8">
        <f>SUM(K92:K98)</f>
        <v>135</v>
      </c>
      <c r="L91" s="9">
        <v>0</v>
      </c>
      <c r="M91" s="96">
        <f>J91</f>
        <v>1419.45</v>
      </c>
      <c r="N91" s="102">
        <f>SUM(N92:N98)</f>
        <v>3858</v>
      </c>
      <c r="O91" s="98">
        <f>3716-N91</f>
        <v>-142</v>
      </c>
      <c r="P91" s="98"/>
    </row>
    <row r="92" spans="1:18" ht="19">
      <c r="A92" s="145">
        <v>46118</v>
      </c>
      <c r="B92" s="4">
        <v>6</v>
      </c>
      <c r="C92" s="4">
        <v>56</v>
      </c>
      <c r="D92" s="4">
        <v>45</v>
      </c>
      <c r="E92" s="4">
        <v>1</v>
      </c>
      <c r="F92" s="4">
        <v>50</v>
      </c>
      <c r="G92" s="10">
        <f>B92+C92/60</f>
        <v>6.9333333333333336</v>
      </c>
      <c r="H92" s="4">
        <f>50+58.8</f>
        <v>108.8</v>
      </c>
      <c r="I92" s="5">
        <f>G92*D92</f>
        <v>312</v>
      </c>
      <c r="J92" s="5">
        <f>I92-H92</f>
        <v>203.2</v>
      </c>
      <c r="K92">
        <v>24</v>
      </c>
      <c r="N92" s="51">
        <v>440</v>
      </c>
      <c r="O92" s="49"/>
      <c r="P92" s="49"/>
      <c r="Q92" t="s">
        <v>598</v>
      </c>
    </row>
    <row r="93" spans="1:18">
      <c r="A93" s="145">
        <v>46119</v>
      </c>
      <c r="B93" s="4">
        <v>7</v>
      </c>
      <c r="C93" s="4">
        <v>14</v>
      </c>
      <c r="D93" s="4">
        <v>45</v>
      </c>
      <c r="E93" s="4">
        <v>1</v>
      </c>
      <c r="F93" s="4">
        <v>50</v>
      </c>
      <c r="G93" s="10">
        <f t="shared" ref="G93:G98" si="42">B93+C93/60</f>
        <v>7.2333333333333334</v>
      </c>
      <c r="H93" s="4">
        <v>50</v>
      </c>
      <c r="I93" s="5">
        <f t="shared" ref="I93:I98" si="43">G93*D93</f>
        <v>325.5</v>
      </c>
      <c r="J93" s="5">
        <f>I93-H93</f>
        <v>275.5</v>
      </c>
      <c r="K93">
        <v>26</v>
      </c>
      <c r="N93" s="51">
        <v>769</v>
      </c>
      <c r="Q93" t="s">
        <v>599</v>
      </c>
    </row>
    <row r="94" spans="1:18">
      <c r="A94" s="145">
        <v>46120</v>
      </c>
      <c r="B94" s="4">
        <v>0</v>
      </c>
      <c r="C94" s="4">
        <v>0</v>
      </c>
      <c r="D94" s="4">
        <v>45</v>
      </c>
      <c r="E94" s="4">
        <v>0</v>
      </c>
      <c r="F94" s="4">
        <v>50</v>
      </c>
      <c r="G94" s="10">
        <f t="shared" si="42"/>
        <v>0</v>
      </c>
      <c r="H94" s="4">
        <v>0</v>
      </c>
      <c r="I94" s="5">
        <f t="shared" si="43"/>
        <v>0</v>
      </c>
      <c r="J94" s="5">
        <f>I94-H94</f>
        <v>0</v>
      </c>
      <c r="K94">
        <v>0</v>
      </c>
      <c r="N94" s="51">
        <v>0</v>
      </c>
    </row>
    <row r="95" spans="1:18">
      <c r="A95" s="145">
        <v>46121</v>
      </c>
      <c r="B95" s="4">
        <v>6</v>
      </c>
      <c r="C95" s="4">
        <v>16</v>
      </c>
      <c r="D95" s="4">
        <v>45</v>
      </c>
      <c r="E95" s="4">
        <v>1</v>
      </c>
      <c r="F95" s="4">
        <v>50</v>
      </c>
      <c r="G95" s="10">
        <f t="shared" si="42"/>
        <v>6.2666666666666666</v>
      </c>
      <c r="H95" s="4">
        <v>50</v>
      </c>
      <c r="I95" s="5">
        <f t="shared" si="43"/>
        <v>282</v>
      </c>
      <c r="J95" s="5">
        <f>I95-H95</f>
        <v>232</v>
      </c>
      <c r="K95">
        <v>22</v>
      </c>
      <c r="N95" s="51">
        <v>655</v>
      </c>
      <c r="Q95" t="s">
        <v>600</v>
      </c>
    </row>
    <row r="96" spans="1:18">
      <c r="A96" s="145">
        <v>46122</v>
      </c>
      <c r="B96" s="4">
        <v>6</v>
      </c>
      <c r="C96" s="4">
        <v>40</v>
      </c>
      <c r="D96" s="4">
        <v>45</v>
      </c>
      <c r="E96" s="4">
        <v>1</v>
      </c>
      <c r="F96" s="4">
        <v>50</v>
      </c>
      <c r="G96" s="10">
        <f t="shared" si="42"/>
        <v>6.666666666666667</v>
      </c>
      <c r="H96" s="4">
        <v>50</v>
      </c>
      <c r="I96" s="5">
        <f t="shared" si="43"/>
        <v>300</v>
      </c>
      <c r="J96" s="5">
        <f t="shared" ref="J96" si="44">I96-H96</f>
        <v>250</v>
      </c>
      <c r="K96">
        <v>15</v>
      </c>
      <c r="N96" s="51">
        <v>461</v>
      </c>
      <c r="Q96" t="s">
        <v>601</v>
      </c>
    </row>
    <row r="97" spans="1:20">
      <c r="A97" s="145">
        <v>46123</v>
      </c>
      <c r="B97" s="4">
        <v>6</v>
      </c>
      <c r="C97" s="4">
        <v>12</v>
      </c>
      <c r="D97" s="4">
        <v>45</v>
      </c>
      <c r="E97" s="4">
        <v>1</v>
      </c>
      <c r="F97" s="4">
        <v>50</v>
      </c>
      <c r="G97" s="10">
        <f t="shared" si="42"/>
        <v>6.2</v>
      </c>
      <c r="H97" s="4">
        <v>50</v>
      </c>
      <c r="I97" s="5">
        <f t="shared" si="43"/>
        <v>279</v>
      </c>
      <c r="J97" s="5">
        <f>I97-H97</f>
        <v>229</v>
      </c>
      <c r="K97">
        <v>24</v>
      </c>
      <c r="N97" s="51">
        <f>601+150</f>
        <v>751</v>
      </c>
      <c r="Q97" t="s">
        <v>602</v>
      </c>
    </row>
    <row r="98" spans="1:20" ht="16" thickBot="1">
      <c r="A98" s="145">
        <v>46124</v>
      </c>
      <c r="B98" s="4">
        <v>6</v>
      </c>
      <c r="C98" s="4">
        <v>13</v>
      </c>
      <c r="D98" s="4">
        <v>45</v>
      </c>
      <c r="E98" s="4">
        <v>1</v>
      </c>
      <c r="F98" s="4">
        <v>50</v>
      </c>
      <c r="G98" s="10">
        <f t="shared" si="42"/>
        <v>6.2166666666666668</v>
      </c>
      <c r="H98" s="4">
        <v>50</v>
      </c>
      <c r="I98" s="5">
        <f t="shared" si="43"/>
        <v>279.75</v>
      </c>
      <c r="J98" s="5">
        <f t="shared" ref="J98" si="45">I98-H98</f>
        <v>229.75</v>
      </c>
      <c r="K98">
        <v>24</v>
      </c>
      <c r="N98" s="51">
        <v>782</v>
      </c>
      <c r="Q98" t="s">
        <v>603</v>
      </c>
    </row>
    <row r="99" spans="1:20" ht="19">
      <c r="A99" s="91" t="s">
        <v>502</v>
      </c>
      <c r="B99" s="8">
        <f>SUM(B100:B106)</f>
        <v>5</v>
      </c>
      <c r="C99" s="8">
        <f>SUM(C100:C106)</f>
        <v>16</v>
      </c>
      <c r="D99" s="8">
        <f>SUM(D100)</f>
        <v>45</v>
      </c>
      <c r="E99" s="8">
        <f>SUM(E100:E106)</f>
        <v>3</v>
      </c>
      <c r="F99" s="8">
        <f>SUM(F100:F106)</f>
        <v>350</v>
      </c>
      <c r="G99" s="93">
        <f t="shared" ref="G99:G124" si="46">B99+C99/60</f>
        <v>5.2666666666666666</v>
      </c>
      <c r="H99" s="92">
        <f>SUM(H100:H106)</f>
        <v>160.69999999999999</v>
      </c>
      <c r="I99" s="9">
        <f>SUM(I100:I106)</f>
        <v>237</v>
      </c>
      <c r="J99" s="14">
        <f>SUM(J100:J106)</f>
        <v>76.300000000000011</v>
      </c>
      <c r="K99" s="8">
        <f>SUM(K100:K106)</f>
        <v>7</v>
      </c>
      <c r="L99" s="9">
        <v>0</v>
      </c>
      <c r="M99" s="96">
        <f>J99</f>
        <v>76.300000000000011</v>
      </c>
      <c r="N99" s="102">
        <f>SUM(N100:N106)</f>
        <v>0</v>
      </c>
      <c r="O99" s="98">
        <f>1024-N99</f>
        <v>1024</v>
      </c>
      <c r="P99" s="98"/>
      <c r="Q99" s="86"/>
      <c r="R99" s="86"/>
      <c r="S99" s="86"/>
      <c r="T99" s="86"/>
    </row>
    <row r="100" spans="1:20">
      <c r="A100" s="146" t="s">
        <v>604</v>
      </c>
      <c r="B100" s="4">
        <v>5</v>
      </c>
      <c r="C100" s="4">
        <v>16</v>
      </c>
      <c r="D100" s="4">
        <v>45</v>
      </c>
      <c r="E100" s="4">
        <v>0</v>
      </c>
      <c r="F100" s="4">
        <v>50</v>
      </c>
      <c r="G100" s="144">
        <f t="shared" si="46"/>
        <v>5.2666666666666666</v>
      </c>
      <c r="H100" s="167">
        <f>50+110.7</f>
        <v>160.69999999999999</v>
      </c>
      <c r="I100" s="142">
        <f t="shared" ref="I100:I106" si="47">G100*D100</f>
        <v>237</v>
      </c>
      <c r="J100" s="5">
        <f t="shared" ref="J100:J106" si="48">I100-H100</f>
        <v>76.300000000000011</v>
      </c>
      <c r="K100">
        <v>7</v>
      </c>
      <c r="N100" s="119">
        <v>0</v>
      </c>
      <c r="O100" s="51"/>
      <c r="P100" s="51"/>
      <c r="Q100" s="115"/>
    </row>
    <row r="101" spans="1:20">
      <c r="A101" s="145">
        <v>46119</v>
      </c>
      <c r="B101" s="4">
        <v>0</v>
      </c>
      <c r="C101" s="4">
        <v>0</v>
      </c>
      <c r="D101" s="4">
        <v>65</v>
      </c>
      <c r="E101" s="4">
        <v>0</v>
      </c>
      <c r="F101" s="4">
        <v>50</v>
      </c>
      <c r="G101" s="144">
        <f>B101+C101/60</f>
        <v>0</v>
      </c>
      <c r="H101" s="167">
        <v>0</v>
      </c>
      <c r="I101" s="142">
        <f t="shared" si="47"/>
        <v>0</v>
      </c>
      <c r="J101" s="5">
        <f t="shared" si="48"/>
        <v>0</v>
      </c>
      <c r="K101">
        <v>0</v>
      </c>
      <c r="N101" s="119">
        <v>0</v>
      </c>
    </row>
    <row r="102" spans="1:20">
      <c r="A102" s="145">
        <v>46120</v>
      </c>
      <c r="B102" s="4">
        <v>0</v>
      </c>
      <c r="C102" s="4">
        <v>0</v>
      </c>
      <c r="D102" s="4">
        <v>65</v>
      </c>
      <c r="E102" s="4">
        <v>0</v>
      </c>
      <c r="F102" s="4">
        <v>50</v>
      </c>
      <c r="G102" s="144">
        <f t="shared" si="46"/>
        <v>0</v>
      </c>
      <c r="H102" s="167">
        <v>0</v>
      </c>
      <c r="I102" s="142">
        <f t="shared" si="47"/>
        <v>0</v>
      </c>
      <c r="J102" s="5">
        <f t="shared" si="48"/>
        <v>0</v>
      </c>
      <c r="K102">
        <v>0</v>
      </c>
      <c r="N102" s="119">
        <v>0</v>
      </c>
      <c r="R102" t="s">
        <v>64</v>
      </c>
    </row>
    <row r="103" spans="1:20">
      <c r="A103" s="145">
        <v>46121</v>
      </c>
      <c r="B103" s="4">
        <v>0</v>
      </c>
      <c r="C103" s="4">
        <v>0</v>
      </c>
      <c r="D103" s="4">
        <v>45</v>
      </c>
      <c r="E103" s="4">
        <v>0</v>
      </c>
      <c r="F103" s="4">
        <v>50</v>
      </c>
      <c r="G103" s="144">
        <f t="shared" si="46"/>
        <v>0</v>
      </c>
      <c r="H103" s="167">
        <v>0</v>
      </c>
      <c r="I103" s="142">
        <f t="shared" si="47"/>
        <v>0</v>
      </c>
      <c r="J103" s="5">
        <f t="shared" si="48"/>
        <v>0</v>
      </c>
      <c r="K103">
        <v>0</v>
      </c>
      <c r="N103" s="119">
        <v>0</v>
      </c>
    </row>
    <row r="104" spans="1:20">
      <c r="A104" s="145">
        <v>46122</v>
      </c>
      <c r="B104" s="4">
        <v>0</v>
      </c>
      <c r="C104" s="4">
        <v>0</v>
      </c>
      <c r="D104" s="4">
        <v>45</v>
      </c>
      <c r="E104" s="4">
        <v>1</v>
      </c>
      <c r="F104" s="4">
        <v>50</v>
      </c>
      <c r="G104" s="144">
        <f t="shared" si="46"/>
        <v>0</v>
      </c>
      <c r="H104" s="167">
        <v>0</v>
      </c>
      <c r="I104" s="142">
        <f t="shared" si="47"/>
        <v>0</v>
      </c>
      <c r="J104" s="5">
        <f t="shared" si="48"/>
        <v>0</v>
      </c>
      <c r="K104">
        <v>0</v>
      </c>
      <c r="N104" s="119">
        <v>0</v>
      </c>
    </row>
    <row r="105" spans="1:20">
      <c r="A105" s="145">
        <v>46123</v>
      </c>
      <c r="B105" s="4">
        <v>0</v>
      </c>
      <c r="C105" s="4">
        <v>0</v>
      </c>
      <c r="D105" s="4">
        <v>45</v>
      </c>
      <c r="E105" s="4">
        <v>1</v>
      </c>
      <c r="F105" s="4">
        <v>50</v>
      </c>
      <c r="G105" s="10">
        <f t="shared" si="46"/>
        <v>0</v>
      </c>
      <c r="H105" s="141">
        <v>0</v>
      </c>
      <c r="I105" s="5">
        <f t="shared" si="47"/>
        <v>0</v>
      </c>
      <c r="J105" s="5">
        <f t="shared" si="48"/>
        <v>0</v>
      </c>
      <c r="K105">
        <v>0</v>
      </c>
      <c r="N105" s="119">
        <v>0</v>
      </c>
    </row>
    <row r="106" spans="1:20" ht="16" thickBot="1">
      <c r="A106" s="145">
        <v>46124</v>
      </c>
      <c r="B106" s="4">
        <v>0</v>
      </c>
      <c r="C106" s="4">
        <v>0</v>
      </c>
      <c r="D106" s="4">
        <v>45</v>
      </c>
      <c r="E106" s="4">
        <v>1</v>
      </c>
      <c r="F106" s="4">
        <v>50</v>
      </c>
      <c r="G106" s="10">
        <f t="shared" si="46"/>
        <v>0</v>
      </c>
      <c r="H106" s="4">
        <v>0</v>
      </c>
      <c r="I106" s="5">
        <f t="shared" si="47"/>
        <v>0</v>
      </c>
      <c r="J106" s="5">
        <f t="shared" si="48"/>
        <v>0</v>
      </c>
      <c r="K106">
        <v>0</v>
      </c>
      <c r="N106" s="119">
        <v>0</v>
      </c>
    </row>
    <row r="107" spans="1:20" ht="19">
      <c r="A107" s="91" t="s">
        <v>505</v>
      </c>
      <c r="B107" s="8">
        <f>SUM(B108:B115)</f>
        <v>50</v>
      </c>
      <c r="C107" s="8">
        <f>SUM(C108:C115)</f>
        <v>147</v>
      </c>
      <c r="D107" s="8">
        <v>45</v>
      </c>
      <c r="E107" s="8">
        <f>SUM(E108:E115)</f>
        <v>6</v>
      </c>
      <c r="F107" s="8">
        <f>SUM(F108:F115)</f>
        <v>400</v>
      </c>
      <c r="G107" s="93">
        <f t="shared" si="46"/>
        <v>52.45</v>
      </c>
      <c r="H107" s="8">
        <f>SUM(H108:H115)</f>
        <v>350</v>
      </c>
      <c r="I107" s="9">
        <f>SUM(I108:I115)</f>
        <v>2133.5833333333335</v>
      </c>
      <c r="J107" s="14">
        <f>SUM(J108:J115)</f>
        <v>1833.5833333333335</v>
      </c>
      <c r="K107" s="8">
        <f>SUM(K108:K115)</f>
        <v>153</v>
      </c>
      <c r="L107" s="9">
        <v>0</v>
      </c>
      <c r="M107" s="96">
        <f>J107</f>
        <v>1833.5833333333335</v>
      </c>
      <c r="N107" s="102">
        <f>SUM(N108:N115)</f>
        <v>3805</v>
      </c>
      <c r="O107" s="98">
        <f>3761-N107</f>
        <v>-44</v>
      </c>
      <c r="P107" s="98"/>
      <c r="Q107" s="86"/>
      <c r="R107" s="86"/>
      <c r="S107" s="86"/>
      <c r="T107" s="86"/>
    </row>
    <row r="108" spans="1:20">
      <c r="A108" s="145">
        <v>46118</v>
      </c>
      <c r="B108" s="4">
        <v>10</v>
      </c>
      <c r="C108" s="4">
        <v>1</v>
      </c>
      <c r="D108" s="4">
        <v>55</v>
      </c>
      <c r="E108" s="4">
        <v>1</v>
      </c>
      <c r="F108" s="4">
        <v>50</v>
      </c>
      <c r="G108" s="10">
        <f t="shared" si="46"/>
        <v>10.016666666666667</v>
      </c>
      <c r="H108" s="4">
        <v>50</v>
      </c>
      <c r="I108" s="5">
        <f t="shared" ref="I108:I115" si="49">G108*D108</f>
        <v>550.91666666666674</v>
      </c>
      <c r="J108" s="5">
        <f t="shared" ref="J108:J115" si="50">I108-H108</f>
        <v>500.91666666666674</v>
      </c>
      <c r="K108">
        <v>27</v>
      </c>
      <c r="N108" s="119">
        <f>728+40</f>
        <v>768</v>
      </c>
      <c r="O108" s="51"/>
      <c r="P108" s="51"/>
      <c r="Q108" t="s">
        <v>605</v>
      </c>
    </row>
    <row r="109" spans="1:20">
      <c r="A109" s="145">
        <v>46119</v>
      </c>
      <c r="B109" s="4">
        <v>9</v>
      </c>
      <c r="C109" s="4">
        <v>12</v>
      </c>
      <c r="D109" s="4">
        <v>55</v>
      </c>
      <c r="E109" s="4">
        <v>1</v>
      </c>
      <c r="F109" s="4">
        <v>50</v>
      </c>
      <c r="G109" s="10">
        <v>0</v>
      </c>
      <c r="H109" s="4">
        <v>50</v>
      </c>
      <c r="I109" s="5"/>
      <c r="J109" s="5"/>
      <c r="K109">
        <v>28</v>
      </c>
      <c r="N109" s="119">
        <f>554</f>
        <v>554</v>
      </c>
      <c r="O109" s="51"/>
      <c r="P109" s="51"/>
      <c r="Q109" t="s">
        <v>606</v>
      </c>
    </row>
    <row r="110" spans="1:20">
      <c r="A110" s="145">
        <v>46120</v>
      </c>
      <c r="B110" s="4">
        <v>8</v>
      </c>
      <c r="C110" s="4">
        <v>43</v>
      </c>
      <c r="D110" s="4">
        <v>55</v>
      </c>
      <c r="E110" s="4">
        <v>1</v>
      </c>
      <c r="F110" s="4">
        <v>50</v>
      </c>
      <c r="G110" s="10">
        <f t="shared" si="46"/>
        <v>8.7166666666666668</v>
      </c>
      <c r="H110" s="4">
        <v>50</v>
      </c>
      <c r="I110" s="5">
        <f t="shared" si="49"/>
        <v>479.41666666666669</v>
      </c>
      <c r="J110" s="5">
        <f t="shared" si="50"/>
        <v>429.41666666666669</v>
      </c>
      <c r="K110">
        <v>29</v>
      </c>
      <c r="N110" s="119">
        <f>464</f>
        <v>464</v>
      </c>
      <c r="Q110" t="s">
        <v>607</v>
      </c>
    </row>
    <row r="111" spans="1:20">
      <c r="A111" s="145">
        <v>46121</v>
      </c>
      <c r="B111" s="4">
        <v>8</v>
      </c>
      <c r="C111" s="4">
        <v>28</v>
      </c>
      <c r="D111" s="4">
        <v>45</v>
      </c>
      <c r="E111" s="4">
        <v>1</v>
      </c>
      <c r="F111" s="4">
        <v>50</v>
      </c>
      <c r="G111" s="10">
        <f t="shared" si="46"/>
        <v>8.4666666666666668</v>
      </c>
      <c r="H111" s="4">
        <v>50</v>
      </c>
      <c r="I111" s="5">
        <f t="shared" si="49"/>
        <v>381</v>
      </c>
      <c r="J111" s="5">
        <f t="shared" si="50"/>
        <v>331</v>
      </c>
      <c r="K111">
        <v>22</v>
      </c>
      <c r="N111" s="119">
        <f>724</f>
        <v>724</v>
      </c>
      <c r="Q111" t="s">
        <v>608</v>
      </c>
      <c r="R111" t="s">
        <v>64</v>
      </c>
    </row>
    <row r="112" spans="1:20">
      <c r="A112" s="145">
        <v>46122</v>
      </c>
      <c r="B112" s="4">
        <v>6</v>
      </c>
      <c r="C112" s="4">
        <v>50</v>
      </c>
      <c r="D112" s="4">
        <v>45</v>
      </c>
      <c r="E112" s="4">
        <v>1</v>
      </c>
      <c r="F112" s="4">
        <v>50</v>
      </c>
      <c r="G112" s="10">
        <f t="shared" si="46"/>
        <v>6.833333333333333</v>
      </c>
      <c r="H112" s="4">
        <v>50</v>
      </c>
      <c r="I112" s="5">
        <f t="shared" si="49"/>
        <v>307.5</v>
      </c>
      <c r="J112" s="5">
        <f t="shared" si="50"/>
        <v>257.5</v>
      </c>
      <c r="K112">
        <v>21</v>
      </c>
      <c r="N112" s="119">
        <f>345+150</f>
        <v>495</v>
      </c>
      <c r="Q112" t="s">
        <v>609</v>
      </c>
    </row>
    <row r="113" spans="1:18">
      <c r="A113" s="145">
        <v>46123</v>
      </c>
      <c r="B113" s="4">
        <v>9</v>
      </c>
      <c r="C113" s="4">
        <v>13</v>
      </c>
      <c r="D113" s="4">
        <v>45</v>
      </c>
      <c r="E113" s="4">
        <v>1</v>
      </c>
      <c r="F113" s="4">
        <v>50</v>
      </c>
      <c r="G113" s="10">
        <f t="shared" si="46"/>
        <v>9.2166666666666668</v>
      </c>
      <c r="H113" s="4">
        <v>50</v>
      </c>
      <c r="I113" s="5">
        <f t="shared" si="49"/>
        <v>414.75</v>
      </c>
      <c r="J113" s="5">
        <f t="shared" si="50"/>
        <v>364.75</v>
      </c>
      <c r="K113">
        <v>26</v>
      </c>
      <c r="N113" s="119">
        <f>650+150</f>
        <v>800</v>
      </c>
      <c r="Q113" t="s">
        <v>610</v>
      </c>
    </row>
    <row r="114" spans="1:18">
      <c r="A114" s="145">
        <v>46124</v>
      </c>
      <c r="B114" s="4">
        <v>0</v>
      </c>
      <c r="C114" s="4">
        <v>0</v>
      </c>
      <c r="D114" s="4">
        <v>0</v>
      </c>
      <c r="E114" s="4">
        <v>0</v>
      </c>
      <c r="F114" s="4">
        <v>50</v>
      </c>
      <c r="G114" s="10">
        <f t="shared" si="46"/>
        <v>0</v>
      </c>
      <c r="H114" s="4">
        <v>0</v>
      </c>
      <c r="I114" s="5">
        <f t="shared" si="49"/>
        <v>0</v>
      </c>
      <c r="J114" s="5">
        <f t="shared" si="50"/>
        <v>0</v>
      </c>
      <c r="K114">
        <v>0</v>
      </c>
      <c r="N114" s="119">
        <v>0</v>
      </c>
    </row>
    <row r="115" spans="1:18" ht="16" thickBot="1">
      <c r="A115" s="145">
        <v>46125</v>
      </c>
      <c r="B115" s="4">
        <v>0</v>
      </c>
      <c r="C115" s="4">
        <v>0</v>
      </c>
      <c r="D115" s="4">
        <v>0</v>
      </c>
      <c r="E115" s="4">
        <v>0</v>
      </c>
      <c r="F115" s="4">
        <v>50</v>
      </c>
      <c r="G115" s="10">
        <f t="shared" si="46"/>
        <v>0</v>
      </c>
      <c r="H115" s="4">
        <v>50</v>
      </c>
      <c r="I115" s="5">
        <f t="shared" si="49"/>
        <v>0</v>
      </c>
      <c r="J115" s="5">
        <f t="shared" si="50"/>
        <v>-50</v>
      </c>
      <c r="K115">
        <v>0</v>
      </c>
      <c r="N115" s="119">
        <v>0</v>
      </c>
    </row>
    <row r="116" spans="1:18" s="86" customFormat="1" ht="19">
      <c r="A116" s="91" t="s">
        <v>611</v>
      </c>
      <c r="B116" s="8">
        <f>SUM(B117:B123)</f>
        <v>55</v>
      </c>
      <c r="C116" s="8">
        <f>SUM(C117:C123)</f>
        <v>225</v>
      </c>
      <c r="D116" s="8">
        <v>45</v>
      </c>
      <c r="E116" s="8">
        <f>SUM(E117:E123)</f>
        <v>7</v>
      </c>
      <c r="F116" s="8">
        <f>SUM(F117:F123)</f>
        <v>350</v>
      </c>
      <c r="G116" s="93">
        <f t="shared" si="46"/>
        <v>58.75</v>
      </c>
      <c r="H116" s="8">
        <f>SUM(H117:H123)</f>
        <v>300</v>
      </c>
      <c r="I116" s="14">
        <f>SUM(I117:I123)</f>
        <v>2960.083333333333</v>
      </c>
      <c r="J116" s="14">
        <f>SUM(J117:J123)</f>
        <v>2660.083333333333</v>
      </c>
      <c r="K116" s="8">
        <f>SUM(K117:K123)</f>
        <v>161</v>
      </c>
      <c r="L116" s="9">
        <v>0</v>
      </c>
      <c r="M116" s="96">
        <f>J116</f>
        <v>2660.083333333333</v>
      </c>
      <c r="N116" s="102">
        <f>SUM(N117:N123)</f>
        <v>5280</v>
      </c>
      <c r="O116" s="98">
        <f>5448-N116</f>
        <v>168</v>
      </c>
      <c r="P116" s="98"/>
    </row>
    <row r="117" spans="1:18">
      <c r="A117" s="146" t="s">
        <v>547</v>
      </c>
      <c r="B117" s="4">
        <v>10</v>
      </c>
      <c r="C117" s="4">
        <v>30</v>
      </c>
      <c r="D117" s="4">
        <v>55</v>
      </c>
      <c r="E117" s="4">
        <v>1</v>
      </c>
      <c r="F117" s="4">
        <v>50</v>
      </c>
      <c r="G117" s="10">
        <f t="shared" si="46"/>
        <v>10.5</v>
      </c>
      <c r="H117" s="4">
        <v>50</v>
      </c>
      <c r="I117" s="5">
        <f t="shared" ref="I117:I123" si="51">G117*D117</f>
        <v>577.5</v>
      </c>
      <c r="J117" s="5">
        <f t="shared" ref="J117:J123" si="52">I117-H117</f>
        <v>527.5</v>
      </c>
      <c r="K117">
        <v>27</v>
      </c>
      <c r="N117" s="119">
        <v>1120</v>
      </c>
      <c r="O117" s="51"/>
      <c r="P117" s="51"/>
    </row>
    <row r="118" spans="1:18">
      <c r="A118" s="146" t="s">
        <v>587</v>
      </c>
      <c r="B118" s="4">
        <v>10</v>
      </c>
      <c r="C118" s="4">
        <v>43</v>
      </c>
      <c r="D118" s="4">
        <v>55</v>
      </c>
      <c r="E118" s="4">
        <v>1</v>
      </c>
      <c r="F118" s="4">
        <v>50</v>
      </c>
      <c r="G118" s="10">
        <f t="shared" si="46"/>
        <v>10.716666666666667</v>
      </c>
      <c r="H118" s="4">
        <v>50</v>
      </c>
      <c r="I118" s="5">
        <f t="shared" si="51"/>
        <v>589.41666666666663</v>
      </c>
      <c r="J118" s="5">
        <f t="shared" si="52"/>
        <v>539.41666666666663</v>
      </c>
      <c r="K118">
        <v>27</v>
      </c>
      <c r="N118" s="119">
        <v>850</v>
      </c>
      <c r="Q118" t="s">
        <v>612</v>
      </c>
    </row>
    <row r="119" spans="1:18">
      <c r="A119" s="146" t="s">
        <v>564</v>
      </c>
      <c r="B119" s="4">
        <v>10</v>
      </c>
      <c r="C119" s="4">
        <v>25</v>
      </c>
      <c r="D119" s="4">
        <v>55</v>
      </c>
      <c r="E119" s="4">
        <v>1</v>
      </c>
      <c r="F119" s="4">
        <v>50</v>
      </c>
      <c r="G119" s="10">
        <f t="shared" si="46"/>
        <v>10.416666666666666</v>
      </c>
      <c r="H119" s="4">
        <v>50</v>
      </c>
      <c r="I119" s="5">
        <f t="shared" si="51"/>
        <v>572.91666666666663</v>
      </c>
      <c r="J119" s="5">
        <f t="shared" si="52"/>
        <v>522.91666666666663</v>
      </c>
      <c r="K119">
        <v>27</v>
      </c>
      <c r="N119" s="119">
        <v>850</v>
      </c>
      <c r="R119" t="s">
        <v>64</v>
      </c>
    </row>
    <row r="120" spans="1:18">
      <c r="A120" s="146" t="s">
        <v>566</v>
      </c>
      <c r="B120" s="4">
        <v>10</v>
      </c>
      <c r="C120" s="4">
        <v>29</v>
      </c>
      <c r="D120" s="4">
        <v>45</v>
      </c>
      <c r="E120" s="4">
        <v>1</v>
      </c>
      <c r="F120" s="4">
        <v>50</v>
      </c>
      <c r="G120" s="10">
        <f t="shared" si="46"/>
        <v>10.483333333333333</v>
      </c>
      <c r="H120" s="4">
        <v>50</v>
      </c>
      <c r="I120" s="5">
        <f t="shared" si="51"/>
        <v>471.74999999999994</v>
      </c>
      <c r="J120" s="5">
        <f t="shared" si="52"/>
        <v>421.74999999999994</v>
      </c>
      <c r="K120">
        <v>26</v>
      </c>
      <c r="N120" s="119">
        <f>750</f>
        <v>750</v>
      </c>
    </row>
    <row r="121" spans="1:18">
      <c r="A121" s="146" t="s">
        <v>568</v>
      </c>
      <c r="B121" s="4">
        <v>8</v>
      </c>
      <c r="C121" s="4">
        <v>41</v>
      </c>
      <c r="D121" s="4">
        <v>45</v>
      </c>
      <c r="E121" s="4">
        <v>1</v>
      </c>
      <c r="F121" s="4">
        <v>50</v>
      </c>
      <c r="G121" s="10">
        <f t="shared" si="46"/>
        <v>8.6833333333333336</v>
      </c>
      <c r="H121" s="4">
        <v>50</v>
      </c>
      <c r="I121" s="5">
        <f t="shared" si="51"/>
        <v>390.75</v>
      </c>
      <c r="J121" s="5">
        <f t="shared" si="52"/>
        <v>340.75</v>
      </c>
      <c r="K121">
        <v>26</v>
      </c>
      <c r="N121" s="119">
        <f>660</f>
        <v>660</v>
      </c>
      <c r="Q121" t="s">
        <v>613</v>
      </c>
    </row>
    <row r="122" spans="1:18">
      <c r="A122" s="146" t="s">
        <v>570</v>
      </c>
      <c r="B122" s="4">
        <v>7</v>
      </c>
      <c r="C122" s="4">
        <v>57</v>
      </c>
      <c r="D122" s="4">
        <v>45</v>
      </c>
      <c r="E122" s="4">
        <v>1</v>
      </c>
      <c r="F122" s="4">
        <v>50</v>
      </c>
      <c r="G122" s="10">
        <f t="shared" si="46"/>
        <v>7.95</v>
      </c>
      <c r="H122" s="4">
        <v>50</v>
      </c>
      <c r="I122" s="5">
        <f t="shared" si="51"/>
        <v>357.75</v>
      </c>
      <c r="J122" s="5">
        <f t="shared" si="52"/>
        <v>307.75</v>
      </c>
      <c r="K122">
        <v>28</v>
      </c>
      <c r="N122" s="119">
        <f>900+150</f>
        <v>1050</v>
      </c>
      <c r="Q122" t="s">
        <v>614</v>
      </c>
    </row>
    <row r="123" spans="1:18" ht="16" thickBot="1">
      <c r="A123" s="146" t="s">
        <v>571</v>
      </c>
      <c r="B123" s="4">
        <v>0</v>
      </c>
      <c r="C123" s="4">
        <v>0</v>
      </c>
      <c r="D123" s="4">
        <v>45</v>
      </c>
      <c r="E123" s="4">
        <v>1</v>
      </c>
      <c r="F123" s="4">
        <v>50</v>
      </c>
      <c r="G123" s="10">
        <f t="shared" si="46"/>
        <v>0</v>
      </c>
      <c r="H123" s="4">
        <v>0</v>
      </c>
      <c r="I123" s="5">
        <f t="shared" si="51"/>
        <v>0</v>
      </c>
      <c r="J123" s="5">
        <f t="shared" si="52"/>
        <v>0</v>
      </c>
      <c r="K123">
        <v>0</v>
      </c>
      <c r="N123" s="119">
        <v>0</v>
      </c>
    </row>
    <row r="124" spans="1:18" s="86" customFormat="1" ht="19">
      <c r="A124" s="91" t="s">
        <v>518</v>
      </c>
      <c r="B124" s="8">
        <f>SUM(B125:B131)</f>
        <v>54</v>
      </c>
      <c r="C124" s="8">
        <f>SUM(C125:C131)</f>
        <v>158</v>
      </c>
      <c r="D124" s="8">
        <f>SUM(D125)</f>
        <v>0</v>
      </c>
      <c r="E124" s="8">
        <f>SUM(E125:E130)</f>
        <v>5</v>
      </c>
      <c r="F124" s="8">
        <f>SUM(F125:F130)</f>
        <v>300</v>
      </c>
      <c r="G124" s="93">
        <f t="shared" si="46"/>
        <v>56.633333333333333</v>
      </c>
      <c r="H124" s="8">
        <f>SUM(H125:H131)</f>
        <v>300</v>
      </c>
      <c r="I124" s="9">
        <f>SUM(I125:I131)</f>
        <v>2950.5</v>
      </c>
      <c r="J124" s="14">
        <f>SUM(J125:J131)</f>
        <v>2650.5</v>
      </c>
      <c r="K124" s="8">
        <f>SUM(K125:K131)</f>
        <v>150</v>
      </c>
      <c r="L124" s="9">
        <v>0</v>
      </c>
      <c r="M124" s="96">
        <f>J124</f>
        <v>2650.5</v>
      </c>
      <c r="N124" s="102">
        <f>SUM(N125:N131)</f>
        <v>4092</v>
      </c>
      <c r="O124" s="98">
        <f>4460-N124</f>
        <v>368</v>
      </c>
      <c r="P124" s="98"/>
    </row>
    <row r="125" spans="1:18">
      <c r="A125" s="145">
        <v>46118</v>
      </c>
      <c r="B125" s="4">
        <v>0</v>
      </c>
      <c r="C125" s="4">
        <v>0</v>
      </c>
      <c r="D125" s="4">
        <v>0</v>
      </c>
      <c r="E125" s="4">
        <v>0</v>
      </c>
      <c r="F125" s="4">
        <v>50</v>
      </c>
      <c r="G125" s="10">
        <f>B125+C125/60</f>
        <v>0</v>
      </c>
      <c r="H125" s="4">
        <v>0</v>
      </c>
      <c r="I125" s="5">
        <f t="shared" ref="I125:I130" si="53">G125*D125</f>
        <v>0</v>
      </c>
      <c r="J125" s="5">
        <f>I125-H125</f>
        <v>0</v>
      </c>
      <c r="K125">
        <v>0</v>
      </c>
      <c r="N125" s="119">
        <v>0</v>
      </c>
      <c r="O125" s="51"/>
      <c r="P125" s="51"/>
    </row>
    <row r="126" spans="1:18">
      <c r="A126" s="145">
        <v>46119</v>
      </c>
      <c r="B126" s="4">
        <v>10</v>
      </c>
      <c r="C126" s="4">
        <v>10</v>
      </c>
      <c r="D126" s="4">
        <v>55</v>
      </c>
      <c r="E126" s="4">
        <v>1</v>
      </c>
      <c r="F126" s="4">
        <v>50</v>
      </c>
      <c r="G126" s="10">
        <f t="shared" ref="G126:G148" si="54">B126+C126/60</f>
        <v>10.166666666666666</v>
      </c>
      <c r="H126" s="4">
        <v>50</v>
      </c>
      <c r="I126" s="5">
        <f t="shared" si="53"/>
        <v>559.16666666666663</v>
      </c>
      <c r="J126" s="5">
        <f>I126-H126</f>
        <v>509.16666666666663</v>
      </c>
      <c r="K126">
        <v>29</v>
      </c>
      <c r="N126" s="119">
        <f>301</f>
        <v>301</v>
      </c>
    </row>
    <row r="127" spans="1:18">
      <c r="A127" s="145">
        <v>46120</v>
      </c>
      <c r="B127" s="4">
        <v>9</v>
      </c>
      <c r="C127" s="4">
        <v>40</v>
      </c>
      <c r="D127" s="4">
        <v>45</v>
      </c>
      <c r="E127" s="4">
        <v>1</v>
      </c>
      <c r="F127" s="4">
        <v>50</v>
      </c>
      <c r="G127" s="10">
        <f t="shared" si="54"/>
        <v>9.6666666666666661</v>
      </c>
      <c r="H127" s="4">
        <v>50</v>
      </c>
      <c r="I127" s="5">
        <f t="shared" si="53"/>
        <v>435</v>
      </c>
      <c r="J127" s="5">
        <f t="shared" ref="J127:J131" si="55">I127-H127</f>
        <v>385</v>
      </c>
      <c r="K127">
        <v>21</v>
      </c>
      <c r="N127" s="83">
        <f>977</f>
        <v>977</v>
      </c>
      <c r="R127" t="s">
        <v>64</v>
      </c>
    </row>
    <row r="128" spans="1:18">
      <c r="A128" s="145">
        <v>46121</v>
      </c>
      <c r="B128" s="4">
        <v>8</v>
      </c>
      <c r="C128" s="4">
        <v>47</v>
      </c>
      <c r="D128" s="4">
        <v>45</v>
      </c>
      <c r="E128" s="4">
        <v>1</v>
      </c>
      <c r="F128" s="4">
        <v>50</v>
      </c>
      <c r="G128" s="10">
        <f t="shared" si="54"/>
        <v>8.7833333333333332</v>
      </c>
      <c r="H128" s="4">
        <v>50</v>
      </c>
      <c r="I128" s="5">
        <f t="shared" si="53"/>
        <v>395.25</v>
      </c>
      <c r="J128" s="5">
        <f t="shared" si="55"/>
        <v>345.25</v>
      </c>
      <c r="K128">
        <v>18</v>
      </c>
      <c r="N128" s="119">
        <f>261+200+200</f>
        <v>661</v>
      </c>
      <c r="P128" t="s">
        <v>615</v>
      </c>
    </row>
    <row r="129" spans="1:18">
      <c r="A129" s="145">
        <v>46122</v>
      </c>
      <c r="B129" s="4">
        <v>9</v>
      </c>
      <c r="C129" s="4">
        <v>52</v>
      </c>
      <c r="D129" s="4">
        <v>55</v>
      </c>
      <c r="E129" s="4">
        <v>1</v>
      </c>
      <c r="F129" s="4">
        <v>50</v>
      </c>
      <c r="G129" s="10">
        <f t="shared" si="54"/>
        <v>9.8666666666666671</v>
      </c>
      <c r="H129" s="4">
        <v>50</v>
      </c>
      <c r="I129" s="5">
        <f t="shared" si="53"/>
        <v>542.66666666666674</v>
      </c>
      <c r="J129" s="5">
        <f t="shared" si="55"/>
        <v>492.66666666666674</v>
      </c>
      <c r="K129">
        <v>28</v>
      </c>
      <c r="N129" s="119">
        <f>337+200</f>
        <v>537</v>
      </c>
      <c r="P129" t="s">
        <v>134</v>
      </c>
    </row>
    <row r="130" spans="1:18">
      <c r="A130" s="145">
        <v>46123</v>
      </c>
      <c r="B130" s="4">
        <v>8</v>
      </c>
      <c r="C130" s="4">
        <v>4</v>
      </c>
      <c r="D130" s="4">
        <v>45</v>
      </c>
      <c r="E130" s="4">
        <v>1</v>
      </c>
      <c r="F130" s="4">
        <v>50</v>
      </c>
      <c r="G130" s="10">
        <f t="shared" si="54"/>
        <v>8.0666666666666664</v>
      </c>
      <c r="H130" s="4">
        <v>50</v>
      </c>
      <c r="I130" s="5">
        <f t="shared" si="53"/>
        <v>363</v>
      </c>
      <c r="J130" s="5">
        <f t="shared" si="55"/>
        <v>313</v>
      </c>
      <c r="K130">
        <v>22</v>
      </c>
      <c r="N130" s="119">
        <f>790</f>
        <v>790</v>
      </c>
      <c r="Q130" t="s">
        <v>616</v>
      </c>
    </row>
    <row r="131" spans="1:18" ht="16" thickBot="1">
      <c r="A131" s="145">
        <v>46124</v>
      </c>
      <c r="B131" s="4">
        <v>10</v>
      </c>
      <c r="C131" s="4">
        <v>5</v>
      </c>
      <c r="D131" s="4">
        <v>65</v>
      </c>
      <c r="E131" s="4">
        <v>0</v>
      </c>
      <c r="F131" s="4">
        <v>50</v>
      </c>
      <c r="G131" s="10">
        <f t="shared" si="54"/>
        <v>10.083333333333334</v>
      </c>
      <c r="H131" s="4">
        <v>50</v>
      </c>
      <c r="I131" s="5">
        <f>G131*D131</f>
        <v>655.41666666666674</v>
      </c>
      <c r="J131" s="5">
        <f t="shared" si="55"/>
        <v>605.41666666666674</v>
      </c>
      <c r="K131">
        <v>32</v>
      </c>
      <c r="N131" s="119">
        <f>826</f>
        <v>826</v>
      </c>
      <c r="Q131" t="s">
        <v>617</v>
      </c>
    </row>
    <row r="132" spans="1:18" s="86" customFormat="1" ht="19">
      <c r="A132" s="91" t="s">
        <v>519</v>
      </c>
      <c r="B132" s="8">
        <f>SUM(B133:B139)</f>
        <v>43</v>
      </c>
      <c r="C132" s="8">
        <f>SUM(C133:C139)</f>
        <v>137</v>
      </c>
      <c r="D132" s="8">
        <f>SUM(D133)</f>
        <v>65</v>
      </c>
      <c r="E132" s="8">
        <f>SUM(E133:E138)</f>
        <v>5</v>
      </c>
      <c r="F132" s="8">
        <f>SUM(F133:F138)</f>
        <v>300</v>
      </c>
      <c r="G132" s="93">
        <f t="shared" si="54"/>
        <v>45.283333333333331</v>
      </c>
      <c r="H132" s="8">
        <f>SUM(H133:H139)</f>
        <v>250</v>
      </c>
      <c r="I132" s="9">
        <f>SUM(I133:I139)</f>
        <v>2694.9166666666665</v>
      </c>
      <c r="J132" s="14">
        <f>SUM(J133:J139)</f>
        <v>2444.9166666666665</v>
      </c>
      <c r="K132" s="8">
        <f>SUM(K133:K139)</f>
        <v>151</v>
      </c>
      <c r="L132" s="9">
        <v>0</v>
      </c>
      <c r="M132" s="96">
        <f>J132</f>
        <v>2444.9166666666665</v>
      </c>
      <c r="N132" s="102">
        <f>SUM(N133:N139)</f>
        <v>4606</v>
      </c>
      <c r="O132" s="98">
        <f>4843-N132</f>
        <v>237</v>
      </c>
      <c r="P132" s="98"/>
    </row>
    <row r="133" spans="1:18">
      <c r="A133" s="146" t="s">
        <v>547</v>
      </c>
      <c r="B133" s="4">
        <v>10</v>
      </c>
      <c r="C133" s="4">
        <v>15</v>
      </c>
      <c r="D133" s="4">
        <v>65</v>
      </c>
      <c r="E133" s="4">
        <v>1</v>
      </c>
      <c r="F133" s="4">
        <v>50</v>
      </c>
      <c r="G133" s="10">
        <f>B133+C133/60</f>
        <v>10.25</v>
      </c>
      <c r="H133" s="4">
        <v>50</v>
      </c>
      <c r="I133" s="5">
        <f t="shared" ref="I133:I138" si="56">G133*D133</f>
        <v>666.25</v>
      </c>
      <c r="J133" s="5">
        <f>I133-H133</f>
        <v>616.25</v>
      </c>
      <c r="K133">
        <v>32</v>
      </c>
      <c r="N133" s="119">
        <f>1056+200</f>
        <v>1256</v>
      </c>
      <c r="O133" s="51"/>
      <c r="P133" s="51"/>
    </row>
    <row r="134" spans="1:18">
      <c r="A134" s="146" t="s">
        <v>587</v>
      </c>
      <c r="B134" s="4">
        <v>9</v>
      </c>
      <c r="C134" s="4">
        <v>48</v>
      </c>
      <c r="D134" s="4">
        <v>65</v>
      </c>
      <c r="E134" s="4">
        <v>1</v>
      </c>
      <c r="F134" s="4">
        <v>50</v>
      </c>
      <c r="G134" s="10">
        <f t="shared" ref="G134:G140" si="57">B134+C134/60</f>
        <v>9.8000000000000007</v>
      </c>
      <c r="H134" s="4">
        <v>50</v>
      </c>
      <c r="I134" s="5">
        <f t="shared" si="56"/>
        <v>637</v>
      </c>
      <c r="J134" s="5">
        <f>I134-H134</f>
        <v>587</v>
      </c>
      <c r="K134">
        <v>34</v>
      </c>
      <c r="N134" s="119">
        <f>1078+200</f>
        <v>1278</v>
      </c>
    </row>
    <row r="135" spans="1:18">
      <c r="A135" s="146" t="s">
        <v>564</v>
      </c>
      <c r="B135" s="4">
        <v>8</v>
      </c>
      <c r="C135" s="4">
        <v>11</v>
      </c>
      <c r="D135" s="4">
        <v>65</v>
      </c>
      <c r="E135" s="4">
        <v>1</v>
      </c>
      <c r="F135" s="4">
        <v>50</v>
      </c>
      <c r="G135" s="10">
        <f t="shared" si="57"/>
        <v>8.1833333333333336</v>
      </c>
      <c r="H135" s="4">
        <v>50</v>
      </c>
      <c r="I135" s="5">
        <f t="shared" si="56"/>
        <v>531.91666666666663</v>
      </c>
      <c r="J135" s="5">
        <f t="shared" ref="J135:J139" si="58">I135-H135</f>
        <v>481.91666666666663</v>
      </c>
      <c r="K135">
        <v>32</v>
      </c>
      <c r="N135" s="83">
        <f>592</f>
        <v>592</v>
      </c>
      <c r="R135" t="s">
        <v>64</v>
      </c>
    </row>
    <row r="136" spans="1:18">
      <c r="A136" s="146" t="s">
        <v>566</v>
      </c>
      <c r="B136" s="4">
        <v>7</v>
      </c>
      <c r="C136" s="4">
        <v>48</v>
      </c>
      <c r="D136" s="4">
        <v>45</v>
      </c>
      <c r="E136" s="4">
        <v>1</v>
      </c>
      <c r="F136" s="4">
        <v>50</v>
      </c>
      <c r="G136" s="10">
        <f t="shared" si="57"/>
        <v>7.8</v>
      </c>
      <c r="H136" s="4">
        <v>50</v>
      </c>
      <c r="I136" s="5">
        <f t="shared" si="56"/>
        <v>351</v>
      </c>
      <c r="J136" s="5">
        <f t="shared" si="58"/>
        <v>301</v>
      </c>
      <c r="K136">
        <v>22</v>
      </c>
      <c r="N136" s="119">
        <f>669</f>
        <v>669</v>
      </c>
      <c r="Q136" t="s">
        <v>618</v>
      </c>
    </row>
    <row r="137" spans="1:18">
      <c r="A137" s="146" t="s">
        <v>568</v>
      </c>
      <c r="B137" s="4">
        <v>9</v>
      </c>
      <c r="C137" s="4">
        <v>15</v>
      </c>
      <c r="D137" s="4">
        <v>55</v>
      </c>
      <c r="E137" s="4">
        <v>1</v>
      </c>
      <c r="F137" s="4">
        <v>50</v>
      </c>
      <c r="G137" s="10">
        <f t="shared" si="57"/>
        <v>9.25</v>
      </c>
      <c r="H137" s="4">
        <v>50</v>
      </c>
      <c r="I137" s="5">
        <f t="shared" si="56"/>
        <v>508.75</v>
      </c>
      <c r="J137" s="5">
        <f t="shared" si="58"/>
        <v>458.75</v>
      </c>
      <c r="K137">
        <v>31</v>
      </c>
      <c r="N137" s="119">
        <f>711+100</f>
        <v>811</v>
      </c>
    </row>
    <row r="138" spans="1:18">
      <c r="A138" s="146" t="s">
        <v>570</v>
      </c>
      <c r="B138" s="4">
        <v>0</v>
      </c>
      <c r="C138" s="4">
        <v>0</v>
      </c>
      <c r="D138" s="4">
        <v>45</v>
      </c>
      <c r="E138" s="4">
        <v>0</v>
      </c>
      <c r="F138" s="4">
        <v>50</v>
      </c>
      <c r="G138" s="10">
        <f t="shared" si="57"/>
        <v>0</v>
      </c>
      <c r="H138" s="4">
        <v>0</v>
      </c>
      <c r="I138" s="5">
        <f t="shared" si="56"/>
        <v>0</v>
      </c>
      <c r="J138" s="5">
        <f t="shared" si="58"/>
        <v>0</v>
      </c>
      <c r="K138">
        <v>0</v>
      </c>
      <c r="N138" s="119">
        <v>0</v>
      </c>
    </row>
    <row r="139" spans="1:18" ht="16" thickBot="1">
      <c r="A139" s="146" t="s">
        <v>571</v>
      </c>
      <c r="B139" s="4">
        <v>0</v>
      </c>
      <c r="C139" s="4">
        <v>0</v>
      </c>
      <c r="D139" s="4">
        <v>45</v>
      </c>
      <c r="E139" s="4">
        <v>0</v>
      </c>
      <c r="F139" s="4">
        <v>50</v>
      </c>
      <c r="G139" s="10">
        <f t="shared" si="57"/>
        <v>0</v>
      </c>
      <c r="H139" s="4">
        <v>0</v>
      </c>
      <c r="I139" s="5">
        <f>G139*D139</f>
        <v>0</v>
      </c>
      <c r="J139" s="5">
        <f t="shared" si="58"/>
        <v>0</v>
      </c>
      <c r="K139">
        <v>0</v>
      </c>
      <c r="N139" s="119">
        <v>0</v>
      </c>
    </row>
    <row r="140" spans="1:18" s="86" customFormat="1" ht="19">
      <c r="A140" s="91" t="s">
        <v>528</v>
      </c>
      <c r="B140" s="8">
        <f>SUM(B141:B147)</f>
        <v>50</v>
      </c>
      <c r="C140" s="8">
        <f>SUM(C141:C147)</f>
        <v>189</v>
      </c>
      <c r="D140" s="8">
        <f>SUM(D141)</f>
        <v>45</v>
      </c>
      <c r="E140" s="8">
        <f>SUM(E141:E146)</f>
        <v>5</v>
      </c>
      <c r="F140" s="8">
        <f>SUM(F141:F147)</f>
        <v>250</v>
      </c>
      <c r="G140" s="93">
        <f t="shared" si="57"/>
        <v>53.15</v>
      </c>
      <c r="H140" s="8">
        <f>SUM(H141:H147)</f>
        <v>300</v>
      </c>
      <c r="I140" s="9">
        <f>SUM(I141:I147)</f>
        <v>2498.25</v>
      </c>
      <c r="J140" s="14">
        <f>SUM(J141:J147)</f>
        <v>2198.25</v>
      </c>
      <c r="K140" s="8">
        <f>SUM(K141:K147)</f>
        <v>138</v>
      </c>
      <c r="L140" s="9">
        <v>0</v>
      </c>
      <c r="M140" s="96">
        <f>J140</f>
        <v>2198.25</v>
      </c>
      <c r="N140" s="102">
        <f>SUM(N141:N147)</f>
        <v>3185</v>
      </c>
      <c r="O140" s="98">
        <f>3185-N140</f>
        <v>0</v>
      </c>
      <c r="P140" s="98"/>
    </row>
    <row r="141" spans="1:18">
      <c r="A141" s="146">
        <v>46118</v>
      </c>
      <c r="B141" s="4">
        <v>7</v>
      </c>
      <c r="C141" s="4">
        <v>22</v>
      </c>
      <c r="D141" s="4">
        <v>45</v>
      </c>
      <c r="E141" s="4">
        <v>1</v>
      </c>
      <c r="F141" s="4">
        <v>50</v>
      </c>
      <c r="G141" s="10">
        <f>B141+C141/60</f>
        <v>7.3666666666666663</v>
      </c>
      <c r="H141" s="4">
        <v>50</v>
      </c>
      <c r="I141" s="5">
        <f>G141*D141</f>
        <v>331.5</v>
      </c>
      <c r="J141" s="5">
        <f>I141-H141</f>
        <v>281.5</v>
      </c>
      <c r="K141">
        <v>22</v>
      </c>
      <c r="N141" s="119">
        <v>450</v>
      </c>
      <c r="O141" s="51"/>
      <c r="P141" s="51"/>
      <c r="Q141" t="s">
        <v>619</v>
      </c>
    </row>
    <row r="142" spans="1:18">
      <c r="A142" s="146">
        <v>46119</v>
      </c>
      <c r="B142" s="4">
        <v>10</v>
      </c>
      <c r="C142" s="4">
        <v>6</v>
      </c>
      <c r="D142" s="4">
        <v>45</v>
      </c>
      <c r="E142" s="4">
        <v>1</v>
      </c>
      <c r="F142" s="4">
        <v>50</v>
      </c>
      <c r="G142" s="10">
        <f t="shared" ref="G142:G147" si="59">B142+C142/60</f>
        <v>10.1</v>
      </c>
      <c r="H142" s="4">
        <v>50</v>
      </c>
      <c r="I142" s="5">
        <f>G142*D142</f>
        <v>454.5</v>
      </c>
      <c r="J142" s="5">
        <f>I142-H142</f>
        <v>404.5</v>
      </c>
      <c r="K142">
        <v>24</v>
      </c>
      <c r="N142" s="119">
        <f>365</f>
        <v>365</v>
      </c>
      <c r="Q142" t="s">
        <v>620</v>
      </c>
    </row>
    <row r="143" spans="1:18">
      <c r="A143" s="146">
        <v>46120</v>
      </c>
      <c r="B143" s="4">
        <v>7</v>
      </c>
      <c r="C143" s="4">
        <v>59</v>
      </c>
      <c r="D143" s="4">
        <v>45</v>
      </c>
      <c r="E143" s="4">
        <v>1</v>
      </c>
      <c r="F143" s="4">
        <v>50</v>
      </c>
      <c r="G143" s="10">
        <f t="shared" si="59"/>
        <v>7.9833333333333334</v>
      </c>
      <c r="H143" s="4">
        <v>50</v>
      </c>
      <c r="I143" s="5">
        <f t="shared" ref="I143:I146" si="60">G143*D143</f>
        <v>359.25</v>
      </c>
      <c r="J143" s="5">
        <f t="shared" ref="J143:J147" si="61">I143-H143</f>
        <v>309.25</v>
      </c>
      <c r="K143">
        <v>22</v>
      </c>
      <c r="N143" s="83">
        <f>178+250</f>
        <v>428</v>
      </c>
      <c r="Q143" t="s">
        <v>621</v>
      </c>
      <c r="R143" t="s">
        <v>64</v>
      </c>
    </row>
    <row r="144" spans="1:18">
      <c r="A144" s="146">
        <v>46121</v>
      </c>
      <c r="B144" s="4">
        <v>8</v>
      </c>
      <c r="C144" s="4">
        <v>59</v>
      </c>
      <c r="D144" s="4">
        <v>45</v>
      </c>
      <c r="E144" s="4">
        <v>1</v>
      </c>
      <c r="F144" s="4">
        <v>50</v>
      </c>
      <c r="G144" s="10">
        <f t="shared" si="59"/>
        <v>8.9833333333333325</v>
      </c>
      <c r="H144" s="4">
        <v>50</v>
      </c>
      <c r="I144" s="5">
        <f t="shared" si="60"/>
        <v>404.24999999999994</v>
      </c>
      <c r="J144" s="5">
        <f t="shared" si="61"/>
        <v>354.24999999999994</v>
      </c>
      <c r="K144">
        <v>22</v>
      </c>
      <c r="N144" s="119">
        <f>310</f>
        <v>310</v>
      </c>
      <c r="Q144" t="s">
        <v>622</v>
      </c>
    </row>
    <row r="145" spans="1:18">
      <c r="A145" s="146">
        <v>46122</v>
      </c>
      <c r="B145" s="4">
        <v>8</v>
      </c>
      <c r="C145" s="4">
        <v>4</v>
      </c>
      <c r="D145" s="4">
        <v>45</v>
      </c>
      <c r="E145" s="4">
        <v>1</v>
      </c>
      <c r="F145" s="4">
        <v>50</v>
      </c>
      <c r="G145" s="10">
        <f t="shared" si="59"/>
        <v>8.0666666666666664</v>
      </c>
      <c r="H145" s="4">
        <v>50</v>
      </c>
      <c r="I145" s="5">
        <f t="shared" si="60"/>
        <v>363</v>
      </c>
      <c r="J145" s="5">
        <f t="shared" si="61"/>
        <v>313</v>
      </c>
      <c r="K145">
        <v>21</v>
      </c>
      <c r="N145" s="119">
        <f>586</f>
        <v>586</v>
      </c>
      <c r="Q145" t="s">
        <v>623</v>
      </c>
    </row>
    <row r="146" spans="1:18">
      <c r="A146" s="146">
        <v>46123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10">
        <f t="shared" si="59"/>
        <v>0</v>
      </c>
      <c r="H146" s="4"/>
      <c r="I146" s="5">
        <f t="shared" si="60"/>
        <v>0</v>
      </c>
      <c r="J146" s="5">
        <f t="shared" si="61"/>
        <v>0</v>
      </c>
      <c r="K146">
        <v>0</v>
      </c>
      <c r="N146" s="119">
        <f>381</f>
        <v>381</v>
      </c>
    </row>
    <row r="147" spans="1:18" ht="16" thickBot="1">
      <c r="A147" s="146">
        <v>46124</v>
      </c>
      <c r="B147" s="4">
        <v>10</v>
      </c>
      <c r="C147" s="4">
        <v>39</v>
      </c>
      <c r="D147" s="4">
        <v>55</v>
      </c>
      <c r="E147" s="4">
        <v>1</v>
      </c>
      <c r="F147" s="4">
        <v>0</v>
      </c>
      <c r="G147" s="10">
        <f t="shared" si="59"/>
        <v>10.65</v>
      </c>
      <c r="H147" s="4">
        <v>50</v>
      </c>
      <c r="I147" s="5">
        <f>G147*D147</f>
        <v>585.75</v>
      </c>
      <c r="J147" s="5">
        <f t="shared" si="61"/>
        <v>535.75</v>
      </c>
      <c r="K147">
        <v>27</v>
      </c>
      <c r="N147" s="119">
        <f>544+121</f>
        <v>665</v>
      </c>
      <c r="Q147" t="s">
        <v>624</v>
      </c>
    </row>
    <row r="148" spans="1:18" s="86" customFormat="1" ht="19">
      <c r="A148" s="91" t="s">
        <v>529</v>
      </c>
      <c r="B148" s="8">
        <f>SUM(B149:B155)</f>
        <v>34</v>
      </c>
      <c r="C148" s="8">
        <f>SUM(C149:C155)</f>
        <v>158</v>
      </c>
      <c r="D148" s="8">
        <f>SUM(D149)</f>
        <v>0</v>
      </c>
      <c r="E148" s="8">
        <f>SUM(E149:E155)</f>
        <v>6</v>
      </c>
      <c r="F148" s="8">
        <f>SUM(F149:F155)</f>
        <v>200</v>
      </c>
      <c r="G148" s="93">
        <f t="shared" si="54"/>
        <v>36.633333333333333</v>
      </c>
      <c r="H148" s="8">
        <f>SUM(H149:H155)</f>
        <v>295.10000000000002</v>
      </c>
      <c r="I148" s="9">
        <f>SUM(I149:I155)</f>
        <v>1923.8333333333335</v>
      </c>
      <c r="J148" s="14">
        <f>SUM(J149:J155)</f>
        <v>1628.7333333333333</v>
      </c>
      <c r="K148" s="8">
        <f>SUM(K149:K155)</f>
        <v>114</v>
      </c>
      <c r="L148" s="9">
        <v>0</v>
      </c>
      <c r="M148" s="96">
        <f>J148</f>
        <v>1628.7333333333333</v>
      </c>
      <c r="N148" s="102">
        <f>SUM(N149:N155)</f>
        <v>3072</v>
      </c>
      <c r="O148" s="98">
        <f>2762-N148</f>
        <v>-310</v>
      </c>
      <c r="P148" s="98"/>
    </row>
    <row r="149" spans="1:18">
      <c r="A149" s="145">
        <v>46118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10">
        <f>B149+C149/60</f>
        <v>0</v>
      </c>
      <c r="H149" s="4">
        <v>0</v>
      </c>
      <c r="I149" s="5">
        <f t="shared" ref="I149:I155" si="62">G149*D149</f>
        <v>0</v>
      </c>
      <c r="J149" s="5">
        <f>I149-H149</f>
        <v>0</v>
      </c>
      <c r="K149">
        <v>0</v>
      </c>
      <c r="N149" s="119">
        <v>0</v>
      </c>
      <c r="O149" s="51"/>
      <c r="P149" s="51"/>
    </row>
    <row r="150" spans="1:18">
      <c r="A150" s="146" t="s">
        <v>587</v>
      </c>
      <c r="B150" s="4">
        <v>8</v>
      </c>
      <c r="C150" s="4">
        <v>34</v>
      </c>
      <c r="D150" s="4">
        <v>45</v>
      </c>
      <c r="E150" s="4">
        <v>1</v>
      </c>
      <c r="F150" s="4">
        <v>50</v>
      </c>
      <c r="G150" s="10">
        <f t="shared" ref="G150:G193" si="63">B150+C150/60</f>
        <v>8.5666666666666664</v>
      </c>
      <c r="H150" s="4">
        <f>50+95.1</f>
        <v>145.1</v>
      </c>
      <c r="I150" s="5">
        <f t="shared" si="62"/>
        <v>385.5</v>
      </c>
      <c r="J150" s="5">
        <f>I150-H150</f>
        <v>240.4</v>
      </c>
      <c r="K150">
        <v>26</v>
      </c>
      <c r="N150" s="119">
        <f>460</f>
        <v>460</v>
      </c>
      <c r="Q150" t="s">
        <v>625</v>
      </c>
    </row>
    <row r="151" spans="1:18">
      <c r="A151" s="146" t="s">
        <v>564</v>
      </c>
      <c r="B151" s="4">
        <v>9</v>
      </c>
      <c r="C151" s="4">
        <v>48</v>
      </c>
      <c r="D151" s="4">
        <v>65</v>
      </c>
      <c r="E151" s="4">
        <v>1</v>
      </c>
      <c r="F151" s="4">
        <v>50</v>
      </c>
      <c r="G151" s="10">
        <f t="shared" si="63"/>
        <v>9.8000000000000007</v>
      </c>
      <c r="H151" s="4">
        <v>50</v>
      </c>
      <c r="I151" s="5">
        <f t="shared" si="62"/>
        <v>637</v>
      </c>
      <c r="J151" s="5">
        <f t="shared" ref="J151:J155" si="64">I151-H151</f>
        <v>587</v>
      </c>
      <c r="K151">
        <v>33</v>
      </c>
      <c r="N151" s="119">
        <f>525</f>
        <v>525</v>
      </c>
      <c r="R151" t="s">
        <v>64</v>
      </c>
    </row>
    <row r="152" spans="1:18">
      <c r="A152" s="146" t="s">
        <v>566</v>
      </c>
      <c r="B152" s="4">
        <v>7</v>
      </c>
      <c r="C152" s="4">
        <v>56</v>
      </c>
      <c r="D152" s="4">
        <v>55</v>
      </c>
      <c r="E152" s="4">
        <v>1</v>
      </c>
      <c r="F152" s="4">
        <v>50</v>
      </c>
      <c r="G152" s="10">
        <f t="shared" si="63"/>
        <v>7.9333333333333336</v>
      </c>
      <c r="H152" s="4">
        <v>50</v>
      </c>
      <c r="I152" s="5">
        <f t="shared" si="62"/>
        <v>436.33333333333337</v>
      </c>
      <c r="J152" s="5">
        <f t="shared" si="64"/>
        <v>386.33333333333337</v>
      </c>
      <c r="K152">
        <v>30</v>
      </c>
      <c r="N152" s="119">
        <f>790</f>
        <v>790</v>
      </c>
    </row>
    <row r="153" spans="1:18">
      <c r="A153" s="146" t="s">
        <v>568</v>
      </c>
      <c r="B153" s="4">
        <v>10</v>
      </c>
      <c r="C153" s="4">
        <v>20</v>
      </c>
      <c r="D153" s="4">
        <v>45</v>
      </c>
      <c r="E153" s="4">
        <v>1</v>
      </c>
      <c r="F153" s="4">
        <v>50</v>
      </c>
      <c r="G153" s="10">
        <f t="shared" si="63"/>
        <v>10.333333333333334</v>
      </c>
      <c r="H153" s="4">
        <v>50</v>
      </c>
      <c r="I153" s="5">
        <f t="shared" si="62"/>
        <v>465</v>
      </c>
      <c r="J153" s="5">
        <f t="shared" si="64"/>
        <v>415</v>
      </c>
      <c r="K153">
        <v>25</v>
      </c>
      <c r="N153" s="119">
        <f>586</f>
        <v>586</v>
      </c>
    </row>
    <row r="154" spans="1:18">
      <c r="A154" s="146" t="s">
        <v>570</v>
      </c>
      <c r="B154" s="4">
        <v>0</v>
      </c>
      <c r="C154" s="4">
        <v>0</v>
      </c>
      <c r="D154" s="4">
        <v>45</v>
      </c>
      <c r="E154" s="4">
        <v>1</v>
      </c>
      <c r="F154" s="4">
        <v>0</v>
      </c>
      <c r="G154" s="10">
        <f t="shared" si="63"/>
        <v>0</v>
      </c>
      <c r="H154" s="4">
        <v>0</v>
      </c>
      <c r="I154" s="5">
        <f t="shared" si="62"/>
        <v>0</v>
      </c>
      <c r="J154" s="5">
        <f t="shared" si="64"/>
        <v>0</v>
      </c>
      <c r="K154">
        <v>0</v>
      </c>
      <c r="N154" s="119">
        <f>711</f>
        <v>711</v>
      </c>
    </row>
    <row r="155" spans="1:18" ht="16" thickBot="1">
      <c r="A155" s="146" t="s">
        <v>571</v>
      </c>
      <c r="B155" s="4">
        <v>0</v>
      </c>
      <c r="C155" s="4">
        <v>0</v>
      </c>
      <c r="D155" s="4">
        <v>45</v>
      </c>
      <c r="E155" s="4">
        <v>1</v>
      </c>
      <c r="F155" s="4">
        <v>0</v>
      </c>
      <c r="G155" s="10">
        <f t="shared" si="63"/>
        <v>0</v>
      </c>
      <c r="H155" s="4">
        <v>0</v>
      </c>
      <c r="I155" s="5">
        <f t="shared" si="62"/>
        <v>0</v>
      </c>
      <c r="J155" s="5">
        <f t="shared" si="64"/>
        <v>0</v>
      </c>
      <c r="K155">
        <v>0</v>
      </c>
      <c r="N155" s="119">
        <v>0</v>
      </c>
    </row>
    <row r="156" spans="1:18" s="86" customFormat="1" ht="19">
      <c r="A156" s="91" t="s">
        <v>530</v>
      </c>
      <c r="B156" s="8">
        <f>SUM(B157:B163)</f>
        <v>36</v>
      </c>
      <c r="C156" s="8">
        <f t="shared" ref="C156" si="65">SUM(C157:C163)</f>
        <v>142</v>
      </c>
      <c r="D156" s="126">
        <f>SUM(D157)</f>
        <v>0</v>
      </c>
      <c r="E156" s="126">
        <f t="shared" ref="E156:F156" si="66">SUM(E157:E163)</f>
        <v>4</v>
      </c>
      <c r="F156" s="126">
        <f t="shared" si="66"/>
        <v>350</v>
      </c>
      <c r="G156" s="123">
        <f t="shared" si="63"/>
        <v>38.366666666666667</v>
      </c>
      <c r="H156" s="8">
        <f>SUM(H157:H163)</f>
        <v>281.60000000000002</v>
      </c>
      <c r="I156" s="14">
        <f>SUM(I157:I163)</f>
        <v>2044.3333333333333</v>
      </c>
      <c r="J156" s="14">
        <f>SUM(J157:J163)</f>
        <v>1762.7333333333333</v>
      </c>
      <c r="K156" s="8">
        <f>SUM(K157:K163)</f>
        <v>138</v>
      </c>
      <c r="L156" s="9">
        <v>0</v>
      </c>
      <c r="M156" s="96">
        <f>J156</f>
        <v>1762.7333333333333</v>
      </c>
      <c r="N156" s="102">
        <f>SUM(N157:N163)</f>
        <v>2405</v>
      </c>
      <c r="O156" s="98">
        <f>2754-N156</f>
        <v>349</v>
      </c>
      <c r="P156" s="98"/>
    </row>
    <row r="157" spans="1:18">
      <c r="A157" s="145">
        <v>46118</v>
      </c>
      <c r="B157" s="4">
        <v>0</v>
      </c>
      <c r="C157" s="4">
        <v>0</v>
      </c>
      <c r="D157" s="4">
        <v>0</v>
      </c>
      <c r="E157" s="4">
        <v>0</v>
      </c>
      <c r="F157" s="4">
        <v>50</v>
      </c>
      <c r="G157" s="10">
        <f>B157+C157/60</f>
        <v>0</v>
      </c>
      <c r="H157" s="4">
        <v>0</v>
      </c>
      <c r="I157" s="5">
        <f t="shared" ref="I157:I163" si="67">G157*D157</f>
        <v>0</v>
      </c>
      <c r="J157" s="5">
        <f t="shared" ref="J157:J163" si="68">I157-H157</f>
        <v>0</v>
      </c>
      <c r="K157">
        <v>0</v>
      </c>
      <c r="N157" s="119">
        <v>0</v>
      </c>
      <c r="O157" s="51"/>
      <c r="P157" s="51"/>
    </row>
    <row r="158" spans="1:18">
      <c r="A158" s="145">
        <v>46119</v>
      </c>
      <c r="B158" s="4">
        <v>10</v>
      </c>
      <c r="C158" s="4">
        <v>25</v>
      </c>
      <c r="D158" s="4">
        <v>55</v>
      </c>
      <c r="E158" s="4">
        <v>1</v>
      </c>
      <c r="F158" s="4">
        <v>50</v>
      </c>
      <c r="G158" s="10">
        <f t="shared" si="63"/>
        <v>10.416666666666666</v>
      </c>
      <c r="H158" s="4">
        <v>50</v>
      </c>
      <c r="I158" s="5">
        <f t="shared" si="67"/>
        <v>572.91666666666663</v>
      </c>
      <c r="J158" s="5">
        <f t="shared" si="68"/>
        <v>522.91666666666663</v>
      </c>
      <c r="K158">
        <v>29</v>
      </c>
      <c r="N158" s="119">
        <f>534</f>
        <v>534</v>
      </c>
    </row>
    <row r="159" spans="1:18">
      <c r="A159" s="145">
        <v>46120</v>
      </c>
      <c r="B159" s="4">
        <v>10</v>
      </c>
      <c r="C159" s="4">
        <v>41</v>
      </c>
      <c r="D159" s="4">
        <v>65</v>
      </c>
      <c r="E159" s="4">
        <v>1</v>
      </c>
      <c r="F159" s="4">
        <v>50</v>
      </c>
      <c r="G159" s="10">
        <f t="shared" si="63"/>
        <v>10.683333333333334</v>
      </c>
      <c r="H159" s="4">
        <v>50</v>
      </c>
      <c r="I159" s="5">
        <f t="shared" si="67"/>
        <v>694.41666666666663</v>
      </c>
      <c r="J159" s="5">
        <f t="shared" si="68"/>
        <v>644.41666666666663</v>
      </c>
      <c r="K159">
        <v>32</v>
      </c>
      <c r="N159" s="119">
        <f>525</f>
        <v>525</v>
      </c>
      <c r="R159" t="s">
        <v>64</v>
      </c>
    </row>
    <row r="160" spans="1:18">
      <c r="A160" s="145">
        <v>46121</v>
      </c>
      <c r="B160" s="4">
        <v>8</v>
      </c>
      <c r="C160" s="4">
        <v>24</v>
      </c>
      <c r="D160" s="4">
        <v>45</v>
      </c>
      <c r="E160" s="4">
        <v>1</v>
      </c>
      <c r="F160" s="4">
        <v>50</v>
      </c>
      <c r="G160" s="10">
        <f t="shared" si="63"/>
        <v>8.4</v>
      </c>
      <c r="H160" s="4">
        <f>50+81.6</f>
        <v>131.6</v>
      </c>
      <c r="I160" s="5">
        <f t="shared" si="67"/>
        <v>378</v>
      </c>
      <c r="J160" s="5">
        <f t="shared" si="68"/>
        <v>246.4</v>
      </c>
      <c r="K160">
        <v>25</v>
      </c>
      <c r="N160" s="119">
        <f>633</f>
        <v>633</v>
      </c>
    </row>
    <row r="161" spans="1:18">
      <c r="A161" s="145">
        <v>46122</v>
      </c>
      <c r="B161" s="4">
        <v>8</v>
      </c>
      <c r="C161" s="4">
        <v>52</v>
      </c>
      <c r="D161" s="4">
        <v>45</v>
      </c>
      <c r="E161" s="4">
        <v>1</v>
      </c>
      <c r="F161" s="4">
        <v>50</v>
      </c>
      <c r="G161" s="10">
        <f t="shared" si="63"/>
        <v>8.8666666666666671</v>
      </c>
      <c r="H161" s="4">
        <v>50</v>
      </c>
      <c r="I161" s="5">
        <f t="shared" si="67"/>
        <v>399</v>
      </c>
      <c r="J161" s="5">
        <f t="shared" si="68"/>
        <v>349</v>
      </c>
      <c r="K161">
        <v>26</v>
      </c>
      <c r="N161" s="119">
        <f>713</f>
        <v>713</v>
      </c>
    </row>
    <row r="162" spans="1:18">
      <c r="A162" s="145">
        <v>46123</v>
      </c>
      <c r="B162" s="4">
        <v>0</v>
      </c>
      <c r="C162" s="4">
        <v>0</v>
      </c>
      <c r="D162" s="4">
        <v>45</v>
      </c>
      <c r="E162" s="4">
        <v>0</v>
      </c>
      <c r="F162" s="4">
        <v>50</v>
      </c>
      <c r="G162" s="10">
        <f t="shared" si="63"/>
        <v>0</v>
      </c>
      <c r="H162" s="4">
        <v>0</v>
      </c>
      <c r="I162" s="5">
        <f t="shared" si="67"/>
        <v>0</v>
      </c>
      <c r="J162" s="5">
        <f t="shared" si="68"/>
        <v>0</v>
      </c>
      <c r="K162">
        <v>26</v>
      </c>
      <c r="N162" s="119">
        <v>0</v>
      </c>
    </row>
    <row r="163" spans="1:18" ht="16" thickBot="1">
      <c r="A163" s="145">
        <v>46124</v>
      </c>
      <c r="B163" s="4">
        <v>0</v>
      </c>
      <c r="C163" s="4">
        <v>0</v>
      </c>
      <c r="D163" s="4">
        <v>45</v>
      </c>
      <c r="E163" s="4">
        <v>0</v>
      </c>
      <c r="F163" s="4">
        <v>50</v>
      </c>
      <c r="G163" s="10">
        <f t="shared" si="63"/>
        <v>0</v>
      </c>
      <c r="H163" s="4">
        <v>0</v>
      </c>
      <c r="I163" s="5">
        <f t="shared" si="67"/>
        <v>0</v>
      </c>
      <c r="J163" s="5">
        <f t="shared" si="68"/>
        <v>0</v>
      </c>
      <c r="K163">
        <v>0</v>
      </c>
      <c r="N163" s="119">
        <v>0</v>
      </c>
    </row>
    <row r="164" spans="1:18" s="86" customFormat="1" ht="19" hidden="1">
      <c r="A164" s="91" t="s">
        <v>531</v>
      </c>
      <c r="B164" s="8">
        <f>SUM(B165:B171)</f>
        <v>0</v>
      </c>
      <c r="C164" s="8">
        <f t="shared" ref="C164" si="69">SUM(C165:C171)</f>
        <v>0</v>
      </c>
      <c r="D164" s="126">
        <f>SUM(D165)</f>
        <v>0</v>
      </c>
      <c r="E164" s="126">
        <f t="shared" ref="E164:F164" si="70">SUM(E165:E171)</f>
        <v>0</v>
      </c>
      <c r="F164" s="126">
        <f t="shared" si="70"/>
        <v>350</v>
      </c>
      <c r="G164" s="123">
        <f t="shared" si="63"/>
        <v>0</v>
      </c>
      <c r="H164" s="8">
        <f>SUM(H165:H171)</f>
        <v>0</v>
      </c>
      <c r="I164" s="14">
        <f>SUM(I165:I171)</f>
        <v>0</v>
      </c>
      <c r="J164" s="14">
        <f>SUM(J165:J171)</f>
        <v>0</v>
      </c>
      <c r="K164" s="8"/>
      <c r="L164" s="9">
        <v>0</v>
      </c>
      <c r="M164" s="96">
        <f>J164</f>
        <v>0</v>
      </c>
      <c r="N164" s="102">
        <f>SUM(N166:N171)</f>
        <v>0</v>
      </c>
      <c r="O164" s="98"/>
      <c r="P164" s="98"/>
    </row>
    <row r="165" spans="1:18" hidden="1">
      <c r="A165" s="145">
        <v>46119</v>
      </c>
      <c r="B165" s="4">
        <v>0</v>
      </c>
      <c r="C165" s="4">
        <v>0</v>
      </c>
      <c r="D165" s="4">
        <v>0</v>
      </c>
      <c r="E165" s="4">
        <v>0</v>
      </c>
      <c r="F165" s="4">
        <v>50</v>
      </c>
      <c r="G165" s="10">
        <f t="shared" si="63"/>
        <v>0</v>
      </c>
      <c r="H165" s="4">
        <v>0</v>
      </c>
      <c r="I165" s="5">
        <f>G165*D165</f>
        <v>0</v>
      </c>
      <c r="J165" s="5">
        <f t="shared" ref="J165:J171" si="71">I165-H165</f>
        <v>0</v>
      </c>
      <c r="K165">
        <v>0</v>
      </c>
      <c r="N165" s="134">
        <v>0</v>
      </c>
      <c r="O165" s="51"/>
      <c r="P165" s="51"/>
    </row>
    <row r="166" spans="1:18" hidden="1">
      <c r="A166" s="145">
        <v>46120</v>
      </c>
      <c r="B166" s="4">
        <v>0</v>
      </c>
      <c r="C166" s="4">
        <v>0</v>
      </c>
      <c r="D166" s="4">
        <v>0</v>
      </c>
      <c r="E166" s="4">
        <v>0</v>
      </c>
      <c r="F166" s="4">
        <v>50</v>
      </c>
      <c r="G166" s="10">
        <f t="shared" si="63"/>
        <v>0</v>
      </c>
      <c r="H166" s="4">
        <v>0</v>
      </c>
      <c r="I166" s="5">
        <f>G166*D166</f>
        <v>0</v>
      </c>
      <c r="J166" s="5">
        <f>I166-H166</f>
        <v>0</v>
      </c>
      <c r="K166">
        <v>0</v>
      </c>
      <c r="N166" s="83">
        <v>0</v>
      </c>
    </row>
    <row r="167" spans="1:18" hidden="1">
      <c r="A167" s="145">
        <v>46121</v>
      </c>
      <c r="B167" s="4">
        <v>0</v>
      </c>
      <c r="C167" s="4">
        <v>0</v>
      </c>
      <c r="D167" s="4">
        <v>45</v>
      </c>
      <c r="E167" s="4">
        <v>0</v>
      </c>
      <c r="F167" s="4">
        <v>50</v>
      </c>
      <c r="G167" s="10">
        <f t="shared" si="63"/>
        <v>0</v>
      </c>
      <c r="H167" s="4">
        <v>0</v>
      </c>
      <c r="I167" s="5">
        <v>0</v>
      </c>
      <c r="J167" s="5">
        <f>I167-H167</f>
        <v>0</v>
      </c>
      <c r="K167">
        <v>0</v>
      </c>
      <c r="N167" s="83">
        <v>0</v>
      </c>
      <c r="R167" t="s">
        <v>64</v>
      </c>
    </row>
    <row r="168" spans="1:18" hidden="1">
      <c r="A168" s="145">
        <v>46122</v>
      </c>
      <c r="B168" s="4">
        <v>0</v>
      </c>
      <c r="C168" s="4">
        <v>0</v>
      </c>
      <c r="D168" s="4">
        <v>45</v>
      </c>
      <c r="E168" s="4">
        <v>0</v>
      </c>
      <c r="F168" s="4">
        <v>50</v>
      </c>
      <c r="G168" s="10">
        <f t="shared" si="63"/>
        <v>0</v>
      </c>
      <c r="H168" s="4">
        <v>0</v>
      </c>
      <c r="I168" s="5">
        <f>G168*D168</f>
        <v>0</v>
      </c>
      <c r="J168" s="5"/>
      <c r="K168">
        <v>0</v>
      </c>
      <c r="N168" s="83">
        <v>0</v>
      </c>
    </row>
    <row r="169" spans="1:18" hidden="1">
      <c r="A169" s="145">
        <v>46123</v>
      </c>
      <c r="B169" s="4">
        <v>0</v>
      </c>
      <c r="C169" s="4">
        <v>0</v>
      </c>
      <c r="D169" s="4">
        <v>45</v>
      </c>
      <c r="E169" s="4">
        <v>0</v>
      </c>
      <c r="F169" s="4">
        <v>50</v>
      </c>
      <c r="G169" s="10">
        <f t="shared" si="63"/>
        <v>0</v>
      </c>
      <c r="H169" s="4">
        <v>0</v>
      </c>
      <c r="I169" s="5">
        <f>G169*D169</f>
        <v>0</v>
      </c>
      <c r="J169" s="5">
        <f t="shared" si="71"/>
        <v>0</v>
      </c>
      <c r="K169">
        <v>0</v>
      </c>
      <c r="N169" s="119">
        <v>0</v>
      </c>
    </row>
    <row r="170" spans="1:18" hidden="1">
      <c r="A170" s="145">
        <v>46124</v>
      </c>
      <c r="B170" s="4">
        <v>0</v>
      </c>
      <c r="C170" s="4">
        <v>0</v>
      </c>
      <c r="D170" s="4">
        <v>45</v>
      </c>
      <c r="E170" s="4">
        <v>0</v>
      </c>
      <c r="F170" s="4">
        <v>50</v>
      </c>
      <c r="G170" s="10">
        <f t="shared" si="63"/>
        <v>0</v>
      </c>
      <c r="H170" s="4">
        <v>0</v>
      </c>
      <c r="I170" s="5">
        <f>G170*D170</f>
        <v>0</v>
      </c>
      <c r="J170" s="5">
        <f t="shared" si="71"/>
        <v>0</v>
      </c>
      <c r="K170">
        <v>0</v>
      </c>
      <c r="N170" s="119">
        <v>0</v>
      </c>
    </row>
    <row r="171" spans="1:18" hidden="1">
      <c r="A171" s="145">
        <v>46125</v>
      </c>
      <c r="B171" s="4">
        <v>0</v>
      </c>
      <c r="C171" s="4">
        <v>0</v>
      </c>
      <c r="D171" s="4">
        <v>45</v>
      </c>
      <c r="E171" s="4">
        <v>0</v>
      </c>
      <c r="F171" s="4">
        <v>50</v>
      </c>
      <c r="G171" s="10">
        <f t="shared" si="63"/>
        <v>0</v>
      </c>
      <c r="H171" s="4">
        <v>0</v>
      </c>
      <c r="I171" s="5">
        <f>G171*D171</f>
        <v>0</v>
      </c>
      <c r="J171" s="5">
        <f t="shared" si="71"/>
        <v>0</v>
      </c>
      <c r="K171">
        <v>0</v>
      </c>
      <c r="N171" s="119">
        <v>0</v>
      </c>
    </row>
    <row r="172" spans="1:18" s="86" customFormat="1" ht="20" thickBot="1">
      <c r="A172" s="91" t="s">
        <v>626</v>
      </c>
      <c r="B172" s="8">
        <f>SUM(B173:B179)</f>
        <v>42</v>
      </c>
      <c r="C172" s="8">
        <f t="shared" ref="C172" si="72">SUM(C173:C179)</f>
        <v>115</v>
      </c>
      <c r="D172" s="126">
        <f>SUM(D173)</f>
        <v>45</v>
      </c>
      <c r="E172" s="126">
        <f t="shared" ref="E172:F172" si="73">SUM(E173:E179)</f>
        <v>6</v>
      </c>
      <c r="F172" s="126">
        <f t="shared" si="73"/>
        <v>350</v>
      </c>
      <c r="G172" s="123">
        <f t="shared" ref="G172:G179" si="74">B172+C172/60</f>
        <v>43.916666666666664</v>
      </c>
      <c r="H172" s="8">
        <f>SUM(H173:H179)</f>
        <v>250</v>
      </c>
      <c r="I172" s="14">
        <f>SUM(I173:I179)</f>
        <v>2357.916666666667</v>
      </c>
      <c r="J172" s="14">
        <f>SUM(J173:J179)</f>
        <v>2107.916666666667</v>
      </c>
      <c r="K172" s="8">
        <f>SUM(K173:K179)</f>
        <v>133</v>
      </c>
      <c r="L172" s="9">
        <v>0</v>
      </c>
      <c r="M172" s="96">
        <f>J172</f>
        <v>2107.916666666667</v>
      </c>
      <c r="N172" s="102">
        <f>SUM(N174:N179)</f>
        <v>3372</v>
      </c>
      <c r="O172" s="98">
        <f>3354-N172</f>
        <v>-18</v>
      </c>
      <c r="P172" s="98"/>
    </row>
    <row r="173" spans="1:18">
      <c r="A173" s="145">
        <v>46119</v>
      </c>
      <c r="B173" s="4">
        <v>0</v>
      </c>
      <c r="C173" s="4">
        <v>0</v>
      </c>
      <c r="D173" s="4">
        <v>45</v>
      </c>
      <c r="E173" s="4">
        <v>0</v>
      </c>
      <c r="F173" s="4">
        <v>50</v>
      </c>
      <c r="G173" s="10">
        <f t="shared" si="74"/>
        <v>0</v>
      </c>
      <c r="H173" s="4">
        <v>0</v>
      </c>
      <c r="I173" s="5">
        <f>G173*D173</f>
        <v>0</v>
      </c>
      <c r="J173" s="5">
        <f t="shared" ref="J173" si="75">I173-H173</f>
        <v>0</v>
      </c>
      <c r="K173">
        <v>0</v>
      </c>
      <c r="N173" s="134">
        <v>0</v>
      </c>
      <c r="O173" s="51"/>
      <c r="P173" s="51"/>
    </row>
    <row r="174" spans="1:18">
      <c r="A174" s="146" t="s">
        <v>564</v>
      </c>
      <c r="B174" s="4">
        <v>9</v>
      </c>
      <c r="C174" s="4">
        <v>4</v>
      </c>
      <c r="D174" s="4">
        <v>55</v>
      </c>
      <c r="E174" s="4">
        <v>1</v>
      </c>
      <c r="F174" s="4">
        <v>50</v>
      </c>
      <c r="G174" s="10">
        <f t="shared" si="74"/>
        <v>9.0666666666666664</v>
      </c>
      <c r="H174" s="4">
        <v>50</v>
      </c>
      <c r="I174" s="5">
        <f>G174*D174</f>
        <v>498.66666666666663</v>
      </c>
      <c r="J174" s="5">
        <f>I174-H174</f>
        <v>448.66666666666663</v>
      </c>
      <c r="K174">
        <v>27</v>
      </c>
      <c r="N174" s="83">
        <f>697</f>
        <v>697</v>
      </c>
    </row>
    <row r="175" spans="1:18">
      <c r="A175" s="146" t="s">
        <v>566</v>
      </c>
      <c r="B175" s="4">
        <v>8</v>
      </c>
      <c r="C175" s="4">
        <v>9</v>
      </c>
      <c r="D175" s="4">
        <v>45</v>
      </c>
      <c r="E175" s="4">
        <v>1</v>
      </c>
      <c r="F175" s="4">
        <v>50</v>
      </c>
      <c r="G175" s="10">
        <f t="shared" si="74"/>
        <v>8.15</v>
      </c>
      <c r="H175" s="4">
        <v>50</v>
      </c>
      <c r="I175" s="5">
        <f t="shared" ref="I175:I179" si="76">G175*D175</f>
        <v>366.75</v>
      </c>
      <c r="J175" s="5">
        <f>I175-H175</f>
        <v>316.75</v>
      </c>
      <c r="K175">
        <v>24</v>
      </c>
      <c r="N175" s="83">
        <f>463</f>
        <v>463</v>
      </c>
      <c r="R175" t="s">
        <v>64</v>
      </c>
    </row>
    <row r="176" spans="1:18">
      <c r="A176" s="146" t="s">
        <v>627</v>
      </c>
      <c r="B176" s="4">
        <v>9</v>
      </c>
      <c r="C176" s="4">
        <v>55</v>
      </c>
      <c r="D176" s="4">
        <v>65</v>
      </c>
      <c r="E176" s="4">
        <v>1</v>
      </c>
      <c r="F176" s="4">
        <v>50</v>
      </c>
      <c r="G176" s="10">
        <f t="shared" si="74"/>
        <v>9.9166666666666661</v>
      </c>
      <c r="H176" s="4">
        <v>50</v>
      </c>
      <c r="I176" s="5">
        <f t="shared" si="76"/>
        <v>644.58333333333326</v>
      </c>
      <c r="J176" s="5">
        <f>I176-H176</f>
        <v>594.58333333333326</v>
      </c>
      <c r="K176">
        <v>32</v>
      </c>
      <c r="N176" s="83">
        <f>505</f>
        <v>505</v>
      </c>
    </row>
    <row r="177" spans="1:18">
      <c r="A177" s="146" t="s">
        <v>628</v>
      </c>
      <c r="B177" s="4">
        <v>9</v>
      </c>
      <c r="C177" s="4">
        <v>16</v>
      </c>
      <c r="D177" s="4">
        <v>55</v>
      </c>
      <c r="E177" s="4">
        <v>1</v>
      </c>
      <c r="F177" s="4">
        <v>50</v>
      </c>
      <c r="G177" s="10">
        <f t="shared" si="74"/>
        <v>9.2666666666666675</v>
      </c>
      <c r="H177" s="4">
        <v>50</v>
      </c>
      <c r="I177" s="5">
        <f t="shared" si="76"/>
        <v>509.66666666666669</v>
      </c>
      <c r="J177" s="5">
        <f t="shared" ref="J177:J179" si="77">I177-H177</f>
        <v>459.66666666666669</v>
      </c>
      <c r="K177">
        <v>29</v>
      </c>
      <c r="N177" s="119">
        <f>854</f>
        <v>854</v>
      </c>
    </row>
    <row r="178" spans="1:18">
      <c r="A178" s="146" t="s">
        <v>629</v>
      </c>
      <c r="B178" s="4">
        <v>7</v>
      </c>
      <c r="C178" s="4">
        <v>31</v>
      </c>
      <c r="D178" s="4">
        <v>45</v>
      </c>
      <c r="E178" s="4">
        <v>1</v>
      </c>
      <c r="F178" s="4">
        <v>50</v>
      </c>
      <c r="G178" s="10">
        <f t="shared" si="74"/>
        <v>7.5166666666666666</v>
      </c>
      <c r="H178" s="4">
        <v>50</v>
      </c>
      <c r="I178" s="5">
        <f t="shared" si="76"/>
        <v>338.25</v>
      </c>
      <c r="J178" s="5">
        <f t="shared" si="77"/>
        <v>288.25</v>
      </c>
      <c r="K178">
        <v>21</v>
      </c>
      <c r="N178" s="119">
        <f>553</f>
        <v>553</v>
      </c>
    </row>
    <row r="179" spans="1:18">
      <c r="A179" s="146"/>
      <c r="B179" s="4">
        <v>0</v>
      </c>
      <c r="C179" s="4">
        <v>0</v>
      </c>
      <c r="D179" s="4">
        <v>45</v>
      </c>
      <c r="E179" s="4">
        <v>1</v>
      </c>
      <c r="F179" s="4">
        <v>50</v>
      </c>
      <c r="G179" s="10">
        <f t="shared" si="74"/>
        <v>0</v>
      </c>
      <c r="H179" s="4">
        <v>0</v>
      </c>
      <c r="I179" s="5">
        <f t="shared" si="76"/>
        <v>0</v>
      </c>
      <c r="J179" s="5">
        <f t="shared" si="77"/>
        <v>0</v>
      </c>
      <c r="K179">
        <v>0</v>
      </c>
      <c r="N179" s="119">
        <f>300</f>
        <v>300</v>
      </c>
    </row>
    <row r="180" spans="1:18" s="86" customFormat="1" ht="19">
      <c r="A180" s="91" t="s">
        <v>532</v>
      </c>
      <c r="B180" s="8">
        <f>SUM(B181:B187)</f>
        <v>0</v>
      </c>
      <c r="C180" s="8">
        <f t="shared" ref="C180" si="78">SUM(C181:C187)</f>
        <v>0</v>
      </c>
      <c r="D180" s="126">
        <f>SUM(D181)</f>
        <v>45</v>
      </c>
      <c r="E180" s="126">
        <f t="shared" ref="E180:F180" si="79">SUM(E181:E187)</f>
        <v>0</v>
      </c>
      <c r="F180" s="126">
        <f t="shared" si="79"/>
        <v>350</v>
      </c>
      <c r="G180" s="123">
        <f t="shared" si="63"/>
        <v>0</v>
      </c>
      <c r="H180" s="8">
        <f>SUM(H181:H187)</f>
        <v>0</v>
      </c>
      <c r="I180" s="14">
        <f>SUM(I181:I187)</f>
        <v>0</v>
      </c>
      <c r="J180" s="14">
        <f>SUM(J181:J187)</f>
        <v>0</v>
      </c>
      <c r="K180" s="8">
        <f>SUM(K181:K187)</f>
        <v>0</v>
      </c>
      <c r="L180" s="9">
        <v>0</v>
      </c>
      <c r="M180" s="96">
        <f>J180</f>
        <v>0</v>
      </c>
      <c r="N180" s="102">
        <f>SUM(N181:N187)</f>
        <v>0</v>
      </c>
      <c r="O180" s="98"/>
      <c r="P180" s="98"/>
    </row>
    <row r="181" spans="1:18">
      <c r="A181" s="145">
        <v>46118</v>
      </c>
      <c r="B181" s="4">
        <v>0</v>
      </c>
      <c r="C181" s="4">
        <v>0</v>
      </c>
      <c r="D181" s="4">
        <v>45</v>
      </c>
      <c r="E181" s="4">
        <v>0</v>
      </c>
      <c r="F181" s="4">
        <v>50</v>
      </c>
      <c r="G181" s="10">
        <f t="shared" si="63"/>
        <v>0</v>
      </c>
      <c r="H181" s="4">
        <v>0</v>
      </c>
      <c r="I181" s="5">
        <f t="shared" ref="I181:I187" si="80">G181*D181</f>
        <v>0</v>
      </c>
      <c r="J181" s="5">
        <f t="shared" ref="J181:J187" si="81">I181-H181</f>
        <v>0</v>
      </c>
      <c r="K181">
        <v>0</v>
      </c>
      <c r="N181" s="51">
        <v>0</v>
      </c>
      <c r="O181" s="51"/>
      <c r="P181" s="51"/>
    </row>
    <row r="182" spans="1:18">
      <c r="A182" s="145">
        <v>46119</v>
      </c>
      <c r="B182" s="4">
        <v>0</v>
      </c>
      <c r="C182" s="4">
        <v>0</v>
      </c>
      <c r="D182" s="4">
        <v>45</v>
      </c>
      <c r="E182" s="4">
        <v>0</v>
      </c>
      <c r="F182" s="4">
        <v>50</v>
      </c>
      <c r="G182" s="10">
        <f t="shared" si="63"/>
        <v>0</v>
      </c>
      <c r="H182" s="4">
        <v>0</v>
      </c>
      <c r="I182" s="5">
        <f t="shared" si="80"/>
        <v>0</v>
      </c>
      <c r="J182" s="5">
        <f t="shared" si="81"/>
        <v>0</v>
      </c>
      <c r="K182">
        <v>0</v>
      </c>
      <c r="N182" s="51">
        <v>0</v>
      </c>
    </row>
    <row r="183" spans="1:18">
      <c r="A183" s="145">
        <v>46120</v>
      </c>
      <c r="B183" s="4">
        <v>0</v>
      </c>
      <c r="C183" s="4">
        <v>0</v>
      </c>
      <c r="D183" s="4">
        <v>45</v>
      </c>
      <c r="E183" s="4">
        <v>0</v>
      </c>
      <c r="F183" s="4">
        <v>50</v>
      </c>
      <c r="G183" s="10">
        <f t="shared" si="63"/>
        <v>0</v>
      </c>
      <c r="H183" s="4">
        <v>0</v>
      </c>
      <c r="I183" s="5">
        <f t="shared" si="80"/>
        <v>0</v>
      </c>
      <c r="J183" s="5">
        <f t="shared" si="81"/>
        <v>0</v>
      </c>
      <c r="K183">
        <v>0</v>
      </c>
      <c r="N183" s="51">
        <v>0</v>
      </c>
      <c r="R183" t="s">
        <v>64</v>
      </c>
    </row>
    <row r="184" spans="1:18">
      <c r="A184" s="145">
        <v>46121</v>
      </c>
      <c r="B184" s="4">
        <v>0</v>
      </c>
      <c r="C184" s="4">
        <v>0</v>
      </c>
      <c r="D184" s="4">
        <v>45</v>
      </c>
      <c r="E184" s="4">
        <v>0</v>
      </c>
      <c r="F184" s="4">
        <v>50</v>
      </c>
      <c r="G184" s="10">
        <f t="shared" si="63"/>
        <v>0</v>
      </c>
      <c r="H184" s="4">
        <v>0</v>
      </c>
      <c r="I184" s="5">
        <f>G184*D184</f>
        <v>0</v>
      </c>
      <c r="J184" s="5">
        <f t="shared" si="81"/>
        <v>0</v>
      </c>
      <c r="K184">
        <v>0</v>
      </c>
      <c r="N184" s="51">
        <v>0</v>
      </c>
    </row>
    <row r="185" spans="1:18">
      <c r="A185" s="145">
        <v>46122</v>
      </c>
      <c r="B185" s="4">
        <v>0</v>
      </c>
      <c r="C185" s="4">
        <v>0</v>
      </c>
      <c r="D185" s="4">
        <v>45</v>
      </c>
      <c r="E185" s="4">
        <v>0</v>
      </c>
      <c r="F185" s="4">
        <v>50</v>
      </c>
      <c r="G185" s="10">
        <f t="shared" si="63"/>
        <v>0</v>
      </c>
      <c r="H185" s="4">
        <v>0</v>
      </c>
      <c r="I185" s="5">
        <f t="shared" si="80"/>
        <v>0</v>
      </c>
      <c r="J185" s="5">
        <f t="shared" si="81"/>
        <v>0</v>
      </c>
      <c r="K185">
        <v>0</v>
      </c>
      <c r="N185" s="51">
        <v>0</v>
      </c>
    </row>
    <row r="186" spans="1:18">
      <c r="A186" s="145">
        <v>46123</v>
      </c>
      <c r="B186" s="4">
        <v>0</v>
      </c>
      <c r="C186" s="4">
        <v>0</v>
      </c>
      <c r="D186" s="4">
        <v>45</v>
      </c>
      <c r="E186" s="4">
        <v>0</v>
      </c>
      <c r="F186" s="4">
        <v>50</v>
      </c>
      <c r="G186" s="10">
        <v>0</v>
      </c>
      <c r="H186" s="4">
        <v>0</v>
      </c>
      <c r="I186" s="5">
        <v>0</v>
      </c>
      <c r="J186" s="5">
        <v>0</v>
      </c>
      <c r="K186">
        <v>0</v>
      </c>
      <c r="N186" s="51">
        <v>0</v>
      </c>
    </row>
    <row r="187" spans="1:18" ht="16" thickBot="1">
      <c r="A187" s="145">
        <v>46124</v>
      </c>
      <c r="B187" s="4">
        <v>0</v>
      </c>
      <c r="C187" s="4">
        <v>0</v>
      </c>
      <c r="D187" s="4">
        <v>45</v>
      </c>
      <c r="E187" s="4">
        <v>0</v>
      </c>
      <c r="F187" s="4">
        <v>50</v>
      </c>
      <c r="G187" s="10">
        <f t="shared" si="63"/>
        <v>0</v>
      </c>
      <c r="H187" s="4">
        <v>0</v>
      </c>
      <c r="I187" s="5">
        <f t="shared" si="80"/>
        <v>0</v>
      </c>
      <c r="J187" s="5">
        <f t="shared" si="81"/>
        <v>0</v>
      </c>
      <c r="K187">
        <v>0</v>
      </c>
      <c r="N187" s="51">
        <v>0</v>
      </c>
    </row>
    <row r="188" spans="1:18" s="86" customFormat="1" ht="19">
      <c r="A188" s="91" t="s">
        <v>533</v>
      </c>
      <c r="B188" s="8">
        <f>SUM(B189:B195)</f>
        <v>56</v>
      </c>
      <c r="C188" s="8">
        <f t="shared" ref="C188" si="82">SUM(C189:C195)</f>
        <v>173</v>
      </c>
      <c r="D188" s="126">
        <f>SUM(D189)</f>
        <v>45</v>
      </c>
      <c r="E188" s="126">
        <f t="shared" ref="E188:F188" si="83">SUM(E189:E195)</f>
        <v>6</v>
      </c>
      <c r="F188" s="126">
        <f t="shared" si="83"/>
        <v>350</v>
      </c>
      <c r="G188" s="123">
        <f t="shared" si="63"/>
        <v>58.883333333333333</v>
      </c>
      <c r="H188" s="8">
        <f>SUM(H189:H195)</f>
        <v>300</v>
      </c>
      <c r="I188" s="14">
        <f>SUM(I189:I195)</f>
        <v>2649.75</v>
      </c>
      <c r="J188" s="14">
        <f>SUM(J189:J195)</f>
        <v>2349.75</v>
      </c>
      <c r="K188" s="8">
        <f>SUM(K189:K195)</f>
        <v>119</v>
      </c>
      <c r="L188" s="9">
        <v>0</v>
      </c>
      <c r="M188" s="96">
        <f>J188</f>
        <v>2349.75</v>
      </c>
      <c r="N188" s="102">
        <f>SUM(N189:N195)</f>
        <v>2776</v>
      </c>
      <c r="O188" s="98">
        <f>4263-N188</f>
        <v>1487</v>
      </c>
      <c r="P188" s="98"/>
    </row>
    <row r="189" spans="1:18">
      <c r="A189" s="146" t="s">
        <v>547</v>
      </c>
      <c r="B189" s="4">
        <v>10</v>
      </c>
      <c r="C189" s="4">
        <v>6</v>
      </c>
      <c r="D189" s="4">
        <v>45</v>
      </c>
      <c r="E189" s="4">
        <v>1</v>
      </c>
      <c r="F189" s="4">
        <v>50</v>
      </c>
      <c r="G189" s="10">
        <f t="shared" si="63"/>
        <v>10.1</v>
      </c>
      <c r="H189" s="4">
        <v>50</v>
      </c>
      <c r="I189" s="5">
        <f t="shared" ref="I189:I191" si="84">G189*D189</f>
        <v>454.5</v>
      </c>
      <c r="J189" s="5">
        <f t="shared" ref="J189:J193" si="85">I189-H189</f>
        <v>404.5</v>
      </c>
      <c r="K189">
        <v>22</v>
      </c>
      <c r="N189" s="51">
        <v>0</v>
      </c>
      <c r="P189" s="51"/>
      <c r="Q189" s="51" t="s">
        <v>630</v>
      </c>
    </row>
    <row r="190" spans="1:18">
      <c r="A190" s="146" t="s">
        <v>587</v>
      </c>
      <c r="B190" s="4">
        <v>11</v>
      </c>
      <c r="C190" s="4">
        <v>0</v>
      </c>
      <c r="D190" s="4">
        <v>45</v>
      </c>
      <c r="E190" s="4">
        <v>1</v>
      </c>
      <c r="F190" s="4">
        <v>50</v>
      </c>
      <c r="G190" s="10">
        <f t="shared" si="63"/>
        <v>11</v>
      </c>
      <c r="H190" s="4">
        <v>50</v>
      </c>
      <c r="I190" s="5">
        <f t="shared" si="84"/>
        <v>495</v>
      </c>
      <c r="J190" s="5">
        <f t="shared" si="85"/>
        <v>445</v>
      </c>
      <c r="K190">
        <v>23</v>
      </c>
      <c r="N190" s="51">
        <f>585</f>
        <v>585</v>
      </c>
      <c r="Q190" t="s">
        <v>631</v>
      </c>
    </row>
    <row r="191" spans="1:18">
      <c r="A191" s="146" t="s">
        <v>564</v>
      </c>
      <c r="B191" s="4">
        <v>9</v>
      </c>
      <c r="C191" s="4">
        <v>49</v>
      </c>
      <c r="D191" s="4">
        <v>45</v>
      </c>
      <c r="E191" s="4">
        <v>1</v>
      </c>
      <c r="F191" s="4">
        <v>50</v>
      </c>
      <c r="G191" s="10">
        <f t="shared" si="63"/>
        <v>9.8166666666666664</v>
      </c>
      <c r="H191" s="4">
        <v>50</v>
      </c>
      <c r="I191" s="5">
        <f t="shared" si="84"/>
        <v>441.75</v>
      </c>
      <c r="J191" s="5">
        <f t="shared" si="85"/>
        <v>391.75</v>
      </c>
      <c r="K191">
        <v>15</v>
      </c>
      <c r="N191" s="51">
        <f>380</f>
        <v>380</v>
      </c>
      <c r="Q191" t="s">
        <v>632</v>
      </c>
      <c r="R191" t="s">
        <v>64</v>
      </c>
    </row>
    <row r="192" spans="1:18">
      <c r="A192" s="146" t="s">
        <v>566</v>
      </c>
      <c r="B192" s="4">
        <v>8</v>
      </c>
      <c r="C192" s="4">
        <v>59</v>
      </c>
      <c r="D192" s="4">
        <v>45</v>
      </c>
      <c r="E192" s="4">
        <v>1</v>
      </c>
      <c r="F192" s="4">
        <v>50</v>
      </c>
      <c r="G192" s="10">
        <f t="shared" si="63"/>
        <v>8.9833333333333325</v>
      </c>
      <c r="H192" s="4">
        <v>50</v>
      </c>
      <c r="I192" s="5">
        <f>G192*D192</f>
        <v>404.24999999999994</v>
      </c>
      <c r="J192" s="5">
        <f t="shared" si="85"/>
        <v>354.24999999999994</v>
      </c>
      <c r="K192">
        <v>21</v>
      </c>
      <c r="N192" s="51">
        <f>686</f>
        <v>686</v>
      </c>
      <c r="Q192" t="s">
        <v>633</v>
      </c>
    </row>
    <row r="193" spans="1:18">
      <c r="A193" s="146" t="s">
        <v>568</v>
      </c>
      <c r="B193" s="4">
        <v>8</v>
      </c>
      <c r="C193" s="4">
        <v>47</v>
      </c>
      <c r="D193" s="4">
        <v>45</v>
      </c>
      <c r="E193" s="4">
        <v>1</v>
      </c>
      <c r="F193" s="4">
        <v>50</v>
      </c>
      <c r="G193" s="10">
        <f t="shared" si="63"/>
        <v>8.7833333333333332</v>
      </c>
      <c r="H193" s="4">
        <v>50</v>
      </c>
      <c r="I193" s="5">
        <f t="shared" ref="I193" si="86">G193*D193</f>
        <v>395.25</v>
      </c>
      <c r="J193" s="5">
        <f t="shared" si="85"/>
        <v>345.25</v>
      </c>
      <c r="K193">
        <v>19</v>
      </c>
      <c r="N193" s="51">
        <f>682</f>
        <v>682</v>
      </c>
    </row>
    <row r="194" spans="1:18">
      <c r="A194" s="146" t="s">
        <v>570</v>
      </c>
      <c r="B194" s="4">
        <v>10</v>
      </c>
      <c r="C194" s="4">
        <v>12</v>
      </c>
      <c r="D194" s="4">
        <v>45</v>
      </c>
      <c r="E194" s="4">
        <v>1</v>
      </c>
      <c r="F194" s="4">
        <v>50</v>
      </c>
      <c r="G194" s="10">
        <f>B194+C194/60</f>
        <v>10.199999999999999</v>
      </c>
      <c r="H194" s="4">
        <v>50</v>
      </c>
      <c r="I194" s="5">
        <f>G194*D194</f>
        <v>458.99999999999994</v>
      </c>
      <c r="J194" s="5">
        <f>I194-H194</f>
        <v>408.99999999999994</v>
      </c>
      <c r="K194">
        <v>19</v>
      </c>
      <c r="N194" s="51">
        <f>443</f>
        <v>443</v>
      </c>
    </row>
    <row r="195" spans="1:18" ht="16" thickBot="1">
      <c r="A195" s="146" t="s">
        <v>571</v>
      </c>
      <c r="B195" s="4">
        <v>0</v>
      </c>
      <c r="C195" s="4">
        <v>0</v>
      </c>
      <c r="D195" s="4">
        <v>45</v>
      </c>
      <c r="E195" s="4">
        <v>0</v>
      </c>
      <c r="F195" s="4">
        <v>50</v>
      </c>
      <c r="G195" s="10">
        <f t="shared" ref="G195:G196" si="87">B195+C195/60</f>
        <v>0</v>
      </c>
      <c r="H195" s="4">
        <v>0</v>
      </c>
      <c r="I195" s="5">
        <f t="shared" ref="I195" si="88">G195*D195</f>
        <v>0</v>
      </c>
      <c r="J195" s="5">
        <f t="shared" ref="J195" si="89">I195-H195</f>
        <v>0</v>
      </c>
      <c r="K195">
        <v>0</v>
      </c>
      <c r="N195" s="51">
        <v>0</v>
      </c>
    </row>
    <row r="196" spans="1:18" s="86" customFormat="1" ht="19">
      <c r="A196" s="91" t="s">
        <v>539</v>
      </c>
      <c r="B196" s="8">
        <f>SUM(B197:B203)</f>
        <v>61</v>
      </c>
      <c r="C196" s="8">
        <f t="shared" ref="C196" si="90">SUM(C197:C203)</f>
        <v>119</v>
      </c>
      <c r="D196" s="126">
        <f>SUM(D197)</f>
        <v>55</v>
      </c>
      <c r="E196" s="126">
        <f t="shared" ref="E196:F196" si="91">SUM(E197:E203)</f>
        <v>6</v>
      </c>
      <c r="F196" s="126">
        <f t="shared" si="91"/>
        <v>350</v>
      </c>
      <c r="G196" s="123">
        <f t="shared" si="87"/>
        <v>62.983333333333334</v>
      </c>
      <c r="H196" s="8">
        <f>SUM(H197:H203)</f>
        <v>300</v>
      </c>
      <c r="I196" s="14">
        <f>SUM(I197:I203)</f>
        <v>3257.75</v>
      </c>
      <c r="J196" s="14">
        <f>SUM(J197:J203)</f>
        <v>2957.75</v>
      </c>
      <c r="K196" s="8">
        <f>SUM(K197:K203)</f>
        <v>155</v>
      </c>
      <c r="L196" s="9">
        <v>0</v>
      </c>
      <c r="M196" s="96">
        <f>J196</f>
        <v>2957.75</v>
      </c>
      <c r="N196" s="102">
        <f>SUM(N197:N203)</f>
        <v>2906</v>
      </c>
      <c r="O196" s="98">
        <f>2948-N196</f>
        <v>42</v>
      </c>
      <c r="P196" s="98"/>
    </row>
    <row r="197" spans="1:18">
      <c r="A197" s="145">
        <v>46118</v>
      </c>
      <c r="B197" s="4">
        <v>10</v>
      </c>
      <c r="C197" s="4">
        <v>15</v>
      </c>
      <c r="D197" s="4">
        <v>55</v>
      </c>
      <c r="E197" s="4">
        <v>1</v>
      </c>
      <c r="F197" s="4">
        <v>50</v>
      </c>
      <c r="G197" s="10">
        <f t="shared" ref="G197:G204" si="92">B197+C197/60</f>
        <v>10.25</v>
      </c>
      <c r="H197" s="4">
        <v>50</v>
      </c>
      <c r="I197" s="5">
        <f t="shared" ref="I197:I203" si="93">G197*D197</f>
        <v>563.75</v>
      </c>
      <c r="J197" s="5">
        <f t="shared" ref="J197:J203" si="94">I197-H197</f>
        <v>513.75</v>
      </c>
      <c r="K197">
        <v>27</v>
      </c>
      <c r="N197" s="51">
        <v>830</v>
      </c>
      <c r="O197" s="51"/>
      <c r="P197" s="51"/>
    </row>
    <row r="198" spans="1:18">
      <c r="A198" s="145">
        <v>46119</v>
      </c>
      <c r="B198" s="4">
        <v>10</v>
      </c>
      <c r="C198" s="4">
        <v>19</v>
      </c>
      <c r="D198" s="4">
        <v>55</v>
      </c>
      <c r="E198" s="4">
        <v>1</v>
      </c>
      <c r="F198" s="4">
        <v>50</v>
      </c>
      <c r="G198" s="10">
        <f t="shared" si="92"/>
        <v>10.316666666666666</v>
      </c>
      <c r="H198" s="4">
        <v>50</v>
      </c>
      <c r="I198" s="5">
        <f t="shared" si="93"/>
        <v>567.41666666666663</v>
      </c>
      <c r="J198" s="5">
        <f t="shared" si="94"/>
        <v>517.41666666666663</v>
      </c>
      <c r="K198">
        <v>28</v>
      </c>
      <c r="N198" s="51">
        <f>636</f>
        <v>636</v>
      </c>
    </row>
    <row r="199" spans="1:18">
      <c r="A199" s="145">
        <v>46120</v>
      </c>
      <c r="B199" s="4">
        <v>11</v>
      </c>
      <c r="C199" s="4">
        <v>0</v>
      </c>
      <c r="D199" s="4">
        <v>55</v>
      </c>
      <c r="E199" s="4">
        <v>1</v>
      </c>
      <c r="F199" s="4">
        <v>50</v>
      </c>
      <c r="G199" s="10">
        <f t="shared" si="92"/>
        <v>11</v>
      </c>
      <c r="H199" s="4">
        <v>50</v>
      </c>
      <c r="I199" s="5">
        <f t="shared" si="93"/>
        <v>605</v>
      </c>
      <c r="J199" s="5">
        <f t="shared" si="94"/>
        <v>555</v>
      </c>
      <c r="K199">
        <v>29</v>
      </c>
      <c r="N199" s="51">
        <f>251</f>
        <v>251</v>
      </c>
      <c r="Q199" t="s">
        <v>634</v>
      </c>
      <c r="R199" t="s">
        <v>64</v>
      </c>
    </row>
    <row r="200" spans="1:18">
      <c r="A200" s="145">
        <v>46121</v>
      </c>
      <c r="B200" s="4">
        <v>10</v>
      </c>
      <c r="C200" s="4">
        <v>0</v>
      </c>
      <c r="D200" s="4">
        <v>45</v>
      </c>
      <c r="E200" s="4">
        <v>1</v>
      </c>
      <c r="F200" s="4">
        <v>50</v>
      </c>
      <c r="G200" s="10">
        <f t="shared" si="92"/>
        <v>10</v>
      </c>
      <c r="H200" s="4">
        <v>50</v>
      </c>
      <c r="I200" s="5">
        <f t="shared" si="93"/>
        <v>450</v>
      </c>
      <c r="J200" s="5">
        <f t="shared" si="94"/>
        <v>400</v>
      </c>
      <c r="K200">
        <v>22</v>
      </c>
      <c r="N200" s="51">
        <f>349</f>
        <v>349</v>
      </c>
    </row>
    <row r="201" spans="1:18">
      <c r="A201" s="145">
        <v>46122</v>
      </c>
      <c r="B201" s="4">
        <v>10</v>
      </c>
      <c r="C201" s="4">
        <v>38</v>
      </c>
      <c r="D201" s="4">
        <v>45</v>
      </c>
      <c r="E201" s="4">
        <v>1</v>
      </c>
      <c r="F201" s="4">
        <v>50</v>
      </c>
      <c r="G201" s="10">
        <f t="shared" si="92"/>
        <v>10.633333333333333</v>
      </c>
      <c r="H201" s="4">
        <v>50</v>
      </c>
      <c r="I201" s="5">
        <f t="shared" si="93"/>
        <v>478.5</v>
      </c>
      <c r="J201" s="5">
        <f t="shared" si="94"/>
        <v>428.5</v>
      </c>
      <c r="K201">
        <v>22</v>
      </c>
      <c r="N201" s="51">
        <f>271</f>
        <v>271</v>
      </c>
    </row>
    <row r="202" spans="1:18">
      <c r="A202" s="145">
        <v>46123</v>
      </c>
      <c r="B202" s="4">
        <v>10</v>
      </c>
      <c r="C202" s="4">
        <v>47</v>
      </c>
      <c r="D202" s="4">
        <v>55</v>
      </c>
      <c r="E202" s="4">
        <v>1</v>
      </c>
      <c r="F202" s="4">
        <v>50</v>
      </c>
      <c r="G202" s="10">
        <f t="shared" si="92"/>
        <v>10.783333333333333</v>
      </c>
      <c r="H202" s="4">
        <v>50</v>
      </c>
      <c r="I202" s="5">
        <f t="shared" si="93"/>
        <v>593.08333333333337</v>
      </c>
      <c r="J202" s="5">
        <f t="shared" si="94"/>
        <v>543.08333333333337</v>
      </c>
      <c r="K202">
        <v>27</v>
      </c>
      <c r="N202" s="51">
        <f>569</f>
        <v>569</v>
      </c>
    </row>
    <row r="203" spans="1:18">
      <c r="A203" s="145">
        <v>46124</v>
      </c>
      <c r="B203" s="4">
        <v>0</v>
      </c>
      <c r="C203" s="4">
        <v>0</v>
      </c>
      <c r="D203" s="4">
        <v>45</v>
      </c>
      <c r="E203" s="4">
        <v>0</v>
      </c>
      <c r="F203" s="4">
        <v>50</v>
      </c>
      <c r="G203" s="10">
        <f t="shared" si="92"/>
        <v>0</v>
      </c>
      <c r="H203" s="4">
        <v>0</v>
      </c>
      <c r="I203" s="5">
        <f t="shared" si="93"/>
        <v>0</v>
      </c>
      <c r="J203" s="5">
        <f t="shared" si="94"/>
        <v>0</v>
      </c>
      <c r="K203">
        <v>0</v>
      </c>
      <c r="N203" s="51">
        <v>0</v>
      </c>
    </row>
    <row r="204" spans="1:18" s="86" customFormat="1" ht="19">
      <c r="A204" s="91" t="s">
        <v>540</v>
      </c>
      <c r="B204" s="8">
        <f>SUM(B205:B211)</f>
        <v>26</v>
      </c>
      <c r="C204" s="8">
        <f>SUM(C205:C211)</f>
        <v>102</v>
      </c>
      <c r="D204" s="126">
        <f>SUM(D205)</f>
        <v>45</v>
      </c>
      <c r="E204" s="126">
        <f>SUM(E205:E211)</f>
        <v>2</v>
      </c>
      <c r="F204" s="126">
        <f>SUM(F205:F211)</f>
        <v>350</v>
      </c>
      <c r="G204" s="123">
        <f t="shared" si="92"/>
        <v>27.7</v>
      </c>
      <c r="H204" s="8">
        <f>SUM(H205:H211)</f>
        <v>150</v>
      </c>
      <c r="I204" s="14">
        <f>SUM(I205:I211)</f>
        <v>1246.5</v>
      </c>
      <c r="J204" s="14">
        <f>SUM(J205:J211)</f>
        <v>1096.5</v>
      </c>
      <c r="K204" s="8">
        <f>SUM(K205:K211)</f>
        <v>58</v>
      </c>
      <c r="L204" s="9">
        <v>0</v>
      </c>
      <c r="M204" s="96">
        <f>J204</f>
        <v>1096.5</v>
      </c>
      <c r="N204" s="102">
        <f>SUM(N205:N211)</f>
        <v>1233</v>
      </c>
      <c r="O204" s="98">
        <f>1501-N204</f>
        <v>268</v>
      </c>
      <c r="P204" s="98"/>
    </row>
    <row r="205" spans="1:18">
      <c r="A205" s="145">
        <v>46118</v>
      </c>
      <c r="B205" s="4">
        <v>9</v>
      </c>
      <c r="C205" s="4">
        <v>23</v>
      </c>
      <c r="D205" s="4">
        <v>45</v>
      </c>
      <c r="E205" s="4">
        <v>1</v>
      </c>
      <c r="F205" s="4">
        <v>50</v>
      </c>
      <c r="G205" s="10">
        <f t="shared" ref="G205:G209" si="95">B205+C205/60</f>
        <v>9.3833333333333329</v>
      </c>
      <c r="H205" s="4">
        <v>50</v>
      </c>
      <c r="I205" s="5">
        <f t="shared" ref="I205:I207" si="96">G205*D205</f>
        <v>422.25</v>
      </c>
      <c r="J205" s="5">
        <f t="shared" ref="J205:J209" si="97">I205-H205</f>
        <v>372.25</v>
      </c>
      <c r="K205">
        <v>17</v>
      </c>
      <c r="N205" s="51">
        <v>487</v>
      </c>
      <c r="O205" s="51"/>
      <c r="P205" s="51"/>
    </row>
    <row r="206" spans="1:18">
      <c r="A206" s="145">
        <v>46119</v>
      </c>
      <c r="B206" s="4">
        <v>9</v>
      </c>
      <c r="C206" s="4">
        <v>23</v>
      </c>
      <c r="D206" s="4">
        <v>45</v>
      </c>
      <c r="E206" s="4">
        <v>1</v>
      </c>
      <c r="F206" s="4">
        <v>50</v>
      </c>
      <c r="G206" s="10">
        <f t="shared" si="95"/>
        <v>9.3833333333333329</v>
      </c>
      <c r="H206" s="4">
        <v>50</v>
      </c>
      <c r="I206" s="5">
        <f t="shared" si="96"/>
        <v>422.25</v>
      </c>
      <c r="J206" s="5">
        <f t="shared" si="97"/>
        <v>372.25</v>
      </c>
      <c r="K206">
        <v>20</v>
      </c>
      <c r="N206" s="51">
        <f>120+200</f>
        <v>320</v>
      </c>
      <c r="O206" t="s">
        <v>635</v>
      </c>
    </row>
    <row r="207" spans="1:18">
      <c r="A207" s="145">
        <v>46120</v>
      </c>
      <c r="B207" s="4">
        <v>0</v>
      </c>
      <c r="C207" s="4">
        <v>0</v>
      </c>
      <c r="D207" s="4">
        <v>0</v>
      </c>
      <c r="E207" s="4">
        <v>0</v>
      </c>
      <c r="F207" s="4">
        <v>50</v>
      </c>
      <c r="G207" s="10">
        <f t="shared" si="95"/>
        <v>0</v>
      </c>
      <c r="H207" s="4">
        <v>0</v>
      </c>
      <c r="I207" s="5">
        <f t="shared" si="96"/>
        <v>0</v>
      </c>
      <c r="J207" s="5">
        <f t="shared" si="97"/>
        <v>0</v>
      </c>
      <c r="K207">
        <v>0</v>
      </c>
      <c r="N207" s="51">
        <v>0</v>
      </c>
      <c r="R207" t="s">
        <v>64</v>
      </c>
    </row>
    <row r="208" spans="1:18">
      <c r="A208" s="145">
        <v>46121</v>
      </c>
      <c r="B208" s="4">
        <v>8</v>
      </c>
      <c r="C208" s="4">
        <v>56</v>
      </c>
      <c r="D208" s="4">
        <v>45</v>
      </c>
      <c r="E208" s="4">
        <v>0</v>
      </c>
      <c r="F208" s="4">
        <v>50</v>
      </c>
      <c r="G208" s="10">
        <f t="shared" si="95"/>
        <v>8.9333333333333336</v>
      </c>
      <c r="H208" s="4">
        <v>50</v>
      </c>
      <c r="I208" s="5">
        <f>G208*D208</f>
        <v>402</v>
      </c>
      <c r="J208" s="5">
        <f t="shared" si="97"/>
        <v>352</v>
      </c>
      <c r="K208">
        <v>21</v>
      </c>
      <c r="N208" s="51">
        <f>426</f>
        <v>426</v>
      </c>
    </row>
    <row r="209" spans="1:18">
      <c r="A209" s="145">
        <v>46122</v>
      </c>
      <c r="B209" s="4">
        <v>0</v>
      </c>
      <c r="C209" s="4">
        <v>0</v>
      </c>
      <c r="D209" s="4">
        <v>0</v>
      </c>
      <c r="E209" s="4">
        <v>0</v>
      </c>
      <c r="F209" s="4">
        <v>50</v>
      </c>
      <c r="G209" s="10">
        <f t="shared" si="95"/>
        <v>0</v>
      </c>
      <c r="H209" s="4">
        <v>0</v>
      </c>
      <c r="I209" s="5">
        <f t="shared" ref="I209" si="98">G209*D209</f>
        <v>0</v>
      </c>
      <c r="J209" s="5">
        <f t="shared" si="97"/>
        <v>0</v>
      </c>
      <c r="K209">
        <v>0</v>
      </c>
      <c r="N209" s="51">
        <v>0</v>
      </c>
    </row>
    <row r="210" spans="1:18">
      <c r="A210" s="145">
        <v>46123</v>
      </c>
      <c r="B210" s="4">
        <v>0</v>
      </c>
      <c r="C210" s="4">
        <v>0</v>
      </c>
      <c r="D210" s="4">
        <v>45</v>
      </c>
      <c r="E210" s="4">
        <v>0</v>
      </c>
      <c r="F210" s="4">
        <v>50</v>
      </c>
      <c r="G210" s="10">
        <v>0</v>
      </c>
      <c r="H210" s="4">
        <v>0</v>
      </c>
      <c r="I210" s="5">
        <v>0</v>
      </c>
      <c r="J210" s="5">
        <v>0</v>
      </c>
      <c r="K210">
        <v>0</v>
      </c>
      <c r="N210" s="51">
        <v>0</v>
      </c>
    </row>
    <row r="211" spans="1:18" ht="16" thickBot="1">
      <c r="A211" s="145">
        <v>46124</v>
      </c>
      <c r="B211" s="4">
        <v>0</v>
      </c>
      <c r="C211" s="4">
        <v>0</v>
      </c>
      <c r="D211" s="4">
        <v>45</v>
      </c>
      <c r="E211" s="4">
        <v>0</v>
      </c>
      <c r="F211" s="4">
        <v>50</v>
      </c>
      <c r="G211" s="10">
        <f t="shared" ref="G211:G217" si="99">B211+C211/60</f>
        <v>0</v>
      </c>
      <c r="H211" s="4">
        <v>0</v>
      </c>
      <c r="I211" s="5">
        <f t="shared" ref="I211" si="100">G211*D211</f>
        <v>0</v>
      </c>
      <c r="J211" s="5">
        <f t="shared" ref="J211" si="101">I211-H211</f>
        <v>0</v>
      </c>
      <c r="K211">
        <v>0</v>
      </c>
      <c r="N211" s="51">
        <v>0</v>
      </c>
    </row>
    <row r="212" spans="1:18" s="86" customFormat="1" ht="19">
      <c r="A212" s="91" t="s">
        <v>542</v>
      </c>
      <c r="B212" s="8">
        <f>SUM(B213:B219)</f>
        <v>30</v>
      </c>
      <c r="C212" s="8">
        <f t="shared" ref="C212" si="102">SUM(C213:C219)</f>
        <v>152</v>
      </c>
      <c r="D212" s="126">
        <f>SUM(D213)</f>
        <v>45</v>
      </c>
      <c r="E212" s="126">
        <f t="shared" ref="E212:F212" si="103">SUM(E213:E219)</f>
        <v>5</v>
      </c>
      <c r="F212" s="126">
        <f t="shared" si="103"/>
        <v>350</v>
      </c>
      <c r="G212" s="123">
        <f t="shared" si="99"/>
        <v>32.533333333333331</v>
      </c>
      <c r="H212" s="8">
        <f>SUM(H213:H219)</f>
        <v>200</v>
      </c>
      <c r="I212" s="14">
        <f>SUM(I213:I219)</f>
        <v>1464</v>
      </c>
      <c r="J212" s="14">
        <f>SUM(J213:J219)</f>
        <v>1264</v>
      </c>
      <c r="K212" s="8">
        <f>SUM(K213:K219)</f>
        <v>96</v>
      </c>
      <c r="L212" s="9">
        <v>0</v>
      </c>
      <c r="M212" s="96">
        <f>J212</f>
        <v>1264</v>
      </c>
      <c r="N212" s="102">
        <f>SUM(N213:N219)</f>
        <v>1950</v>
      </c>
      <c r="O212" s="98">
        <f>2429-N212</f>
        <v>479</v>
      </c>
      <c r="P212" s="98"/>
    </row>
    <row r="213" spans="1:18">
      <c r="A213" s="145" t="s">
        <v>492</v>
      </c>
      <c r="B213" s="4">
        <v>0</v>
      </c>
      <c r="C213" s="4">
        <v>0</v>
      </c>
      <c r="D213" s="4">
        <v>45</v>
      </c>
      <c r="E213" s="4">
        <v>1</v>
      </c>
      <c r="F213" s="4">
        <v>50</v>
      </c>
      <c r="G213" s="10">
        <f t="shared" si="99"/>
        <v>0</v>
      </c>
      <c r="H213" s="4">
        <v>0</v>
      </c>
      <c r="I213" s="5">
        <f t="shared" ref="I213:I215" si="104">G213*D213</f>
        <v>0</v>
      </c>
      <c r="J213" s="5">
        <f t="shared" ref="J213:J217" si="105">I213-H213</f>
        <v>0</v>
      </c>
      <c r="K213">
        <v>20</v>
      </c>
      <c r="N213" s="51">
        <v>0</v>
      </c>
      <c r="O213" s="51"/>
      <c r="P213" s="51"/>
    </row>
    <row r="214" spans="1:18">
      <c r="A214" s="145">
        <v>46119</v>
      </c>
      <c r="B214" s="4">
        <v>7</v>
      </c>
      <c r="C214" s="4">
        <v>34</v>
      </c>
      <c r="D214" s="4">
        <v>45</v>
      </c>
      <c r="E214" s="4">
        <v>1</v>
      </c>
      <c r="F214" s="4">
        <v>50</v>
      </c>
      <c r="G214" s="10">
        <f t="shared" si="99"/>
        <v>7.5666666666666664</v>
      </c>
      <c r="H214" s="4">
        <v>50</v>
      </c>
      <c r="I214" s="5">
        <f t="shared" si="104"/>
        <v>340.5</v>
      </c>
      <c r="J214" s="5">
        <f t="shared" si="105"/>
        <v>290.5</v>
      </c>
      <c r="K214">
        <v>17</v>
      </c>
      <c r="N214" s="51">
        <v>336</v>
      </c>
    </row>
    <row r="215" spans="1:18">
      <c r="A215" s="146" t="s">
        <v>564</v>
      </c>
      <c r="B215" s="4">
        <v>9</v>
      </c>
      <c r="C215" s="4">
        <v>57</v>
      </c>
      <c r="D215" s="4">
        <v>45</v>
      </c>
      <c r="E215" s="4">
        <v>1</v>
      </c>
      <c r="F215" s="4">
        <v>50</v>
      </c>
      <c r="G215" s="10">
        <f t="shared" si="99"/>
        <v>9.9499999999999993</v>
      </c>
      <c r="H215" s="4">
        <v>50</v>
      </c>
      <c r="I215" s="5">
        <f t="shared" si="104"/>
        <v>447.74999999999994</v>
      </c>
      <c r="J215" s="5">
        <f t="shared" si="105"/>
        <v>397.74999999999994</v>
      </c>
      <c r="K215">
        <v>21</v>
      </c>
      <c r="N215" s="51">
        <f>632</f>
        <v>632</v>
      </c>
      <c r="R215" t="s">
        <v>64</v>
      </c>
    </row>
    <row r="216" spans="1:18">
      <c r="A216" s="146" t="s">
        <v>566</v>
      </c>
      <c r="B216" s="4">
        <v>7</v>
      </c>
      <c r="C216" s="4">
        <v>11</v>
      </c>
      <c r="D216" s="4">
        <v>45</v>
      </c>
      <c r="E216" s="4">
        <v>1</v>
      </c>
      <c r="F216" s="4">
        <v>50</v>
      </c>
      <c r="G216" s="10">
        <f t="shared" si="99"/>
        <v>7.1833333333333336</v>
      </c>
      <c r="H216" s="4">
        <v>50</v>
      </c>
      <c r="I216" s="5">
        <f>G216*D216</f>
        <v>323.25</v>
      </c>
      <c r="J216" s="5">
        <f t="shared" si="105"/>
        <v>273.25</v>
      </c>
      <c r="K216">
        <v>18</v>
      </c>
      <c r="N216" s="51">
        <f>405</f>
        <v>405</v>
      </c>
    </row>
    <row r="217" spans="1:18">
      <c r="A217" s="146" t="s">
        <v>568</v>
      </c>
      <c r="B217" s="4">
        <v>7</v>
      </c>
      <c r="C217" s="4">
        <v>50</v>
      </c>
      <c r="D217" s="4">
        <v>45</v>
      </c>
      <c r="E217" s="4">
        <v>1</v>
      </c>
      <c r="F217" s="4">
        <v>50</v>
      </c>
      <c r="G217" s="10">
        <f t="shared" si="99"/>
        <v>7.833333333333333</v>
      </c>
      <c r="H217" s="4">
        <v>50</v>
      </c>
      <c r="I217" s="5">
        <f t="shared" ref="I217" si="106">G217*D217</f>
        <v>352.5</v>
      </c>
      <c r="J217" s="5">
        <f t="shared" si="105"/>
        <v>302.5</v>
      </c>
      <c r="K217">
        <v>20</v>
      </c>
      <c r="N217" s="51">
        <v>577</v>
      </c>
    </row>
    <row r="218" spans="1:18">
      <c r="A218" s="146" t="s">
        <v>570</v>
      </c>
      <c r="B218" s="4">
        <v>0</v>
      </c>
      <c r="C218" s="4">
        <v>0</v>
      </c>
      <c r="D218" s="4">
        <v>45</v>
      </c>
      <c r="E218" s="4">
        <v>0</v>
      </c>
      <c r="F218" s="4">
        <v>50</v>
      </c>
      <c r="G218" s="10">
        <v>0</v>
      </c>
      <c r="H218" s="4">
        <v>0</v>
      </c>
      <c r="I218" s="5">
        <v>0</v>
      </c>
      <c r="J218" s="5">
        <v>0</v>
      </c>
      <c r="K218">
        <v>0</v>
      </c>
      <c r="N218" s="51">
        <v>0</v>
      </c>
    </row>
    <row r="219" spans="1:18">
      <c r="A219" s="146" t="s">
        <v>571</v>
      </c>
      <c r="B219" s="4">
        <v>0</v>
      </c>
      <c r="C219" s="4">
        <v>0</v>
      </c>
      <c r="D219" s="4">
        <v>45</v>
      </c>
      <c r="E219" s="4">
        <v>0</v>
      </c>
      <c r="F219" s="4">
        <v>50</v>
      </c>
      <c r="G219" s="10">
        <f t="shared" ref="G219:G235" si="107">B219+C219/60</f>
        <v>0</v>
      </c>
      <c r="H219" s="4">
        <v>0</v>
      </c>
      <c r="I219" s="5">
        <f t="shared" ref="I219" si="108">G219*D219</f>
        <v>0</v>
      </c>
      <c r="J219" s="5">
        <f t="shared" ref="J219" si="109">I219-H219</f>
        <v>0</v>
      </c>
      <c r="K219">
        <v>0</v>
      </c>
      <c r="N219" s="51">
        <v>0</v>
      </c>
    </row>
    <row r="220" spans="1:18" s="86" customFormat="1" ht="19">
      <c r="A220" s="91" t="s">
        <v>636</v>
      </c>
      <c r="B220" s="8">
        <f>SUM(B221:B227)</f>
        <v>27</v>
      </c>
      <c r="C220" s="8">
        <f t="shared" ref="C220" si="110">SUM(C221:C227)</f>
        <v>44</v>
      </c>
      <c r="D220" s="126">
        <f>SUM(D221)</f>
        <v>45</v>
      </c>
      <c r="E220" s="126">
        <f t="shared" ref="E220:F220" si="111">SUM(E221:E227)</f>
        <v>5</v>
      </c>
      <c r="F220" s="126">
        <f t="shared" si="111"/>
        <v>350</v>
      </c>
      <c r="G220" s="123">
        <f t="shared" si="107"/>
        <v>27.733333333333334</v>
      </c>
      <c r="H220" s="8">
        <f>SUM(H221:H227)</f>
        <v>202.8</v>
      </c>
      <c r="I220" s="14">
        <f>SUM(I221:I227)</f>
        <v>1248</v>
      </c>
      <c r="J220" s="14">
        <f>SUM(J221:J227)</f>
        <v>1045.2</v>
      </c>
      <c r="K220" s="8">
        <f>SUM(K221:K227)</f>
        <v>52</v>
      </c>
      <c r="L220" s="9">
        <v>0</v>
      </c>
      <c r="M220" s="96">
        <f>J220</f>
        <v>1045.2</v>
      </c>
      <c r="N220" s="102">
        <f>SUM(N221:N227)</f>
        <v>3552.5</v>
      </c>
      <c r="O220" s="98">
        <f>2296-N220</f>
        <v>-1256.5</v>
      </c>
      <c r="P220" s="98"/>
    </row>
    <row r="221" spans="1:18">
      <c r="A221" s="145" t="s">
        <v>492</v>
      </c>
      <c r="B221" s="4">
        <v>0</v>
      </c>
      <c r="C221" s="4">
        <v>0</v>
      </c>
      <c r="D221" s="4">
        <v>45</v>
      </c>
      <c r="E221" s="4">
        <v>1</v>
      </c>
      <c r="F221" s="4">
        <v>50</v>
      </c>
      <c r="G221" s="10">
        <f t="shared" si="107"/>
        <v>0</v>
      </c>
      <c r="H221" s="4">
        <v>0</v>
      </c>
      <c r="I221" s="5">
        <f t="shared" ref="I221:I223" si="112">G221*D221</f>
        <v>0</v>
      </c>
      <c r="J221" s="5">
        <f t="shared" ref="J221:J227" si="113">I221-H221</f>
        <v>0</v>
      </c>
      <c r="K221">
        <v>0</v>
      </c>
      <c r="N221" s="51">
        <f>130</f>
        <v>130</v>
      </c>
      <c r="O221" s="51"/>
      <c r="P221" s="51"/>
    </row>
    <row r="222" spans="1:18">
      <c r="A222" s="145">
        <v>46119</v>
      </c>
      <c r="B222" s="4">
        <v>0</v>
      </c>
      <c r="C222" s="4">
        <v>0</v>
      </c>
      <c r="D222" s="4">
        <v>45</v>
      </c>
      <c r="E222" s="4">
        <v>1</v>
      </c>
      <c r="F222" s="4">
        <v>50</v>
      </c>
      <c r="G222" s="10">
        <f t="shared" si="107"/>
        <v>0</v>
      </c>
      <c r="H222" s="4">
        <v>0</v>
      </c>
      <c r="I222" s="5">
        <f t="shared" si="112"/>
        <v>0</v>
      </c>
      <c r="J222" s="5">
        <f t="shared" si="113"/>
        <v>0</v>
      </c>
      <c r="K222">
        <v>0</v>
      </c>
      <c r="N222" s="51">
        <v>335.5</v>
      </c>
    </row>
    <row r="223" spans="1:18">
      <c r="A223" s="146" t="s">
        <v>564</v>
      </c>
      <c r="B223" s="4">
        <v>0</v>
      </c>
      <c r="C223" s="4">
        <v>0</v>
      </c>
      <c r="D223" s="4">
        <v>45</v>
      </c>
      <c r="E223" s="4">
        <v>1</v>
      </c>
      <c r="F223" s="4">
        <v>50</v>
      </c>
      <c r="G223" s="10">
        <f t="shared" si="107"/>
        <v>0</v>
      </c>
      <c r="H223" s="4">
        <v>0</v>
      </c>
      <c r="I223" s="5">
        <f t="shared" si="112"/>
        <v>0</v>
      </c>
      <c r="J223" s="5">
        <f t="shared" si="113"/>
        <v>0</v>
      </c>
      <c r="K223">
        <v>0</v>
      </c>
      <c r="N223" s="51">
        <f>632</f>
        <v>632</v>
      </c>
      <c r="R223" t="s">
        <v>64</v>
      </c>
    </row>
    <row r="224" spans="1:18">
      <c r="A224" s="146" t="s">
        <v>566</v>
      </c>
      <c r="B224" s="4">
        <v>0</v>
      </c>
      <c r="C224" s="4">
        <v>0</v>
      </c>
      <c r="D224" s="4">
        <v>45</v>
      </c>
      <c r="E224" s="4">
        <v>1</v>
      </c>
      <c r="F224" s="4">
        <v>50</v>
      </c>
      <c r="G224" s="10">
        <f t="shared" si="107"/>
        <v>0</v>
      </c>
      <c r="H224" s="4">
        <v>0</v>
      </c>
      <c r="I224" s="5">
        <f>G224*D224</f>
        <v>0</v>
      </c>
      <c r="J224" s="5">
        <f t="shared" si="113"/>
        <v>0</v>
      </c>
      <c r="K224">
        <v>0</v>
      </c>
      <c r="N224" s="51">
        <f>405</f>
        <v>405</v>
      </c>
    </row>
    <row r="225" spans="1:18">
      <c r="A225" s="146" t="s">
        <v>568</v>
      </c>
      <c r="B225" s="4">
        <v>8</v>
      </c>
      <c r="C225" s="4">
        <v>17</v>
      </c>
      <c r="D225" s="4">
        <v>45</v>
      </c>
      <c r="E225" s="4">
        <v>1</v>
      </c>
      <c r="F225" s="4">
        <v>50</v>
      </c>
      <c r="G225" s="10">
        <f t="shared" si="107"/>
        <v>8.2833333333333332</v>
      </c>
      <c r="H225" s="4">
        <f>50+52.8</f>
        <v>102.8</v>
      </c>
      <c r="I225" s="5">
        <f t="shared" ref="I225:I227" si="114">G225*D225</f>
        <v>372.75</v>
      </c>
      <c r="J225" s="5">
        <f t="shared" si="113"/>
        <v>269.95</v>
      </c>
      <c r="K225">
        <v>13</v>
      </c>
      <c r="N225" s="51">
        <f>622</f>
        <v>622</v>
      </c>
      <c r="Q225" t="s">
        <v>637</v>
      </c>
    </row>
    <row r="226" spans="1:18">
      <c r="A226" s="146" t="s">
        <v>570</v>
      </c>
      <c r="B226" s="4">
        <v>10</v>
      </c>
      <c r="C226" s="4">
        <v>25</v>
      </c>
      <c r="D226" s="4">
        <v>45</v>
      </c>
      <c r="E226" s="4">
        <v>0</v>
      </c>
      <c r="F226" s="4">
        <v>50</v>
      </c>
      <c r="G226" s="10">
        <f t="shared" si="107"/>
        <v>10.416666666666666</v>
      </c>
      <c r="H226" s="4">
        <v>50</v>
      </c>
      <c r="I226" s="5">
        <f t="shared" si="114"/>
        <v>468.75</v>
      </c>
      <c r="J226" s="5">
        <f t="shared" si="113"/>
        <v>418.75</v>
      </c>
      <c r="K226">
        <v>20</v>
      </c>
      <c r="N226" s="51">
        <f>869</f>
        <v>869</v>
      </c>
    </row>
    <row r="227" spans="1:18">
      <c r="A227" s="146" t="s">
        <v>571</v>
      </c>
      <c r="B227" s="4">
        <v>9</v>
      </c>
      <c r="C227" s="4">
        <v>2</v>
      </c>
      <c r="D227" s="4">
        <v>45</v>
      </c>
      <c r="E227" s="4">
        <v>0</v>
      </c>
      <c r="F227" s="4">
        <v>50</v>
      </c>
      <c r="G227" s="10">
        <f t="shared" si="107"/>
        <v>9.0333333333333332</v>
      </c>
      <c r="H227" s="4">
        <v>50</v>
      </c>
      <c r="I227" s="5">
        <f t="shared" si="114"/>
        <v>406.5</v>
      </c>
      <c r="J227" s="5">
        <f t="shared" si="113"/>
        <v>356.5</v>
      </c>
      <c r="K227">
        <v>19</v>
      </c>
      <c r="N227" s="51">
        <f>559</f>
        <v>559</v>
      </c>
    </row>
    <row r="228" spans="1:18" s="86" customFormat="1" ht="19">
      <c r="A228" s="91" t="s">
        <v>548</v>
      </c>
      <c r="B228" s="8">
        <f>SUM(B229:B235)</f>
        <v>57</v>
      </c>
      <c r="C228" s="8">
        <f t="shared" ref="C228" si="115">SUM(C229:C235)</f>
        <v>224</v>
      </c>
      <c r="D228" s="126">
        <f>SUM(D229)</f>
        <v>45</v>
      </c>
      <c r="E228" s="126">
        <f t="shared" ref="E228:F228" si="116">SUM(E229:E235)</f>
        <v>5</v>
      </c>
      <c r="F228" s="126">
        <f t="shared" si="116"/>
        <v>350</v>
      </c>
      <c r="G228" s="123">
        <f t="shared" si="107"/>
        <v>60.733333333333334</v>
      </c>
      <c r="H228" s="8">
        <f>SUM(H229:H235)</f>
        <v>300</v>
      </c>
      <c r="I228" s="14">
        <f>SUM(I229:I235)</f>
        <v>3245</v>
      </c>
      <c r="J228" s="14">
        <f>SUM(J229:J235)</f>
        <v>2945</v>
      </c>
      <c r="K228" s="8">
        <f>SUM(K229:K235)</f>
        <v>166</v>
      </c>
      <c r="L228" s="9">
        <v>0</v>
      </c>
      <c r="M228" s="96">
        <f>J228</f>
        <v>2945</v>
      </c>
      <c r="N228" s="102">
        <f>SUM(N229:N235)</f>
        <v>2302</v>
      </c>
      <c r="O228" s="98"/>
      <c r="P228" s="98"/>
    </row>
    <row r="229" spans="1:18">
      <c r="A229" s="145">
        <v>46118</v>
      </c>
      <c r="B229" s="4">
        <v>9</v>
      </c>
      <c r="C229" s="4">
        <v>32</v>
      </c>
      <c r="D229" s="4">
        <v>45</v>
      </c>
      <c r="E229" s="4">
        <v>1</v>
      </c>
      <c r="F229" s="4">
        <v>50</v>
      </c>
      <c r="G229" s="10">
        <f t="shared" si="107"/>
        <v>9.5333333333333332</v>
      </c>
      <c r="H229" s="4">
        <v>50</v>
      </c>
      <c r="I229" s="5">
        <f t="shared" ref="I229:I235" si="117">G229*D229</f>
        <v>429</v>
      </c>
      <c r="J229" s="5">
        <f t="shared" ref="J229:J233" si="118">I229-H229</f>
        <v>379</v>
      </c>
      <c r="K229">
        <v>24</v>
      </c>
      <c r="N229" s="51">
        <v>0</v>
      </c>
      <c r="O229" s="51"/>
      <c r="P229" s="51"/>
      <c r="Q229" t="s">
        <v>638</v>
      </c>
    </row>
    <row r="230" spans="1:18">
      <c r="A230" s="145">
        <v>46119</v>
      </c>
      <c r="B230" s="4">
        <v>9</v>
      </c>
      <c r="C230" s="4">
        <v>40</v>
      </c>
      <c r="D230" s="4">
        <v>55</v>
      </c>
      <c r="E230" s="4">
        <v>1</v>
      </c>
      <c r="F230" s="4">
        <v>50</v>
      </c>
      <c r="G230" s="10">
        <f t="shared" si="107"/>
        <v>9.6666666666666661</v>
      </c>
      <c r="H230" s="4">
        <v>50</v>
      </c>
      <c r="I230" s="5">
        <f t="shared" si="117"/>
        <v>531.66666666666663</v>
      </c>
      <c r="J230" s="5">
        <f t="shared" si="118"/>
        <v>481.66666666666663</v>
      </c>
      <c r="K230">
        <v>29</v>
      </c>
      <c r="N230" s="51">
        <f>460</f>
        <v>460</v>
      </c>
      <c r="Q230" t="s">
        <v>639</v>
      </c>
    </row>
    <row r="231" spans="1:18">
      <c r="A231" s="145">
        <v>46120</v>
      </c>
      <c r="B231" s="4">
        <v>10</v>
      </c>
      <c r="C231" s="4">
        <v>59</v>
      </c>
      <c r="D231" s="4">
        <v>55</v>
      </c>
      <c r="E231" s="4">
        <v>1</v>
      </c>
      <c r="F231" s="4">
        <v>50</v>
      </c>
      <c r="G231" s="10">
        <f t="shared" si="107"/>
        <v>10.983333333333333</v>
      </c>
      <c r="H231" s="4">
        <v>50</v>
      </c>
      <c r="I231" s="5">
        <f t="shared" si="117"/>
        <v>604.08333333333326</v>
      </c>
      <c r="J231" s="5">
        <f t="shared" si="118"/>
        <v>554.08333333333326</v>
      </c>
      <c r="K231">
        <v>28</v>
      </c>
      <c r="N231" s="51">
        <v>0</v>
      </c>
      <c r="Q231" t="s">
        <v>640</v>
      </c>
      <c r="R231" t="s">
        <v>64</v>
      </c>
    </row>
    <row r="232" spans="1:18">
      <c r="A232" s="145">
        <v>46121</v>
      </c>
      <c r="B232" s="4">
        <v>10</v>
      </c>
      <c r="C232" s="4">
        <v>45</v>
      </c>
      <c r="D232" s="4">
        <v>55</v>
      </c>
      <c r="E232" s="4">
        <v>1</v>
      </c>
      <c r="F232" s="4">
        <v>50</v>
      </c>
      <c r="G232" s="10">
        <f t="shared" si="107"/>
        <v>10.75</v>
      </c>
      <c r="H232" s="4">
        <v>50</v>
      </c>
      <c r="I232" s="5">
        <f t="shared" si="117"/>
        <v>591.25</v>
      </c>
      <c r="J232" s="5">
        <f t="shared" si="118"/>
        <v>541.25</v>
      </c>
      <c r="K232">
        <v>29</v>
      </c>
      <c r="N232" s="51">
        <f>332</f>
        <v>332</v>
      </c>
      <c r="Q232" t="s">
        <v>641</v>
      </c>
    </row>
    <row r="233" spans="1:18">
      <c r="A233" s="145">
        <v>46122</v>
      </c>
      <c r="B233" s="4">
        <v>10</v>
      </c>
      <c r="C233" s="4">
        <v>24</v>
      </c>
      <c r="D233" s="4">
        <v>55</v>
      </c>
      <c r="E233" s="4">
        <v>1</v>
      </c>
      <c r="F233" s="4">
        <v>50</v>
      </c>
      <c r="G233" s="10">
        <f t="shared" si="107"/>
        <v>10.4</v>
      </c>
      <c r="H233" s="4">
        <v>50</v>
      </c>
      <c r="I233" s="5">
        <f t="shared" si="117"/>
        <v>572</v>
      </c>
      <c r="J233" s="5">
        <f t="shared" si="118"/>
        <v>522</v>
      </c>
      <c r="K233">
        <v>27</v>
      </c>
      <c r="N233" s="51">
        <f>723</f>
        <v>723</v>
      </c>
      <c r="Q233" t="s">
        <v>642</v>
      </c>
    </row>
    <row r="234" spans="1:18">
      <c r="A234" s="145">
        <v>46123</v>
      </c>
      <c r="B234" s="4">
        <v>9</v>
      </c>
      <c r="C234" s="4">
        <v>24</v>
      </c>
      <c r="D234" s="4">
        <v>55</v>
      </c>
      <c r="E234" s="4">
        <v>0</v>
      </c>
      <c r="F234" s="4">
        <v>50</v>
      </c>
      <c r="G234" s="10">
        <f t="shared" si="107"/>
        <v>9.4</v>
      </c>
      <c r="H234" s="4">
        <v>50</v>
      </c>
      <c r="I234" s="5">
        <f t="shared" si="117"/>
        <v>517</v>
      </c>
      <c r="J234" s="5">
        <f>I234-H234</f>
        <v>467</v>
      </c>
      <c r="K234">
        <v>29</v>
      </c>
      <c r="N234" s="51">
        <f>787</f>
        <v>787</v>
      </c>
    </row>
    <row r="235" spans="1:18" ht="16" thickBot="1">
      <c r="A235" s="145">
        <v>46124</v>
      </c>
      <c r="B235" s="4">
        <v>0</v>
      </c>
      <c r="C235" s="4">
        <v>0</v>
      </c>
      <c r="D235" s="4">
        <v>45</v>
      </c>
      <c r="E235" s="4">
        <v>0</v>
      </c>
      <c r="F235" s="4">
        <v>50</v>
      </c>
      <c r="G235" s="10">
        <f t="shared" si="107"/>
        <v>0</v>
      </c>
      <c r="H235" s="4">
        <v>0</v>
      </c>
      <c r="I235" s="5">
        <f t="shared" si="117"/>
        <v>0</v>
      </c>
      <c r="J235" s="5">
        <f t="shared" ref="J235" si="119">I235-H235</f>
        <v>0</v>
      </c>
      <c r="K235">
        <v>0</v>
      </c>
      <c r="N235" s="51">
        <v>0</v>
      </c>
    </row>
    <row r="236" spans="1:18" s="86" customFormat="1" ht="19">
      <c r="A236" s="91" t="s">
        <v>549</v>
      </c>
      <c r="B236" s="8">
        <f>SUM(B237:B243)</f>
        <v>39</v>
      </c>
      <c r="C236" s="8">
        <f>SUM(C237:C243)</f>
        <v>172</v>
      </c>
      <c r="D236" s="126">
        <f>SUM(D237)</f>
        <v>0</v>
      </c>
      <c r="E236" s="126">
        <f>SUM(E237:E243)</f>
        <v>6</v>
      </c>
      <c r="F236" s="126">
        <f>SUM(F237:F243)</f>
        <v>350</v>
      </c>
      <c r="G236" s="123">
        <f t="shared" ref="G236:G254" si="120">B236+C236/60</f>
        <v>41.866666666666667</v>
      </c>
      <c r="H236" s="8">
        <f>SUM(H237:H243)</f>
        <v>250</v>
      </c>
      <c r="I236" s="14">
        <f>SUM(I237:I243)</f>
        <v>2165.333333333333</v>
      </c>
      <c r="J236" s="14">
        <f>SUM(J237:J243)</f>
        <v>1915.333333333333</v>
      </c>
      <c r="K236" s="8">
        <f>SUM(K237:K243)</f>
        <v>124</v>
      </c>
      <c r="L236" s="9">
        <v>0</v>
      </c>
      <c r="M236" s="96">
        <f>J236</f>
        <v>1915.333333333333</v>
      </c>
      <c r="N236" s="102">
        <f>SUM(N237:N243)</f>
        <v>3106</v>
      </c>
      <c r="O236" s="98">
        <f>3316-N236</f>
        <v>210</v>
      </c>
      <c r="P236" s="98"/>
    </row>
    <row r="237" spans="1:18">
      <c r="A237" s="145">
        <v>46118</v>
      </c>
      <c r="B237" s="7">
        <v>0</v>
      </c>
      <c r="C237" s="7">
        <v>0</v>
      </c>
      <c r="D237" s="4">
        <v>0</v>
      </c>
      <c r="E237" s="4">
        <v>0</v>
      </c>
      <c r="F237" s="4">
        <v>50</v>
      </c>
      <c r="G237" s="10">
        <f t="shared" si="120"/>
        <v>0</v>
      </c>
      <c r="H237" s="4">
        <v>0</v>
      </c>
      <c r="I237" s="5">
        <f t="shared" ref="I237:I243" si="121">G237*D237</f>
        <v>0</v>
      </c>
      <c r="J237" s="5">
        <f t="shared" ref="J237:J243" si="122">I237-H237</f>
        <v>0</v>
      </c>
      <c r="K237">
        <v>0</v>
      </c>
      <c r="N237" s="119">
        <v>0</v>
      </c>
      <c r="O237" s="51"/>
      <c r="P237" s="51"/>
    </row>
    <row r="238" spans="1:18">
      <c r="A238" s="145">
        <v>46119</v>
      </c>
      <c r="B238" s="4">
        <v>5</v>
      </c>
      <c r="C238" s="4">
        <v>31</v>
      </c>
      <c r="D238" s="4">
        <v>45</v>
      </c>
      <c r="E238" s="4">
        <v>1</v>
      </c>
      <c r="F238" s="4">
        <v>50</v>
      </c>
      <c r="G238" s="10">
        <f t="shared" si="120"/>
        <v>5.5166666666666666</v>
      </c>
      <c r="H238" s="4">
        <v>50</v>
      </c>
      <c r="I238" s="5">
        <f t="shared" si="121"/>
        <v>248.25</v>
      </c>
      <c r="J238" s="5">
        <f t="shared" si="122"/>
        <v>198.25</v>
      </c>
      <c r="K238">
        <v>13</v>
      </c>
      <c r="N238" s="119">
        <f>163</f>
        <v>163</v>
      </c>
      <c r="Q238" t="s">
        <v>643</v>
      </c>
    </row>
    <row r="239" spans="1:18">
      <c r="A239" s="145">
        <v>46120</v>
      </c>
      <c r="B239" s="4">
        <v>8</v>
      </c>
      <c r="C239" s="4">
        <v>25</v>
      </c>
      <c r="D239" s="4">
        <v>55</v>
      </c>
      <c r="E239" s="4">
        <v>1</v>
      </c>
      <c r="F239" s="4">
        <v>50</v>
      </c>
      <c r="G239" s="10">
        <f t="shared" si="120"/>
        <v>8.4166666666666661</v>
      </c>
      <c r="H239" s="4">
        <v>50</v>
      </c>
      <c r="I239" s="5">
        <f t="shared" si="121"/>
        <v>462.91666666666663</v>
      </c>
      <c r="J239" s="5">
        <f t="shared" si="122"/>
        <v>412.91666666666663</v>
      </c>
      <c r="K239">
        <v>27</v>
      </c>
      <c r="N239" s="119">
        <f>512</f>
        <v>512</v>
      </c>
      <c r="Q239" t="s">
        <v>644</v>
      </c>
      <c r="R239" t="s">
        <v>64</v>
      </c>
    </row>
    <row r="240" spans="1:18">
      <c r="A240" s="145">
        <v>46121</v>
      </c>
      <c r="B240" s="4">
        <v>9</v>
      </c>
      <c r="C240" s="4">
        <v>54</v>
      </c>
      <c r="D240" s="4">
        <v>55</v>
      </c>
      <c r="E240" s="4">
        <v>1</v>
      </c>
      <c r="F240" s="4">
        <v>50</v>
      </c>
      <c r="G240" s="10">
        <f t="shared" si="120"/>
        <v>9.9</v>
      </c>
      <c r="H240" s="4">
        <v>50</v>
      </c>
      <c r="I240" s="5">
        <f t="shared" si="121"/>
        <v>544.5</v>
      </c>
      <c r="J240" s="5">
        <f t="shared" si="122"/>
        <v>494.5</v>
      </c>
      <c r="K240">
        <v>29</v>
      </c>
      <c r="N240" s="119">
        <f>676</f>
        <v>676</v>
      </c>
      <c r="Q240" t="s">
        <v>645</v>
      </c>
    </row>
    <row r="241" spans="1:20">
      <c r="A241" s="145">
        <v>46122</v>
      </c>
      <c r="B241" s="4">
        <v>9</v>
      </c>
      <c r="C241" s="4">
        <v>49</v>
      </c>
      <c r="D241" s="4">
        <v>55</v>
      </c>
      <c r="E241" s="4">
        <v>1</v>
      </c>
      <c r="F241" s="4">
        <v>50</v>
      </c>
      <c r="G241" s="10">
        <f t="shared" si="120"/>
        <v>9.8166666666666664</v>
      </c>
      <c r="H241" s="4">
        <v>50</v>
      </c>
      <c r="I241" s="5">
        <f t="shared" si="121"/>
        <v>539.91666666666663</v>
      </c>
      <c r="J241" s="5">
        <f t="shared" si="122"/>
        <v>489.91666666666663</v>
      </c>
      <c r="K241">
        <v>30</v>
      </c>
      <c r="N241" s="119">
        <f>1030</f>
        <v>1030</v>
      </c>
      <c r="Q241" t="s">
        <v>646</v>
      </c>
    </row>
    <row r="242" spans="1:20">
      <c r="A242" s="145">
        <v>46123</v>
      </c>
      <c r="B242" s="4">
        <v>8</v>
      </c>
      <c r="C242" s="4">
        <v>13</v>
      </c>
      <c r="D242" s="4">
        <v>45</v>
      </c>
      <c r="E242" s="4">
        <v>1</v>
      </c>
      <c r="F242" s="4">
        <v>50</v>
      </c>
      <c r="G242" s="10">
        <f t="shared" si="120"/>
        <v>8.2166666666666668</v>
      </c>
      <c r="H242" s="4">
        <v>50</v>
      </c>
      <c r="I242" s="5">
        <f t="shared" si="121"/>
        <v>369.75</v>
      </c>
      <c r="J242" s="5">
        <f t="shared" si="122"/>
        <v>319.75</v>
      </c>
      <c r="K242">
        <v>25</v>
      </c>
      <c r="N242" s="119">
        <f>725</f>
        <v>725</v>
      </c>
    </row>
    <row r="243" spans="1:20" ht="16" thickBot="1">
      <c r="A243" s="145">
        <v>46124</v>
      </c>
      <c r="B243" s="4">
        <v>0</v>
      </c>
      <c r="C243" s="4">
        <v>0</v>
      </c>
      <c r="D243" s="4">
        <v>45</v>
      </c>
      <c r="E243" s="4">
        <v>1</v>
      </c>
      <c r="F243" s="4">
        <v>50</v>
      </c>
      <c r="G243" s="10">
        <f t="shared" si="120"/>
        <v>0</v>
      </c>
      <c r="H243" s="4">
        <v>0</v>
      </c>
      <c r="I243" s="5">
        <f t="shared" si="121"/>
        <v>0</v>
      </c>
      <c r="J243" s="5">
        <f t="shared" si="122"/>
        <v>0</v>
      </c>
      <c r="K243">
        <v>0</v>
      </c>
      <c r="N243" s="119">
        <v>0</v>
      </c>
    </row>
    <row r="244" spans="1:20" ht="19">
      <c r="A244" s="91" t="s">
        <v>551</v>
      </c>
      <c r="B244" s="8">
        <f>SUM(B245:B251)</f>
        <v>45</v>
      </c>
      <c r="C244" s="8">
        <f>SUM(C245:C251)</f>
        <v>227</v>
      </c>
      <c r="D244" s="8">
        <v>45</v>
      </c>
      <c r="E244" s="8">
        <f>SUM(E245:E251)</f>
        <v>6</v>
      </c>
      <c r="F244" s="8">
        <f>SUM(F245:F251)</f>
        <v>350</v>
      </c>
      <c r="G244" s="93">
        <f t="shared" si="120"/>
        <v>48.783333333333331</v>
      </c>
      <c r="H244" s="8">
        <f>SUM(H245:H251)</f>
        <v>567.29999999999995</v>
      </c>
      <c r="I244" s="9">
        <f>SUM(I245:I251)</f>
        <v>2195.25</v>
      </c>
      <c r="J244" s="14">
        <f>SUM(J245:J251)</f>
        <v>1627.95</v>
      </c>
      <c r="K244" s="8">
        <f>SUM(K245:K251)</f>
        <v>97</v>
      </c>
      <c r="L244" s="9">
        <v>0</v>
      </c>
      <c r="M244" s="96">
        <f>J244</f>
        <v>1627.95</v>
      </c>
      <c r="N244" s="102">
        <f>SUM(N245:N251)</f>
        <v>3586</v>
      </c>
      <c r="O244" s="98">
        <f>3594-N244</f>
        <v>8</v>
      </c>
      <c r="P244" s="98"/>
      <c r="Q244" s="86"/>
      <c r="R244" s="86"/>
      <c r="S244" s="86"/>
      <c r="T244" s="86"/>
    </row>
    <row r="245" spans="1:20">
      <c r="A245" s="145">
        <v>46118</v>
      </c>
      <c r="B245" s="4">
        <v>0</v>
      </c>
      <c r="C245" s="4">
        <v>0</v>
      </c>
      <c r="D245" s="4">
        <v>45</v>
      </c>
      <c r="E245" s="4">
        <v>0</v>
      </c>
      <c r="F245" s="4">
        <v>50</v>
      </c>
      <c r="G245" s="10">
        <f t="shared" si="120"/>
        <v>0</v>
      </c>
      <c r="H245" s="4">
        <v>0</v>
      </c>
      <c r="I245" s="5">
        <f t="shared" ref="I245:I251" si="123">G245*D245</f>
        <v>0</v>
      </c>
      <c r="J245" s="5">
        <f t="shared" ref="J245:J251" si="124">I245-H245</f>
        <v>0</v>
      </c>
      <c r="K245">
        <v>0</v>
      </c>
      <c r="N245" s="119">
        <v>0</v>
      </c>
      <c r="O245" s="51"/>
      <c r="P245" s="51"/>
    </row>
    <row r="246" spans="1:20">
      <c r="A246" s="145">
        <v>46119</v>
      </c>
      <c r="B246" s="4">
        <v>8</v>
      </c>
      <c r="C246" s="4">
        <v>43</v>
      </c>
      <c r="D246" s="4">
        <v>45</v>
      </c>
      <c r="E246" s="4">
        <v>1</v>
      </c>
      <c r="F246" s="4">
        <v>50</v>
      </c>
      <c r="G246" s="10">
        <f t="shared" si="120"/>
        <v>8.7166666666666668</v>
      </c>
      <c r="H246" s="4">
        <f>50+53.7</f>
        <v>103.7</v>
      </c>
      <c r="I246" s="5">
        <f t="shared" si="123"/>
        <v>392.25</v>
      </c>
      <c r="J246" s="5">
        <f t="shared" si="124"/>
        <v>288.55</v>
      </c>
      <c r="K246">
        <v>24</v>
      </c>
      <c r="N246" s="119">
        <v>773</v>
      </c>
    </row>
    <row r="247" spans="1:20">
      <c r="A247" s="145">
        <v>46120</v>
      </c>
      <c r="B247" s="4">
        <v>7</v>
      </c>
      <c r="C247" s="4">
        <v>51</v>
      </c>
      <c r="D247" s="4">
        <v>45</v>
      </c>
      <c r="E247" s="4">
        <v>1</v>
      </c>
      <c r="F247" s="4">
        <v>50</v>
      </c>
      <c r="G247" s="10">
        <f t="shared" si="120"/>
        <v>7.85</v>
      </c>
      <c r="H247" s="4">
        <f>50+39</f>
        <v>89</v>
      </c>
      <c r="I247" s="5">
        <f t="shared" si="123"/>
        <v>353.25</v>
      </c>
      <c r="J247" s="5">
        <f t="shared" si="124"/>
        <v>264.25</v>
      </c>
      <c r="K247">
        <v>12</v>
      </c>
      <c r="N247" s="119">
        <f>534</f>
        <v>534</v>
      </c>
      <c r="Q247" t="s">
        <v>647</v>
      </c>
      <c r="R247" t="s">
        <v>64</v>
      </c>
    </row>
    <row r="248" spans="1:20">
      <c r="A248" s="145">
        <v>46121</v>
      </c>
      <c r="B248" s="4">
        <v>8</v>
      </c>
      <c r="C248" s="4">
        <v>18</v>
      </c>
      <c r="D248" s="4">
        <v>45</v>
      </c>
      <c r="E248" s="4">
        <v>1</v>
      </c>
      <c r="F248" s="4">
        <v>50</v>
      </c>
      <c r="G248" s="10">
        <f t="shared" si="120"/>
        <v>8.3000000000000007</v>
      </c>
      <c r="H248" s="4">
        <v>50</v>
      </c>
      <c r="I248" s="5">
        <f t="shared" si="123"/>
        <v>373.50000000000006</v>
      </c>
      <c r="J248" s="5">
        <f t="shared" si="124"/>
        <v>323.50000000000006</v>
      </c>
      <c r="K248">
        <v>17</v>
      </c>
      <c r="N248" s="119">
        <f>680</f>
        <v>680</v>
      </c>
    </row>
    <row r="249" spans="1:20">
      <c r="A249" s="145">
        <v>46122</v>
      </c>
      <c r="B249" s="4">
        <v>7</v>
      </c>
      <c r="C249" s="4">
        <v>59</v>
      </c>
      <c r="D249" s="4">
        <v>45</v>
      </c>
      <c r="E249" s="4">
        <v>1</v>
      </c>
      <c r="F249" s="4">
        <v>50</v>
      </c>
      <c r="G249" s="10">
        <f t="shared" si="120"/>
        <v>7.9833333333333334</v>
      </c>
      <c r="H249" s="4">
        <v>50</v>
      </c>
      <c r="I249" s="5">
        <f t="shared" si="123"/>
        <v>359.25</v>
      </c>
      <c r="J249" s="5">
        <f t="shared" si="124"/>
        <v>309.25</v>
      </c>
      <c r="K249">
        <v>15</v>
      </c>
      <c r="N249" s="119">
        <f>551</f>
        <v>551</v>
      </c>
    </row>
    <row r="250" spans="1:20">
      <c r="A250" s="145">
        <v>46123</v>
      </c>
      <c r="B250" s="4">
        <v>8</v>
      </c>
      <c r="C250" s="4">
        <v>17</v>
      </c>
      <c r="D250" s="4">
        <v>45</v>
      </c>
      <c r="E250" s="4">
        <v>1</v>
      </c>
      <c r="F250" s="4">
        <v>50</v>
      </c>
      <c r="G250" s="10">
        <f t="shared" si="120"/>
        <v>8.2833333333333332</v>
      </c>
      <c r="H250" s="4">
        <f>76.8+50</f>
        <v>126.8</v>
      </c>
      <c r="I250" s="5">
        <f t="shared" si="123"/>
        <v>372.75</v>
      </c>
      <c r="J250" s="5">
        <f t="shared" si="124"/>
        <v>245.95</v>
      </c>
      <c r="K250">
        <v>16</v>
      </c>
      <c r="N250" s="119">
        <f>470</f>
        <v>470</v>
      </c>
    </row>
    <row r="251" spans="1:20" ht="16" thickBot="1">
      <c r="A251" s="145">
        <v>46124</v>
      </c>
      <c r="B251" s="4">
        <v>7</v>
      </c>
      <c r="C251" s="4">
        <v>39</v>
      </c>
      <c r="D251" s="4">
        <v>45</v>
      </c>
      <c r="E251" s="4">
        <v>1</v>
      </c>
      <c r="F251" s="4">
        <v>50</v>
      </c>
      <c r="G251" s="10">
        <f t="shared" si="120"/>
        <v>7.65</v>
      </c>
      <c r="H251" s="4">
        <f>50+97.8</f>
        <v>147.80000000000001</v>
      </c>
      <c r="I251" s="5">
        <f t="shared" si="123"/>
        <v>344.25</v>
      </c>
      <c r="J251" s="5">
        <f t="shared" si="124"/>
        <v>196.45</v>
      </c>
      <c r="K251">
        <v>13</v>
      </c>
      <c r="N251" s="119">
        <f>578</f>
        <v>578</v>
      </c>
      <c r="Q251" t="s">
        <v>648</v>
      </c>
    </row>
    <row r="252" spans="1:20" s="86" customFormat="1" ht="19">
      <c r="A252" s="91" t="s">
        <v>649</v>
      </c>
      <c r="B252" s="8">
        <f>SUM(B253:B259)</f>
        <v>51</v>
      </c>
      <c r="C252" s="8">
        <f>SUM(C253:C259)</f>
        <v>214</v>
      </c>
      <c r="D252" s="8">
        <f>SUM(D253)</f>
        <v>45</v>
      </c>
      <c r="E252" s="8">
        <f>SUM(E253:E259)</f>
        <v>6</v>
      </c>
      <c r="F252" s="8">
        <f>SUM(F253:F259)</f>
        <v>300</v>
      </c>
      <c r="G252" s="93">
        <f t="shared" si="120"/>
        <v>54.56666666666667</v>
      </c>
      <c r="H252" s="8">
        <f>SUM(H253:H259)</f>
        <v>300</v>
      </c>
      <c r="I252" s="9">
        <f>SUM(I253:I259)</f>
        <v>2746</v>
      </c>
      <c r="J252" s="14">
        <f>SUM(J253:J259)</f>
        <v>2446</v>
      </c>
      <c r="K252" s="8">
        <f>SUM(K253:K259)</f>
        <v>152</v>
      </c>
      <c r="L252" s="9">
        <v>0</v>
      </c>
      <c r="M252" s="96">
        <f>J252</f>
        <v>2446</v>
      </c>
      <c r="N252" s="102">
        <f>SUM(N253:N259)</f>
        <v>2991</v>
      </c>
      <c r="O252" s="98">
        <f>3611-N252</f>
        <v>620</v>
      </c>
      <c r="P252" s="98"/>
    </row>
    <row r="253" spans="1:20">
      <c r="A253" s="145">
        <v>46118</v>
      </c>
      <c r="B253" s="4">
        <v>0</v>
      </c>
      <c r="C253" s="4">
        <v>0</v>
      </c>
      <c r="D253" s="4">
        <v>45</v>
      </c>
      <c r="E253" s="4">
        <v>0</v>
      </c>
      <c r="F253" s="4">
        <v>0</v>
      </c>
      <c r="G253" s="10">
        <f t="shared" si="120"/>
        <v>0</v>
      </c>
      <c r="H253" s="4">
        <v>0</v>
      </c>
      <c r="I253" s="5">
        <f t="shared" ref="I253:I259" si="125">G253*D253</f>
        <v>0</v>
      </c>
      <c r="J253" s="5">
        <f>I253-H253</f>
        <v>0</v>
      </c>
      <c r="K253">
        <v>0</v>
      </c>
      <c r="N253" s="119">
        <v>0</v>
      </c>
      <c r="O253" s="51"/>
      <c r="P253" s="51"/>
    </row>
    <row r="254" spans="1:20">
      <c r="A254" s="145">
        <v>46119</v>
      </c>
      <c r="B254" s="4">
        <v>9</v>
      </c>
      <c r="C254" s="4">
        <v>28</v>
      </c>
      <c r="D254" s="4">
        <v>55</v>
      </c>
      <c r="E254" s="4">
        <v>1</v>
      </c>
      <c r="F254" s="4">
        <v>50</v>
      </c>
      <c r="G254" s="10">
        <f t="shared" si="120"/>
        <v>9.4666666666666668</v>
      </c>
      <c r="H254" s="4">
        <v>50</v>
      </c>
      <c r="I254" s="5">
        <f t="shared" si="125"/>
        <v>520.66666666666663</v>
      </c>
      <c r="J254" s="5">
        <f>I254-H254</f>
        <v>470.66666666666663</v>
      </c>
      <c r="K254">
        <v>28</v>
      </c>
      <c r="N254" s="119">
        <f>261</f>
        <v>261</v>
      </c>
    </row>
    <row r="255" spans="1:20">
      <c r="A255" s="145">
        <v>46120</v>
      </c>
      <c r="B255" s="4">
        <v>10</v>
      </c>
      <c r="C255" s="4">
        <v>11</v>
      </c>
      <c r="D255" s="4">
        <v>55</v>
      </c>
      <c r="E255" s="4">
        <v>1</v>
      </c>
      <c r="F255" s="4">
        <v>50</v>
      </c>
      <c r="G255" s="10">
        <f>B255+C255/60</f>
        <v>10.183333333333334</v>
      </c>
      <c r="H255" s="4">
        <v>50</v>
      </c>
      <c r="I255" s="5">
        <f t="shared" si="125"/>
        <v>560.08333333333337</v>
      </c>
      <c r="J255" s="5">
        <f t="shared" ref="J255:J259" si="126">I255-H255</f>
        <v>510.08333333333337</v>
      </c>
      <c r="K255">
        <v>28</v>
      </c>
      <c r="N255" s="119">
        <f>608</f>
        <v>608</v>
      </c>
      <c r="R255" t="s">
        <v>64</v>
      </c>
    </row>
    <row r="256" spans="1:20">
      <c r="A256" s="145">
        <v>46121</v>
      </c>
      <c r="B256" s="4">
        <v>9</v>
      </c>
      <c r="C256" s="4">
        <v>55</v>
      </c>
      <c r="D256" s="4">
        <v>45</v>
      </c>
      <c r="E256" s="4">
        <v>1</v>
      </c>
      <c r="F256" s="4">
        <v>50</v>
      </c>
      <c r="G256" s="10">
        <f>B256+C256/60</f>
        <v>9.9166666666666661</v>
      </c>
      <c r="H256" s="4">
        <v>50</v>
      </c>
      <c r="I256" s="5">
        <f t="shared" si="125"/>
        <v>446.25</v>
      </c>
      <c r="J256" s="5">
        <f t="shared" si="126"/>
        <v>396.25</v>
      </c>
      <c r="K256">
        <v>23</v>
      </c>
      <c r="N256" s="119">
        <f>295</f>
        <v>295</v>
      </c>
    </row>
    <row r="257" spans="1:18">
      <c r="A257" s="145">
        <v>46122</v>
      </c>
      <c r="B257" s="4">
        <v>9</v>
      </c>
      <c r="C257" s="4">
        <v>24</v>
      </c>
      <c r="D257" s="4">
        <v>55</v>
      </c>
      <c r="E257" s="4">
        <v>1</v>
      </c>
      <c r="F257" s="4">
        <v>50</v>
      </c>
      <c r="G257" s="10">
        <f>B257+C257/60</f>
        <v>9.4</v>
      </c>
      <c r="H257" s="4">
        <v>50</v>
      </c>
      <c r="I257" s="5">
        <f t="shared" si="125"/>
        <v>517</v>
      </c>
      <c r="J257" s="5">
        <f t="shared" si="126"/>
        <v>467</v>
      </c>
      <c r="K257">
        <v>28</v>
      </c>
      <c r="N257" s="119">
        <f>433</f>
        <v>433</v>
      </c>
    </row>
    <row r="258" spans="1:18">
      <c r="A258" s="145">
        <v>46123</v>
      </c>
      <c r="B258" s="4">
        <v>8</v>
      </c>
      <c r="C258" s="4">
        <v>37</v>
      </c>
      <c r="D258" s="4">
        <v>45</v>
      </c>
      <c r="E258" s="4">
        <v>1</v>
      </c>
      <c r="F258" s="4">
        <v>50</v>
      </c>
      <c r="G258" s="10">
        <f>B258+C258/60</f>
        <v>8.6166666666666671</v>
      </c>
      <c r="H258" s="4">
        <v>50</v>
      </c>
      <c r="I258" s="5">
        <f t="shared" si="125"/>
        <v>387.75</v>
      </c>
      <c r="J258" s="5">
        <f t="shared" si="126"/>
        <v>337.75</v>
      </c>
      <c r="K258">
        <v>25</v>
      </c>
      <c r="N258" s="119">
        <f>916</f>
        <v>916</v>
      </c>
    </row>
    <row r="259" spans="1:18" ht="16" thickBot="1">
      <c r="A259" s="145">
        <v>46124</v>
      </c>
      <c r="B259" s="4">
        <v>6</v>
      </c>
      <c r="C259" s="4">
        <v>59</v>
      </c>
      <c r="D259" s="4">
        <v>45</v>
      </c>
      <c r="E259" s="4">
        <v>1</v>
      </c>
      <c r="F259" s="4">
        <v>50</v>
      </c>
      <c r="G259" s="10">
        <f>B259+C259/60</f>
        <v>6.9833333333333334</v>
      </c>
      <c r="H259" s="4">
        <v>50</v>
      </c>
      <c r="I259" s="5">
        <f t="shared" si="125"/>
        <v>314.25</v>
      </c>
      <c r="J259" s="5">
        <f t="shared" si="126"/>
        <v>264.25</v>
      </c>
      <c r="K259">
        <v>20</v>
      </c>
      <c r="N259" s="119">
        <f>478</f>
        <v>478</v>
      </c>
      <c r="Q259" t="s">
        <v>650</v>
      </c>
    </row>
    <row r="260" spans="1:18" s="86" customFormat="1" ht="19">
      <c r="A260" s="91" t="s">
        <v>559</v>
      </c>
      <c r="B260" s="8">
        <f>SUM(B261:B267)</f>
        <v>55</v>
      </c>
      <c r="C260" s="8">
        <f>SUM(C261:C267)</f>
        <v>175</v>
      </c>
      <c r="D260" s="8">
        <f>SUM(D261)</f>
        <v>0</v>
      </c>
      <c r="E260" s="8">
        <f>SUM(E261:E267)</f>
        <v>5</v>
      </c>
      <c r="F260" s="8">
        <f>SUM(F261:F267)</f>
        <v>350</v>
      </c>
      <c r="G260" s="93">
        <f t="shared" ref="G260:G291" si="127">B260+C260/60</f>
        <v>57.916666666666664</v>
      </c>
      <c r="H260" s="8">
        <f>SUM(H261:H267)</f>
        <v>300</v>
      </c>
      <c r="I260" s="9">
        <f>SUM(I261:I267)</f>
        <v>3764.583333333333</v>
      </c>
      <c r="J260" s="14">
        <f>SUM(J261:J267)</f>
        <v>3464.583333333333</v>
      </c>
      <c r="K260" s="8">
        <f>SUM(K261:K267)</f>
        <v>256</v>
      </c>
      <c r="L260" s="9">
        <v>300</v>
      </c>
      <c r="M260" s="96">
        <f>J260+L260</f>
        <v>3764.583333333333</v>
      </c>
      <c r="N260" s="102">
        <f>SUM(N261:N267)</f>
        <v>8007</v>
      </c>
      <c r="O260" s="98">
        <f>8015-N260</f>
        <v>8</v>
      </c>
      <c r="P260" s="98"/>
    </row>
    <row r="261" spans="1:18">
      <c r="A261" s="145">
        <v>46118</v>
      </c>
      <c r="B261" s="4">
        <v>0</v>
      </c>
      <c r="C261" s="4">
        <v>0</v>
      </c>
      <c r="D261" s="4">
        <v>0</v>
      </c>
      <c r="E261" s="4">
        <v>0</v>
      </c>
      <c r="F261" s="4">
        <v>50</v>
      </c>
      <c r="G261" s="10">
        <f t="shared" si="127"/>
        <v>0</v>
      </c>
      <c r="H261" s="4">
        <v>0</v>
      </c>
      <c r="I261" s="5">
        <f t="shared" ref="I261:I267" si="128">G261*D261</f>
        <v>0</v>
      </c>
      <c r="J261" s="5">
        <f t="shared" ref="J261:J267" si="129">I261-H261</f>
        <v>0</v>
      </c>
      <c r="K261">
        <v>0</v>
      </c>
      <c r="N261" s="51">
        <v>0</v>
      </c>
      <c r="O261" s="51"/>
      <c r="P261" s="51"/>
    </row>
    <row r="262" spans="1:18">
      <c r="A262" s="145">
        <v>46119</v>
      </c>
      <c r="B262" s="4">
        <v>9</v>
      </c>
      <c r="C262" s="4">
        <v>37</v>
      </c>
      <c r="D262" s="4">
        <v>65</v>
      </c>
      <c r="E262" s="4">
        <v>1</v>
      </c>
      <c r="F262" s="4">
        <v>50</v>
      </c>
      <c r="G262" s="10">
        <f t="shared" si="127"/>
        <v>9.6166666666666671</v>
      </c>
      <c r="H262" s="4">
        <v>50</v>
      </c>
      <c r="I262" s="5">
        <f t="shared" si="128"/>
        <v>625.08333333333337</v>
      </c>
      <c r="J262" s="5">
        <f t="shared" si="129"/>
        <v>575.08333333333337</v>
      </c>
      <c r="K262">
        <v>44</v>
      </c>
      <c r="N262" s="51">
        <v>1120</v>
      </c>
    </row>
    <row r="263" spans="1:18">
      <c r="A263" s="145">
        <v>46120</v>
      </c>
      <c r="B263" s="4">
        <v>9</v>
      </c>
      <c r="C263" s="4">
        <v>10</v>
      </c>
      <c r="D263" s="4">
        <v>65</v>
      </c>
      <c r="E263" s="4">
        <v>1</v>
      </c>
      <c r="F263" s="4">
        <v>50</v>
      </c>
      <c r="G263" s="10">
        <f t="shared" si="127"/>
        <v>9.1666666666666661</v>
      </c>
      <c r="H263" s="4">
        <v>50</v>
      </c>
      <c r="I263" s="5">
        <f t="shared" si="128"/>
        <v>595.83333333333326</v>
      </c>
      <c r="J263" s="5">
        <f t="shared" si="129"/>
        <v>545.83333333333326</v>
      </c>
      <c r="K263">
        <v>40</v>
      </c>
      <c r="N263" s="51">
        <f>1100</f>
        <v>1100</v>
      </c>
      <c r="R263" t="s">
        <v>64</v>
      </c>
    </row>
    <row r="264" spans="1:18">
      <c r="A264" s="145">
        <v>46121</v>
      </c>
      <c r="B264" s="4">
        <v>9</v>
      </c>
      <c r="C264" s="4">
        <v>32</v>
      </c>
      <c r="D264" s="4">
        <v>65</v>
      </c>
      <c r="E264" s="4">
        <v>1</v>
      </c>
      <c r="F264" s="4">
        <v>50</v>
      </c>
      <c r="G264" s="10">
        <f t="shared" si="127"/>
        <v>9.5333333333333332</v>
      </c>
      <c r="H264" s="4">
        <v>50</v>
      </c>
      <c r="I264" s="5">
        <f t="shared" si="128"/>
        <v>619.66666666666663</v>
      </c>
      <c r="J264" s="5">
        <f t="shared" si="129"/>
        <v>569.66666666666663</v>
      </c>
      <c r="K264">
        <v>40</v>
      </c>
      <c r="N264" s="51">
        <f>1140</f>
        <v>1140</v>
      </c>
      <c r="Q264" t="s">
        <v>651</v>
      </c>
    </row>
    <row r="265" spans="1:18">
      <c r="A265" s="145">
        <v>46122</v>
      </c>
      <c r="B265" s="4">
        <v>10</v>
      </c>
      <c r="C265" s="4">
        <v>19</v>
      </c>
      <c r="D265" s="4">
        <v>65</v>
      </c>
      <c r="E265" s="4">
        <v>1</v>
      </c>
      <c r="F265" s="4">
        <v>50</v>
      </c>
      <c r="G265" s="10">
        <f t="shared" si="127"/>
        <v>10.316666666666666</v>
      </c>
      <c r="H265" s="4">
        <v>50</v>
      </c>
      <c r="I265" s="5">
        <f t="shared" si="128"/>
        <v>670.58333333333337</v>
      </c>
      <c r="J265" s="5">
        <f t="shared" si="129"/>
        <v>620.58333333333337</v>
      </c>
      <c r="K265">
        <v>39</v>
      </c>
      <c r="N265" s="51">
        <f>1296</f>
        <v>1296</v>
      </c>
      <c r="Q265" t="s">
        <v>652</v>
      </c>
    </row>
    <row r="266" spans="1:18">
      <c r="A266" s="145">
        <v>46123</v>
      </c>
      <c r="B266" s="4">
        <v>9</v>
      </c>
      <c r="C266" s="4">
        <v>30</v>
      </c>
      <c r="D266" s="4">
        <v>65</v>
      </c>
      <c r="E266" s="4">
        <v>1</v>
      </c>
      <c r="F266" s="4">
        <v>50</v>
      </c>
      <c r="G266" s="10">
        <f t="shared" si="127"/>
        <v>9.5</v>
      </c>
      <c r="H266" s="4">
        <v>50</v>
      </c>
      <c r="I266" s="5">
        <f t="shared" si="128"/>
        <v>617.5</v>
      </c>
      <c r="J266" s="5">
        <f t="shared" si="129"/>
        <v>567.5</v>
      </c>
      <c r="K266">
        <v>44</v>
      </c>
      <c r="N266" s="51">
        <f>1557</f>
        <v>1557</v>
      </c>
    </row>
    <row r="267" spans="1:18" ht="16" thickBot="1">
      <c r="A267" s="145">
        <v>46124</v>
      </c>
      <c r="B267" s="4">
        <v>9</v>
      </c>
      <c r="C267" s="4">
        <v>47</v>
      </c>
      <c r="D267" s="4">
        <v>65</v>
      </c>
      <c r="E267" s="4">
        <v>0</v>
      </c>
      <c r="F267" s="4">
        <v>50</v>
      </c>
      <c r="G267" s="10">
        <f t="shared" si="127"/>
        <v>9.7833333333333332</v>
      </c>
      <c r="H267" s="4">
        <v>50</v>
      </c>
      <c r="I267" s="5">
        <f t="shared" si="128"/>
        <v>635.91666666666663</v>
      </c>
      <c r="J267" s="5">
        <f t="shared" si="129"/>
        <v>585.91666666666663</v>
      </c>
      <c r="K267">
        <v>49</v>
      </c>
      <c r="N267" s="51">
        <f>1794</f>
        <v>1794</v>
      </c>
    </row>
    <row r="268" spans="1:18" s="86" customFormat="1" ht="19">
      <c r="A268" s="91" t="s">
        <v>560</v>
      </c>
      <c r="B268" s="8">
        <f>SUM(B269:B275)</f>
        <v>52</v>
      </c>
      <c r="C268" s="8">
        <f>SUM(C269:C275)</f>
        <v>177</v>
      </c>
      <c r="D268" s="8">
        <f>SUM(D269)</f>
        <v>55</v>
      </c>
      <c r="E268" s="8">
        <f>SUM(E269:E275)</f>
        <v>5</v>
      </c>
      <c r="F268" s="8">
        <f>SUM(F269:F275)</f>
        <v>300</v>
      </c>
      <c r="G268" s="93">
        <f t="shared" si="127"/>
        <v>54.95</v>
      </c>
      <c r="H268" s="8">
        <f>SUM(H269:H275)</f>
        <v>463.5</v>
      </c>
      <c r="I268" s="9">
        <f>SUM(I269:I275)</f>
        <v>2857.75</v>
      </c>
      <c r="J268" s="14">
        <f>SUM(J269:J275)</f>
        <v>2394.25</v>
      </c>
      <c r="K268" s="8">
        <f>SUM(K269:K275)</f>
        <v>185</v>
      </c>
      <c r="L268" s="9">
        <v>0</v>
      </c>
      <c r="M268" s="96">
        <f>J268</f>
        <v>2394.25</v>
      </c>
      <c r="N268" s="102">
        <f>SUM(N269:N275)</f>
        <v>4541</v>
      </c>
      <c r="O268" s="98">
        <f>4429-N268</f>
        <v>-112</v>
      </c>
      <c r="P268" s="98"/>
    </row>
    <row r="269" spans="1:18">
      <c r="A269" s="80" t="s">
        <v>547</v>
      </c>
      <c r="B269" s="4">
        <v>7</v>
      </c>
      <c r="C269" s="4">
        <v>47</v>
      </c>
      <c r="D269" s="4">
        <v>55</v>
      </c>
      <c r="E269" s="4">
        <v>1</v>
      </c>
      <c r="F269" s="4">
        <v>50</v>
      </c>
      <c r="G269" s="10">
        <f t="shared" si="127"/>
        <v>7.7833333333333332</v>
      </c>
      <c r="H269" s="4">
        <f>50+128.7</f>
        <v>178.7</v>
      </c>
      <c r="I269" s="5">
        <f t="shared" ref="I269:I275" si="130">G269*D269</f>
        <v>428.08333333333331</v>
      </c>
      <c r="J269" s="5">
        <f t="shared" ref="J269:J275" si="131">I269-H269</f>
        <v>249.38333333333333</v>
      </c>
      <c r="K269">
        <v>27</v>
      </c>
      <c r="N269" s="51">
        <f>633+150</f>
        <v>783</v>
      </c>
      <c r="O269" s="51"/>
      <c r="P269" s="51"/>
      <c r="Q269" t="s">
        <v>653</v>
      </c>
    </row>
    <row r="270" spans="1:18">
      <c r="A270" s="80" t="s">
        <v>587</v>
      </c>
      <c r="B270" s="4">
        <v>9</v>
      </c>
      <c r="C270" s="4">
        <v>55</v>
      </c>
      <c r="D270" s="4">
        <v>45</v>
      </c>
      <c r="E270" s="4">
        <v>1</v>
      </c>
      <c r="F270" s="4">
        <v>50</v>
      </c>
      <c r="G270" s="10">
        <f t="shared" si="127"/>
        <v>9.9166666666666661</v>
      </c>
      <c r="H270" s="4">
        <v>50</v>
      </c>
      <c r="I270" s="5">
        <f t="shared" si="130"/>
        <v>446.25</v>
      </c>
      <c r="J270" s="5">
        <f t="shared" si="131"/>
        <v>396.25</v>
      </c>
      <c r="K270">
        <v>26</v>
      </c>
      <c r="N270" s="51"/>
      <c r="Q270" t="s">
        <v>654</v>
      </c>
    </row>
    <row r="271" spans="1:18">
      <c r="A271" s="80" t="s">
        <v>564</v>
      </c>
      <c r="B271" s="4">
        <v>0</v>
      </c>
      <c r="C271" s="4">
        <v>0</v>
      </c>
      <c r="D271" s="4">
        <v>45</v>
      </c>
      <c r="E271" s="4">
        <v>1</v>
      </c>
      <c r="F271" s="4">
        <v>0</v>
      </c>
      <c r="G271" s="10">
        <f t="shared" si="127"/>
        <v>0</v>
      </c>
      <c r="H271" s="4">
        <v>0</v>
      </c>
      <c r="I271" s="5">
        <f t="shared" si="130"/>
        <v>0</v>
      </c>
      <c r="J271" s="5">
        <f t="shared" si="131"/>
        <v>0</v>
      </c>
      <c r="K271">
        <v>22</v>
      </c>
      <c r="N271" s="51">
        <v>679</v>
      </c>
      <c r="R271" t="s">
        <v>64</v>
      </c>
    </row>
    <row r="272" spans="1:18">
      <c r="A272" s="80" t="s">
        <v>566</v>
      </c>
      <c r="B272" s="4">
        <v>9</v>
      </c>
      <c r="C272" s="4">
        <v>17</v>
      </c>
      <c r="D272" s="4">
        <v>55</v>
      </c>
      <c r="E272" s="4">
        <v>1</v>
      </c>
      <c r="F272" s="4">
        <v>50</v>
      </c>
      <c r="G272" s="10">
        <f t="shared" si="127"/>
        <v>9.2833333333333332</v>
      </c>
      <c r="H272" s="4">
        <v>50</v>
      </c>
      <c r="I272" s="5">
        <f t="shared" si="130"/>
        <v>510.58333333333331</v>
      </c>
      <c r="J272" s="5">
        <f t="shared" si="131"/>
        <v>460.58333333333331</v>
      </c>
      <c r="K272">
        <v>28</v>
      </c>
      <c r="N272" s="51">
        <v>786</v>
      </c>
    </row>
    <row r="273" spans="1:18">
      <c r="A273" s="80" t="s">
        <v>568</v>
      </c>
      <c r="B273" s="4">
        <v>10</v>
      </c>
      <c r="C273" s="4">
        <v>43</v>
      </c>
      <c r="D273" s="4">
        <v>65</v>
      </c>
      <c r="E273" s="4">
        <v>1</v>
      </c>
      <c r="F273" s="4">
        <v>50</v>
      </c>
      <c r="G273" s="10">
        <f t="shared" si="127"/>
        <v>10.716666666666667</v>
      </c>
      <c r="H273" s="4">
        <v>50</v>
      </c>
      <c r="I273" s="5">
        <f t="shared" si="130"/>
        <v>696.58333333333337</v>
      </c>
      <c r="J273" s="5">
        <f t="shared" si="131"/>
        <v>646.58333333333337</v>
      </c>
      <c r="K273">
        <v>37</v>
      </c>
      <c r="N273" s="51">
        <f>751+120</f>
        <v>871</v>
      </c>
      <c r="Q273" t="s">
        <v>655</v>
      </c>
    </row>
    <row r="274" spans="1:18">
      <c r="A274" s="80" t="s">
        <v>570</v>
      </c>
      <c r="B274" s="4">
        <v>8</v>
      </c>
      <c r="C274" s="4">
        <v>14</v>
      </c>
      <c r="D274" s="4">
        <v>45</v>
      </c>
      <c r="E274" s="4">
        <v>0</v>
      </c>
      <c r="F274" s="4">
        <v>50</v>
      </c>
      <c r="G274" s="10">
        <f t="shared" si="127"/>
        <v>8.2333333333333325</v>
      </c>
      <c r="H274" s="4">
        <f>34.8+50</f>
        <v>84.8</v>
      </c>
      <c r="I274" s="5">
        <f t="shared" si="130"/>
        <v>370.49999999999994</v>
      </c>
      <c r="J274" s="5">
        <f t="shared" si="131"/>
        <v>285.69999999999993</v>
      </c>
      <c r="K274">
        <v>23</v>
      </c>
      <c r="N274" s="51">
        <f>614+200</f>
        <v>814</v>
      </c>
      <c r="Q274" t="s">
        <v>656</v>
      </c>
    </row>
    <row r="275" spans="1:18" ht="16" thickBot="1">
      <c r="A275" s="80" t="s">
        <v>657</v>
      </c>
      <c r="B275" s="4">
        <v>9</v>
      </c>
      <c r="C275" s="4">
        <v>1</v>
      </c>
      <c r="D275" s="4">
        <v>45</v>
      </c>
      <c r="E275" s="4">
        <v>0</v>
      </c>
      <c r="F275" s="4">
        <v>50</v>
      </c>
      <c r="G275" s="10">
        <f t="shared" si="127"/>
        <v>9.0166666666666675</v>
      </c>
      <c r="H275" s="4">
        <v>50</v>
      </c>
      <c r="I275" s="5">
        <f t="shared" si="130"/>
        <v>405.75000000000006</v>
      </c>
      <c r="J275" s="5">
        <f t="shared" si="131"/>
        <v>355.75000000000006</v>
      </c>
      <c r="K275">
        <v>22</v>
      </c>
      <c r="N275" s="51">
        <f>608</f>
        <v>608</v>
      </c>
    </row>
    <row r="276" spans="1:18" s="86" customFormat="1" ht="19">
      <c r="A276" s="91" t="s">
        <v>562</v>
      </c>
      <c r="B276" s="8">
        <f>SUM(B277:B283)</f>
        <v>64</v>
      </c>
      <c r="C276" s="8">
        <f>SUM(C277:C283)</f>
        <v>272</v>
      </c>
      <c r="D276" s="8">
        <f>SUM(D277)</f>
        <v>65</v>
      </c>
      <c r="E276" s="8">
        <f>SUM(E277:E283)</f>
        <v>7</v>
      </c>
      <c r="F276" s="8">
        <f>SUM(F277:F283)</f>
        <v>350</v>
      </c>
      <c r="G276" s="93">
        <f t="shared" si="127"/>
        <v>68.533333333333331</v>
      </c>
      <c r="H276" s="8">
        <f>SUM(H277:H283)</f>
        <v>350</v>
      </c>
      <c r="I276" s="9">
        <f>SUM(I277:I283)</f>
        <v>3886</v>
      </c>
      <c r="J276" s="14">
        <f>SUM(J277:J283)</f>
        <v>3536</v>
      </c>
      <c r="K276" s="8">
        <f>SUM(K277:K283)</f>
        <v>201</v>
      </c>
      <c r="L276" s="9">
        <v>0</v>
      </c>
      <c r="M276" s="96">
        <f>J276</f>
        <v>3536</v>
      </c>
      <c r="N276" s="102">
        <f>SUM(N277:N283)</f>
        <v>5190</v>
      </c>
      <c r="O276" s="98">
        <f>6248-N276</f>
        <v>1058</v>
      </c>
      <c r="P276" s="98"/>
    </row>
    <row r="277" spans="1:18">
      <c r="A277" s="145">
        <v>46118</v>
      </c>
      <c r="B277" s="4">
        <v>9</v>
      </c>
      <c r="C277" s="4">
        <v>32</v>
      </c>
      <c r="D277" s="4">
        <v>65</v>
      </c>
      <c r="E277" s="4">
        <v>1</v>
      </c>
      <c r="F277" s="4">
        <v>50</v>
      </c>
      <c r="G277" s="10">
        <f t="shared" si="127"/>
        <v>9.5333333333333332</v>
      </c>
      <c r="H277" s="4">
        <v>50</v>
      </c>
      <c r="I277" s="5">
        <f t="shared" ref="I277:I283" si="132">G277*D277</f>
        <v>619.66666666666663</v>
      </c>
      <c r="J277" s="5">
        <f t="shared" ref="J277:J283" si="133">I277-H277</f>
        <v>569.66666666666663</v>
      </c>
      <c r="K277">
        <v>32</v>
      </c>
      <c r="N277" s="51">
        <v>513</v>
      </c>
      <c r="O277" s="51"/>
      <c r="P277" s="51"/>
    </row>
    <row r="278" spans="1:18">
      <c r="A278" s="145">
        <v>46119</v>
      </c>
      <c r="B278" s="4">
        <v>10</v>
      </c>
      <c r="C278" s="4">
        <v>42</v>
      </c>
      <c r="D278" s="4">
        <v>65</v>
      </c>
      <c r="E278" s="4">
        <v>1</v>
      </c>
      <c r="F278" s="4">
        <v>50</v>
      </c>
      <c r="G278" s="10">
        <f t="shared" si="127"/>
        <v>10.7</v>
      </c>
      <c r="H278" s="4">
        <v>50</v>
      </c>
      <c r="I278" s="5">
        <f t="shared" si="132"/>
        <v>695.5</v>
      </c>
      <c r="J278" s="5">
        <f t="shared" si="133"/>
        <v>645.5</v>
      </c>
      <c r="K278">
        <v>33</v>
      </c>
      <c r="N278" s="51">
        <f>518</f>
        <v>518</v>
      </c>
    </row>
    <row r="279" spans="1:18">
      <c r="A279" s="145">
        <v>46120</v>
      </c>
      <c r="B279" s="4">
        <v>10</v>
      </c>
      <c r="C279" s="4">
        <v>49</v>
      </c>
      <c r="D279" s="4">
        <v>55</v>
      </c>
      <c r="E279" s="4">
        <v>1</v>
      </c>
      <c r="F279" s="4">
        <v>50</v>
      </c>
      <c r="G279" s="10">
        <f t="shared" si="127"/>
        <v>10.816666666666666</v>
      </c>
      <c r="H279" s="4">
        <v>50</v>
      </c>
      <c r="I279" s="5">
        <f t="shared" si="132"/>
        <v>594.91666666666663</v>
      </c>
      <c r="J279" s="5">
        <f t="shared" si="133"/>
        <v>544.91666666666663</v>
      </c>
      <c r="K279">
        <v>27</v>
      </c>
      <c r="N279" s="51">
        <f>700</f>
        <v>700</v>
      </c>
      <c r="Q279" t="s">
        <v>658</v>
      </c>
      <c r="R279" t="s">
        <v>64</v>
      </c>
    </row>
    <row r="280" spans="1:18">
      <c r="A280" s="145">
        <v>46121</v>
      </c>
      <c r="B280" s="4">
        <v>10</v>
      </c>
      <c r="C280" s="4">
        <v>41</v>
      </c>
      <c r="D280" s="4">
        <v>45</v>
      </c>
      <c r="E280" s="4">
        <v>1</v>
      </c>
      <c r="F280" s="4">
        <v>50</v>
      </c>
      <c r="G280" s="10">
        <f t="shared" si="127"/>
        <v>10.683333333333334</v>
      </c>
      <c r="H280" s="4">
        <v>50</v>
      </c>
      <c r="I280" s="5">
        <f t="shared" si="132"/>
        <v>480.75</v>
      </c>
      <c r="J280" s="5">
        <f t="shared" si="133"/>
        <v>430.75</v>
      </c>
      <c r="K280">
        <v>25</v>
      </c>
      <c r="N280" s="51">
        <f>850</f>
        <v>850</v>
      </c>
    </row>
    <row r="281" spans="1:18">
      <c r="A281" s="145">
        <v>46122</v>
      </c>
      <c r="B281" s="4">
        <v>9</v>
      </c>
      <c r="C281" s="4">
        <v>15</v>
      </c>
      <c r="D281" s="4">
        <v>55</v>
      </c>
      <c r="E281" s="4">
        <v>1</v>
      </c>
      <c r="F281" s="4">
        <v>50</v>
      </c>
      <c r="G281" s="10">
        <f t="shared" si="127"/>
        <v>9.25</v>
      </c>
      <c r="H281" s="4">
        <v>50</v>
      </c>
      <c r="I281" s="5">
        <f t="shared" si="132"/>
        <v>508.75</v>
      </c>
      <c r="J281" s="5">
        <f t="shared" si="133"/>
        <v>458.75</v>
      </c>
      <c r="K281">
        <v>30</v>
      </c>
      <c r="N281" s="51">
        <f>739</f>
        <v>739</v>
      </c>
      <c r="Q281" t="s">
        <v>659</v>
      </c>
    </row>
    <row r="282" spans="1:18">
      <c r="A282" s="145">
        <v>46123</v>
      </c>
      <c r="B282" s="4">
        <v>9</v>
      </c>
      <c r="C282" s="4">
        <v>50</v>
      </c>
      <c r="D282" s="4">
        <v>65</v>
      </c>
      <c r="E282" s="4">
        <v>1</v>
      </c>
      <c r="F282" s="4">
        <v>50</v>
      </c>
      <c r="G282" s="10">
        <f t="shared" si="127"/>
        <v>9.8333333333333339</v>
      </c>
      <c r="H282" s="4">
        <v>50</v>
      </c>
      <c r="I282" s="5">
        <f t="shared" si="132"/>
        <v>639.16666666666674</v>
      </c>
      <c r="J282" s="5">
        <f t="shared" si="133"/>
        <v>589.16666666666674</v>
      </c>
      <c r="K282">
        <v>32</v>
      </c>
      <c r="N282" s="51">
        <f>970</f>
        <v>970</v>
      </c>
    </row>
    <row r="283" spans="1:18">
      <c r="A283" s="145">
        <v>46124</v>
      </c>
      <c r="B283" s="4">
        <v>7</v>
      </c>
      <c r="C283" s="4">
        <v>43</v>
      </c>
      <c r="D283" s="4">
        <v>45</v>
      </c>
      <c r="E283" s="4">
        <v>1</v>
      </c>
      <c r="F283" s="4">
        <v>50</v>
      </c>
      <c r="G283" s="10">
        <f t="shared" si="127"/>
        <v>7.7166666666666668</v>
      </c>
      <c r="H283" s="4">
        <v>50</v>
      </c>
      <c r="I283" s="5">
        <f t="shared" si="132"/>
        <v>347.25</v>
      </c>
      <c r="J283" s="5">
        <f t="shared" si="133"/>
        <v>297.25</v>
      </c>
      <c r="K283">
        <v>22</v>
      </c>
      <c r="N283" s="51">
        <f>800+100</f>
        <v>900</v>
      </c>
      <c r="P283" t="s">
        <v>660</v>
      </c>
    </row>
    <row r="284" spans="1:18" s="86" customFormat="1" ht="19">
      <c r="A284" s="91" t="s">
        <v>661</v>
      </c>
      <c r="B284" s="8">
        <f>SUM(B285:B291)</f>
        <v>15</v>
      </c>
      <c r="C284" s="8">
        <f t="shared" ref="C284" si="134">SUM(C285:C291)</f>
        <v>32</v>
      </c>
      <c r="D284" s="126">
        <f>SUM(D285)</f>
        <v>45</v>
      </c>
      <c r="E284" s="126">
        <f t="shared" ref="E284:F284" si="135">SUM(E285:E291)</f>
        <v>2</v>
      </c>
      <c r="F284" s="126">
        <f t="shared" si="135"/>
        <v>100</v>
      </c>
      <c r="G284" s="123">
        <f t="shared" si="127"/>
        <v>15.533333333333333</v>
      </c>
      <c r="H284" s="8">
        <f>SUM(H285:H291)</f>
        <v>352.3</v>
      </c>
      <c r="I284" s="14">
        <f>SUM(I285:I291)</f>
        <v>699</v>
      </c>
      <c r="J284" s="14">
        <f>SUM(J285:J291)</f>
        <v>346.70000000000005</v>
      </c>
      <c r="K284" s="8">
        <f>SUM(K285:K291)</f>
        <v>35</v>
      </c>
      <c r="L284" s="9">
        <v>0</v>
      </c>
      <c r="M284" s="96">
        <f>J284</f>
        <v>346.70000000000005</v>
      </c>
      <c r="N284" s="102">
        <f>SUM(N285:N291)</f>
        <v>1130</v>
      </c>
      <c r="O284" s="98">
        <f>1205-N284</f>
        <v>75</v>
      </c>
      <c r="P284" s="98"/>
    </row>
    <row r="285" spans="1:18">
      <c r="A285" s="145">
        <v>46118</v>
      </c>
      <c r="B285" s="4">
        <v>0</v>
      </c>
      <c r="C285" s="4">
        <v>0</v>
      </c>
      <c r="D285" s="4">
        <v>45</v>
      </c>
      <c r="E285" s="4">
        <v>0</v>
      </c>
      <c r="F285" s="4">
        <v>0</v>
      </c>
      <c r="G285" s="10">
        <f t="shared" si="127"/>
        <v>0</v>
      </c>
      <c r="H285" s="4">
        <v>0</v>
      </c>
      <c r="I285" s="5">
        <f t="shared" ref="I285:I287" si="136">G285*D285</f>
        <v>0</v>
      </c>
      <c r="J285" s="5">
        <f t="shared" ref="J285:J291" si="137">I285-H285</f>
        <v>0</v>
      </c>
      <c r="K285">
        <v>0</v>
      </c>
      <c r="N285" s="51">
        <v>0</v>
      </c>
      <c r="O285" s="51"/>
      <c r="P285" s="51"/>
    </row>
    <row r="286" spans="1:18">
      <c r="A286" s="145">
        <v>46119</v>
      </c>
      <c r="B286" s="4">
        <v>0</v>
      </c>
      <c r="C286" s="4">
        <v>0</v>
      </c>
      <c r="D286" s="4">
        <v>45</v>
      </c>
      <c r="E286" s="4">
        <v>0</v>
      </c>
      <c r="F286" s="4">
        <v>0</v>
      </c>
      <c r="G286" s="10">
        <f t="shared" si="127"/>
        <v>0</v>
      </c>
      <c r="H286" s="4">
        <v>0</v>
      </c>
      <c r="I286" s="5">
        <f t="shared" si="136"/>
        <v>0</v>
      </c>
      <c r="J286" s="5">
        <f t="shared" si="137"/>
        <v>0</v>
      </c>
      <c r="K286">
        <v>0</v>
      </c>
      <c r="N286" s="51">
        <v>0</v>
      </c>
    </row>
    <row r="287" spans="1:18">
      <c r="A287" s="145">
        <v>46120</v>
      </c>
      <c r="B287" s="4">
        <v>0</v>
      </c>
      <c r="C287" s="4">
        <v>0</v>
      </c>
      <c r="D287" s="4">
        <v>45</v>
      </c>
      <c r="E287" s="4">
        <v>0</v>
      </c>
      <c r="F287" s="4">
        <v>0</v>
      </c>
      <c r="G287" s="10">
        <f t="shared" si="127"/>
        <v>0</v>
      </c>
      <c r="H287" s="4">
        <v>0</v>
      </c>
      <c r="I287" s="5">
        <f t="shared" si="136"/>
        <v>0</v>
      </c>
      <c r="J287" s="5">
        <f t="shared" si="137"/>
        <v>0</v>
      </c>
      <c r="K287">
        <v>0</v>
      </c>
      <c r="N287" s="51">
        <v>0</v>
      </c>
      <c r="R287" t="s">
        <v>64</v>
      </c>
    </row>
    <row r="288" spans="1:18">
      <c r="A288" s="146" t="s">
        <v>662</v>
      </c>
      <c r="B288" s="4">
        <v>7</v>
      </c>
      <c r="C288" s="4">
        <v>25</v>
      </c>
      <c r="D288" s="4">
        <v>45</v>
      </c>
      <c r="E288" s="4">
        <v>1</v>
      </c>
      <c r="F288" s="4">
        <v>50</v>
      </c>
      <c r="G288" s="10">
        <f t="shared" si="127"/>
        <v>7.416666666666667</v>
      </c>
      <c r="H288" s="4">
        <f>50+203.1</f>
        <v>253.1</v>
      </c>
      <c r="I288" s="5">
        <f>G288*D288</f>
        <v>333.75</v>
      </c>
      <c r="J288" s="5">
        <f t="shared" si="137"/>
        <v>80.650000000000006</v>
      </c>
      <c r="K288">
        <v>16</v>
      </c>
      <c r="N288" s="51">
        <v>400</v>
      </c>
      <c r="Q288" t="s">
        <v>663</v>
      </c>
    </row>
    <row r="289" spans="1:17">
      <c r="A289" s="145">
        <v>46122</v>
      </c>
      <c r="B289" s="4">
        <v>0</v>
      </c>
      <c r="C289" s="4">
        <v>0</v>
      </c>
      <c r="D289" s="4">
        <v>45</v>
      </c>
      <c r="E289" s="4">
        <v>0</v>
      </c>
      <c r="F289" s="4">
        <v>0</v>
      </c>
      <c r="G289" s="10">
        <f t="shared" si="127"/>
        <v>0</v>
      </c>
      <c r="H289" s="4">
        <v>0</v>
      </c>
      <c r="I289" s="5">
        <f t="shared" ref="I289:I291" si="138">G289*D289</f>
        <v>0</v>
      </c>
      <c r="J289" s="5">
        <f t="shared" si="137"/>
        <v>0</v>
      </c>
      <c r="K289">
        <v>0</v>
      </c>
      <c r="N289" s="51">
        <v>0</v>
      </c>
    </row>
    <row r="290" spans="1:17">
      <c r="A290" s="146" t="s">
        <v>664</v>
      </c>
      <c r="B290" s="4">
        <v>8</v>
      </c>
      <c r="C290" s="4">
        <v>7</v>
      </c>
      <c r="D290" s="4">
        <v>45</v>
      </c>
      <c r="E290" s="4">
        <v>1</v>
      </c>
      <c r="F290" s="4">
        <v>50</v>
      </c>
      <c r="G290" s="10">
        <f t="shared" si="127"/>
        <v>8.1166666666666671</v>
      </c>
      <c r="H290" s="4">
        <f>50+49.2</f>
        <v>99.2</v>
      </c>
      <c r="I290" s="5">
        <f t="shared" si="138"/>
        <v>365.25</v>
      </c>
      <c r="J290" s="5">
        <f t="shared" si="137"/>
        <v>266.05</v>
      </c>
      <c r="K290">
        <v>19</v>
      </c>
      <c r="N290" s="51">
        <f>730</f>
        <v>730</v>
      </c>
      <c r="Q290" t="s">
        <v>665</v>
      </c>
    </row>
    <row r="291" spans="1:17">
      <c r="A291" s="145">
        <v>46124</v>
      </c>
      <c r="B291" s="4">
        <v>0</v>
      </c>
      <c r="C291" s="4">
        <v>0</v>
      </c>
      <c r="D291" s="4">
        <v>45</v>
      </c>
      <c r="E291" s="4">
        <v>0</v>
      </c>
      <c r="F291" s="4">
        <v>0</v>
      </c>
      <c r="G291" s="10">
        <f t="shared" si="127"/>
        <v>0</v>
      </c>
      <c r="H291" s="4">
        <v>0</v>
      </c>
      <c r="I291" s="5">
        <f t="shared" si="138"/>
        <v>0</v>
      </c>
      <c r="J291" s="5">
        <f t="shared" si="137"/>
        <v>0</v>
      </c>
      <c r="K291">
        <v>0</v>
      </c>
      <c r="N291" s="51">
        <v>0</v>
      </c>
    </row>
    <row r="292" spans="1:17">
      <c r="A292" s="80"/>
      <c r="G292" s="133"/>
      <c r="H292" s="131"/>
      <c r="I292" s="132"/>
      <c r="J292" s="132"/>
      <c r="N292" s="119"/>
    </row>
    <row r="293" spans="1:17" ht="33" customHeight="1">
      <c r="A293" t="s">
        <v>17</v>
      </c>
      <c r="H293" s="121">
        <f>H3+H11+H19+H27+H35+H59+H75+H91+H99+H107+H116+H124+H132+H140+H148+H156+H164+H172+H180+H188+H196+H204+H212+H228+H236+H244+H252+H260+H268+H276+H284</f>
        <v>8333.4</v>
      </c>
      <c r="I293" s="121">
        <f>I3+I11+I19+I27+I35+I59+I75+I91+I99+I107+I116+I124+I132+I140+I148+I156+I164+I172+I199+I188+I196+I204+I212+I228+I236+I244+I252+I260+I268+I276+I284</f>
        <v>69875.75</v>
      </c>
      <c r="J293" s="121">
        <f>J3+J11+J19+J27+J35+J59+J75+J91+J99+J107+J116+J124+J132+J140+J148+J156+J164+J172+J180+J188+J196+J204+J212+J228+J236+J244+J252+J260+J268+J276+J284</f>
        <v>60987.35</v>
      </c>
      <c r="K293" s="122">
        <f>K3+K11+K19+K27+K35+K67+K75+K83+K91+K99+K107+K116+K124+K132+K140+K148+K156+K172+K188+K196+K204+K212+K220+K228+K236+K244+K252+K260+K268+K276+K284</f>
        <v>3985</v>
      </c>
      <c r="L293" s="121">
        <f>L3+L11+L19+L27+L35+L67+L75+L83+L91+L99+L107+L116+L124+L132+L140+L148+L156+L172+L188+L196+L204+L212+L220+L228+L236+L244+L252+L260+L268+L276+L284</f>
        <v>300</v>
      </c>
      <c r="M293" s="121">
        <f>M3+M11+M19+M27+M35+M67+M75+M83+M91+M99+M107+M116+M124+M132+M140+M148+M156+M172+M188+M196+M204+M212+M220+M228+M236+M244+M252+M260+M268+M276+M284</f>
        <v>63971.21666666666</v>
      </c>
      <c r="N293" s="121">
        <f>N3+N11+N19+N27+N35+N67+N75+N83+N91+N99+N107+N116+N124+N132+N140+N148+N156+N172+N188+N196+N204+N212+N220+N228+N236+N244+N252+N260+N268+N276+N284</f>
        <v>105145.5</v>
      </c>
      <c r="O293" s="121">
        <f>O3+O11+O19+O27+O35+O67+O75+O83+O91+O99+O107+O116+O124+O132+O140+O148+O156+O172+O188+O196+O204+O212+O220+O228+O236+O244+O252+O260+O268+O276+O284</f>
        <v>4800.5</v>
      </c>
      <c r="P293" s="168"/>
    </row>
    <row r="294" spans="1:17" ht="16" thickTop="1"/>
    <row r="297" spans="1:17"/>
    <row r="298" spans="1:17"/>
    <row r="299" spans="1:17"/>
    <row r="300" spans="1:17"/>
    <row r="301" spans="1:17"/>
    <row r="302" spans="1:17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6F4BF-1A6A-254F-9BA8-62AB1FE98B5E}">
  <dimension ref="A1:Z211"/>
  <sheetViews>
    <sheetView workbookViewId="0">
      <pane xSplit="1" ySplit="1" topLeftCell="B202" activePane="bottomRight" state="frozen"/>
      <selection pane="topRight" activeCell="B1" sqref="B1"/>
      <selection pane="bottomLeft" activeCell="A2" sqref="A2"/>
      <selection pane="bottomRight" activeCell="H45" sqref="H45"/>
    </sheetView>
  </sheetViews>
  <sheetFormatPr baseColWidth="10" defaultColWidth="8.6640625" defaultRowHeight="15"/>
  <cols>
    <col min="1" max="1" width="21" customWidth="1"/>
    <col min="3" max="3" width="13.33203125" customWidth="1"/>
    <col min="4" max="4" width="17.6640625" customWidth="1"/>
    <col min="6" max="6" width="16.6640625" customWidth="1"/>
    <col min="7" max="7" width="19" customWidth="1"/>
    <col min="8" max="8" width="18" customWidth="1"/>
    <col min="9" max="9" width="20.5" customWidth="1"/>
    <col min="10" max="10" width="15" bestFit="1" customWidth="1"/>
    <col min="11" max="11" width="13.6640625" bestFit="1" customWidth="1"/>
    <col min="12" max="12" width="11.6640625" bestFit="1" customWidth="1"/>
    <col min="13" max="13" width="17" bestFit="1" customWidth="1"/>
    <col min="14" max="14" width="15.33203125" bestFit="1" customWidth="1"/>
    <col min="15" max="15" width="22.6640625" bestFit="1" customWidth="1"/>
    <col min="16" max="16" width="175.5" customWidth="1"/>
  </cols>
  <sheetData>
    <row r="1" spans="1:16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6" ht="20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6" s="54" customFormat="1" ht="20" thickBot="1">
      <c r="A3" s="72" t="s">
        <v>10</v>
      </c>
      <c r="B3" s="44">
        <f>SUM(B4:B10)</f>
        <v>34</v>
      </c>
      <c r="C3" s="44">
        <f>SUM(C4:C8)</f>
        <v>21</v>
      </c>
      <c r="D3" s="44">
        <f>SUM(D4)</f>
        <v>45</v>
      </c>
      <c r="E3" s="44">
        <f>SUM(E4:E10)</f>
        <v>1</v>
      </c>
      <c r="F3" s="44">
        <f>SUM(F4:F10)</f>
        <v>200</v>
      </c>
      <c r="G3" s="67">
        <f>B3+C3/60</f>
        <v>34.35</v>
      </c>
      <c r="H3" s="44">
        <f>SUM(H4:H10)</f>
        <v>292.10000000000002</v>
      </c>
      <c r="I3" s="46">
        <f>SUM(I4:I10)</f>
        <v>1652.3333333333333</v>
      </c>
      <c r="J3" s="47">
        <f>SUM(J4:J10)</f>
        <v>1360.2333333333333</v>
      </c>
      <c r="K3" s="44">
        <f>SUM(K4:K10)</f>
        <v>84</v>
      </c>
      <c r="L3" s="46">
        <v>0</v>
      </c>
      <c r="M3" s="69">
        <f>J3+L3</f>
        <v>1360.2333333333333</v>
      </c>
      <c r="N3" s="52">
        <f>SUM(N4:N10)</f>
        <v>2190</v>
      </c>
      <c r="O3" s="90">
        <f>2191-N3</f>
        <v>1</v>
      </c>
    </row>
    <row r="4" spans="1:16">
      <c r="A4" s="80" t="s">
        <v>666</v>
      </c>
      <c r="B4" s="4">
        <v>7</v>
      </c>
      <c r="C4" s="4">
        <v>9</v>
      </c>
      <c r="D4" s="4">
        <v>45</v>
      </c>
      <c r="E4" s="4">
        <v>1</v>
      </c>
      <c r="F4" s="4">
        <v>50</v>
      </c>
      <c r="G4" s="10">
        <f>B4+C4/60</f>
        <v>7.15</v>
      </c>
      <c r="H4" s="4">
        <v>50</v>
      </c>
      <c r="I4" s="5">
        <f>G4*D4</f>
        <v>321.75</v>
      </c>
      <c r="J4" s="5">
        <f>I4-H4</f>
        <v>271.75</v>
      </c>
      <c r="K4">
        <v>20</v>
      </c>
      <c r="N4" s="51">
        <f>100+150</f>
        <v>250</v>
      </c>
      <c r="P4" t="s">
        <v>667</v>
      </c>
    </row>
    <row r="5" spans="1:16">
      <c r="A5" s="80" t="s">
        <v>668</v>
      </c>
      <c r="B5" s="4">
        <v>8</v>
      </c>
      <c r="C5" s="4">
        <v>12</v>
      </c>
      <c r="D5" s="4">
        <v>45</v>
      </c>
      <c r="E5" s="4">
        <v>0</v>
      </c>
      <c r="F5" s="4">
        <v>50</v>
      </c>
      <c r="G5" s="10">
        <f>B5+C5/60</f>
        <v>8.1999999999999993</v>
      </c>
      <c r="H5" s="4">
        <f>50+92.1</f>
        <v>142.1</v>
      </c>
      <c r="I5" s="5">
        <f>G5*D5</f>
        <v>368.99999999999994</v>
      </c>
      <c r="J5" s="5">
        <f>I5-H5</f>
        <v>226.89999999999995</v>
      </c>
      <c r="K5">
        <v>13</v>
      </c>
      <c r="N5" s="51">
        <v>150</v>
      </c>
      <c r="P5" t="s">
        <v>669</v>
      </c>
    </row>
    <row r="6" spans="1:16">
      <c r="A6" s="6">
        <v>46085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10">
        <v>0</v>
      </c>
      <c r="H6" s="4">
        <v>0</v>
      </c>
      <c r="I6" s="5">
        <f>G6*D6</f>
        <v>0</v>
      </c>
      <c r="J6" s="5">
        <f>I6-H6</f>
        <v>0</v>
      </c>
      <c r="K6">
        <v>0</v>
      </c>
      <c r="N6" s="51">
        <v>0</v>
      </c>
    </row>
    <row r="7" spans="1:16">
      <c r="A7" s="6">
        <v>46086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10">
        <v>0</v>
      </c>
      <c r="H7" s="4">
        <v>0</v>
      </c>
      <c r="I7" s="5">
        <v>0</v>
      </c>
      <c r="J7" s="5">
        <v>0</v>
      </c>
      <c r="K7">
        <v>0</v>
      </c>
      <c r="N7" s="51">
        <v>0</v>
      </c>
    </row>
    <row r="8" spans="1:16">
      <c r="A8" s="6">
        <v>46087</v>
      </c>
      <c r="B8" s="4">
        <v>11</v>
      </c>
      <c r="C8" s="4">
        <v>0</v>
      </c>
      <c r="D8" s="4">
        <v>45</v>
      </c>
      <c r="E8" s="4">
        <v>0</v>
      </c>
      <c r="F8" s="4">
        <v>50</v>
      </c>
      <c r="G8" s="10">
        <f t="shared" ref="G8:G40" si="0">B8+C8/60</f>
        <v>11</v>
      </c>
      <c r="H8" s="4">
        <v>50</v>
      </c>
      <c r="I8" s="5">
        <f>G8*D8</f>
        <v>495</v>
      </c>
      <c r="J8" s="5">
        <f>I8-H8</f>
        <v>445</v>
      </c>
      <c r="K8">
        <v>22</v>
      </c>
      <c r="N8" s="51"/>
    </row>
    <row r="9" spans="1:16">
      <c r="A9" s="80" t="s">
        <v>670</v>
      </c>
      <c r="B9" s="4">
        <v>8</v>
      </c>
      <c r="C9" s="4">
        <v>29</v>
      </c>
      <c r="D9" s="4">
        <v>55</v>
      </c>
      <c r="E9" s="4">
        <v>0</v>
      </c>
      <c r="F9" s="4">
        <v>50</v>
      </c>
      <c r="G9" s="10">
        <f t="shared" si="0"/>
        <v>8.4833333333333325</v>
      </c>
      <c r="H9" s="4">
        <v>50</v>
      </c>
      <c r="I9" s="5">
        <f>G9*D9</f>
        <v>466.58333333333331</v>
      </c>
      <c r="J9" s="5">
        <f>I9-H9</f>
        <v>416.58333333333331</v>
      </c>
      <c r="K9">
        <v>29</v>
      </c>
      <c r="N9" s="51">
        <v>0</v>
      </c>
    </row>
    <row r="10" spans="1:16" ht="16" thickBot="1">
      <c r="A10" s="6"/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10">
        <f t="shared" si="0"/>
        <v>0</v>
      </c>
      <c r="H10" s="4">
        <v>0</v>
      </c>
      <c r="I10" s="5">
        <f>G10*D10</f>
        <v>0</v>
      </c>
      <c r="J10" s="5">
        <f>I10-H10</f>
        <v>0</v>
      </c>
      <c r="K10">
        <v>0</v>
      </c>
      <c r="N10" s="82">
        <v>1790</v>
      </c>
    </row>
    <row r="11" spans="1:16" s="86" customFormat="1" ht="20" thickBot="1">
      <c r="A11" s="91" t="s">
        <v>11</v>
      </c>
      <c r="B11" s="92">
        <f>SUM(B12:B18)</f>
        <v>52</v>
      </c>
      <c r="C11" s="92">
        <f>SUM(C12:C18)</f>
        <v>218</v>
      </c>
      <c r="D11" s="92">
        <f>SUM(D12)</f>
        <v>45</v>
      </c>
      <c r="E11" s="92">
        <f>SUM(E12:E18)</f>
        <v>7</v>
      </c>
      <c r="F11" s="92">
        <f>SUM(F12:F18)</f>
        <v>350</v>
      </c>
      <c r="G11" s="93">
        <f t="shared" si="0"/>
        <v>55.633333333333333</v>
      </c>
      <c r="H11" s="92">
        <f>SUM(H12:H18)</f>
        <v>250</v>
      </c>
      <c r="I11" s="94">
        <f>SUM(I12:I18)</f>
        <v>2503.5</v>
      </c>
      <c r="J11" s="95">
        <f>SUM(J12:J18)</f>
        <v>2253.5</v>
      </c>
      <c r="K11" s="8">
        <f>SUM(K12:K18)</f>
        <v>133</v>
      </c>
      <c r="L11" s="9">
        <v>0</v>
      </c>
      <c r="M11" s="96">
        <f>J11+L11</f>
        <v>2253.5</v>
      </c>
      <c r="N11" s="97">
        <f>SUM(N12:N18)</f>
        <v>3412</v>
      </c>
      <c r="O11" s="98">
        <f>3457-N11</f>
        <v>45</v>
      </c>
    </row>
    <row r="12" spans="1:16">
      <c r="A12" s="80" t="s">
        <v>671</v>
      </c>
      <c r="B12" s="4">
        <v>7</v>
      </c>
      <c r="C12" s="4">
        <v>55</v>
      </c>
      <c r="D12" s="4">
        <v>45</v>
      </c>
      <c r="E12" s="4">
        <v>1</v>
      </c>
      <c r="F12" s="4">
        <v>50</v>
      </c>
      <c r="G12" s="10">
        <f t="shared" si="0"/>
        <v>7.916666666666667</v>
      </c>
      <c r="H12" s="4">
        <v>50</v>
      </c>
      <c r="I12" s="5">
        <f t="shared" ref="I12:I18" si="1">G12*D12</f>
        <v>356.25</v>
      </c>
      <c r="J12" s="5">
        <f t="shared" ref="J12:J18" si="2">I12-H12</f>
        <v>306.25</v>
      </c>
      <c r="K12">
        <v>26</v>
      </c>
      <c r="M12" t="s">
        <v>26</v>
      </c>
      <c r="N12" s="82">
        <v>640</v>
      </c>
      <c r="P12" t="s">
        <v>672</v>
      </c>
    </row>
    <row r="13" spans="1:16">
      <c r="A13" s="80" t="s">
        <v>673</v>
      </c>
      <c r="B13" s="4">
        <v>8</v>
      </c>
      <c r="C13" s="4">
        <v>6</v>
      </c>
      <c r="D13" s="4">
        <v>45</v>
      </c>
      <c r="E13" s="4">
        <v>1</v>
      </c>
      <c r="F13" s="4">
        <v>50</v>
      </c>
      <c r="G13" s="10">
        <f t="shared" si="0"/>
        <v>8.1</v>
      </c>
      <c r="H13" s="4">
        <v>50</v>
      </c>
      <c r="I13" s="5">
        <f t="shared" si="1"/>
        <v>364.5</v>
      </c>
      <c r="J13" s="5">
        <f t="shared" si="2"/>
        <v>314.5</v>
      </c>
      <c r="K13">
        <v>21</v>
      </c>
      <c r="N13" s="82">
        <f>150+500</f>
        <v>650</v>
      </c>
      <c r="P13" t="s">
        <v>674</v>
      </c>
    </row>
    <row r="14" spans="1:16">
      <c r="A14" s="80" t="s">
        <v>675</v>
      </c>
      <c r="B14" s="4"/>
      <c r="C14" s="4"/>
      <c r="D14" s="4">
        <v>45</v>
      </c>
      <c r="E14" s="4">
        <v>1</v>
      </c>
      <c r="F14" s="4">
        <v>50</v>
      </c>
      <c r="G14" s="10">
        <f t="shared" si="0"/>
        <v>0</v>
      </c>
      <c r="H14" s="4"/>
      <c r="I14" s="5">
        <f t="shared" si="1"/>
        <v>0</v>
      </c>
      <c r="J14" s="5">
        <f t="shared" si="2"/>
        <v>0</v>
      </c>
      <c r="N14" s="82">
        <v>440</v>
      </c>
      <c r="P14">
        <v>0</v>
      </c>
    </row>
    <row r="15" spans="1:16">
      <c r="A15" s="80" t="s">
        <v>676</v>
      </c>
      <c r="B15" s="4">
        <v>10</v>
      </c>
      <c r="C15" s="4">
        <v>32</v>
      </c>
      <c r="D15" s="4">
        <v>45</v>
      </c>
      <c r="E15" s="4">
        <v>1</v>
      </c>
      <c r="F15" s="4">
        <v>50</v>
      </c>
      <c r="G15" s="10">
        <f t="shared" si="0"/>
        <v>10.533333333333333</v>
      </c>
      <c r="H15" s="4">
        <v>50</v>
      </c>
      <c r="I15" s="5">
        <f t="shared" si="1"/>
        <v>474</v>
      </c>
      <c r="J15" s="5">
        <f t="shared" si="2"/>
        <v>424</v>
      </c>
      <c r="K15">
        <v>19</v>
      </c>
      <c r="N15" s="83">
        <v>426</v>
      </c>
    </row>
    <row r="16" spans="1:16">
      <c r="A16" s="80" t="s">
        <v>677</v>
      </c>
      <c r="B16" s="4">
        <v>9</v>
      </c>
      <c r="C16" s="4">
        <v>57</v>
      </c>
      <c r="D16" s="4">
        <v>45</v>
      </c>
      <c r="E16" s="4">
        <v>1</v>
      </c>
      <c r="F16" s="4">
        <v>50</v>
      </c>
      <c r="G16" s="10">
        <f t="shared" si="0"/>
        <v>9.9499999999999993</v>
      </c>
      <c r="H16" s="4">
        <v>50</v>
      </c>
      <c r="I16" s="5">
        <f t="shared" si="1"/>
        <v>447.74999999999994</v>
      </c>
      <c r="J16" s="5">
        <f t="shared" si="2"/>
        <v>397.74999999999994</v>
      </c>
      <c r="K16">
        <v>23</v>
      </c>
      <c r="N16" s="83">
        <v>586</v>
      </c>
    </row>
    <row r="17" spans="1:16">
      <c r="A17" s="80" t="s">
        <v>678</v>
      </c>
      <c r="B17" s="4">
        <v>8</v>
      </c>
      <c r="C17" s="4">
        <v>59</v>
      </c>
      <c r="D17" s="4">
        <v>45</v>
      </c>
      <c r="E17" s="4">
        <v>1</v>
      </c>
      <c r="F17" s="4">
        <v>50</v>
      </c>
      <c r="G17" s="10">
        <f t="shared" si="0"/>
        <v>8.9833333333333325</v>
      </c>
      <c r="H17" s="4">
        <v>50</v>
      </c>
      <c r="I17" s="5">
        <f t="shared" si="1"/>
        <v>404.24999999999994</v>
      </c>
      <c r="J17" s="5">
        <f t="shared" si="2"/>
        <v>354.24999999999994</v>
      </c>
      <c r="K17">
        <v>20</v>
      </c>
      <c r="N17" s="83">
        <v>100</v>
      </c>
      <c r="P17" t="s">
        <v>239</v>
      </c>
    </row>
    <row r="18" spans="1:16" ht="16" thickBot="1">
      <c r="A18" s="80" t="s">
        <v>679</v>
      </c>
      <c r="B18" s="4">
        <v>10</v>
      </c>
      <c r="C18" s="4">
        <v>9</v>
      </c>
      <c r="D18" s="4">
        <v>45</v>
      </c>
      <c r="E18" s="4">
        <v>1</v>
      </c>
      <c r="F18" s="4">
        <v>50</v>
      </c>
      <c r="G18" s="10">
        <f t="shared" si="0"/>
        <v>10.15</v>
      </c>
      <c r="H18" s="4">
        <v>0</v>
      </c>
      <c r="I18" s="5">
        <f t="shared" si="1"/>
        <v>456.75</v>
      </c>
      <c r="J18" s="5">
        <f t="shared" si="2"/>
        <v>456.75</v>
      </c>
      <c r="K18">
        <v>24</v>
      </c>
      <c r="N18" s="51">
        <v>570</v>
      </c>
    </row>
    <row r="19" spans="1:16" s="86" customFormat="1" ht="20" thickBot="1">
      <c r="A19" s="91" t="s">
        <v>680</v>
      </c>
      <c r="B19" s="8">
        <f>SUM(B20:B25)</f>
        <v>27</v>
      </c>
      <c r="C19" s="8">
        <f>SUM(C20:C25)</f>
        <v>112</v>
      </c>
      <c r="D19" s="8">
        <f>SUM(D20)</f>
        <v>45</v>
      </c>
      <c r="E19" s="8"/>
      <c r="F19" s="8">
        <f>SUM(F20:F25)</f>
        <v>300</v>
      </c>
      <c r="G19" s="93">
        <f t="shared" si="0"/>
        <v>28.866666666666667</v>
      </c>
      <c r="H19" s="8">
        <f>SUM(H20:H26)</f>
        <v>200</v>
      </c>
      <c r="I19" s="9">
        <f>SUM(I20:I26)</f>
        <v>1877.4166666666667</v>
      </c>
      <c r="J19" s="14">
        <f>SUM(J20:J26)</f>
        <v>1677.4166666666667</v>
      </c>
      <c r="K19" s="8">
        <f>SUM(K20:K26)</f>
        <v>83</v>
      </c>
      <c r="L19" s="9">
        <v>0</v>
      </c>
      <c r="M19" s="96">
        <f>J19+L19</f>
        <v>1677.4166666666667</v>
      </c>
      <c r="N19" s="99">
        <f>SUM(N20:N26)</f>
        <v>2868.5</v>
      </c>
      <c r="O19" s="98">
        <f>2864-N19</f>
        <v>-4.5</v>
      </c>
    </row>
    <row r="20" spans="1:16">
      <c r="A20" s="80">
        <v>46083</v>
      </c>
      <c r="B20" s="4">
        <v>0</v>
      </c>
      <c r="C20" s="4">
        <v>0</v>
      </c>
      <c r="D20" s="4">
        <v>45</v>
      </c>
      <c r="E20" s="4">
        <v>1</v>
      </c>
      <c r="F20" s="4">
        <v>50</v>
      </c>
      <c r="G20" s="10">
        <f t="shared" si="0"/>
        <v>0</v>
      </c>
      <c r="H20" s="4">
        <v>0</v>
      </c>
      <c r="I20" s="5">
        <f t="shared" ref="I20:I26" si="3">G20*D20</f>
        <v>0</v>
      </c>
      <c r="J20" s="5">
        <f t="shared" ref="J20:J26" si="4">I20-H20</f>
        <v>0</v>
      </c>
      <c r="K20">
        <v>0</v>
      </c>
      <c r="N20" s="51">
        <v>0</v>
      </c>
    </row>
    <row r="21" spans="1:16">
      <c r="A21" s="80">
        <v>46084</v>
      </c>
      <c r="B21" s="4">
        <v>0</v>
      </c>
      <c r="C21" s="4">
        <v>0</v>
      </c>
      <c r="D21" s="4">
        <v>45</v>
      </c>
      <c r="E21" s="4">
        <v>1</v>
      </c>
      <c r="F21" s="4">
        <v>50</v>
      </c>
      <c r="G21" s="10">
        <f t="shared" si="0"/>
        <v>0</v>
      </c>
      <c r="H21" s="4">
        <v>0</v>
      </c>
      <c r="I21" s="5">
        <f t="shared" si="3"/>
        <v>0</v>
      </c>
      <c r="J21" s="5">
        <f t="shared" si="4"/>
        <v>0</v>
      </c>
      <c r="K21">
        <v>0</v>
      </c>
      <c r="N21" s="83">
        <v>0</v>
      </c>
    </row>
    <row r="22" spans="1:16">
      <c r="A22" s="80">
        <v>46085</v>
      </c>
      <c r="B22" s="4">
        <v>0</v>
      </c>
      <c r="C22" s="4">
        <v>0</v>
      </c>
      <c r="D22" s="4">
        <v>45</v>
      </c>
      <c r="E22" s="4">
        <v>1</v>
      </c>
      <c r="F22" s="4">
        <v>50</v>
      </c>
      <c r="G22" s="10">
        <f t="shared" si="0"/>
        <v>0</v>
      </c>
      <c r="H22" s="4">
        <v>0</v>
      </c>
      <c r="I22" s="5">
        <f t="shared" si="3"/>
        <v>0</v>
      </c>
      <c r="J22" s="5">
        <f t="shared" si="4"/>
        <v>0</v>
      </c>
      <c r="K22">
        <v>0</v>
      </c>
      <c r="N22" s="83">
        <v>0</v>
      </c>
    </row>
    <row r="23" spans="1:16">
      <c r="A23" s="80" t="s">
        <v>676</v>
      </c>
      <c r="B23" s="4">
        <v>8</v>
      </c>
      <c r="C23" s="4">
        <v>39</v>
      </c>
      <c r="D23" s="4">
        <v>45</v>
      </c>
      <c r="E23" s="4">
        <v>1</v>
      </c>
      <c r="F23" s="4">
        <v>50</v>
      </c>
      <c r="G23" s="10">
        <f t="shared" si="0"/>
        <v>8.65</v>
      </c>
      <c r="H23" s="4">
        <v>50</v>
      </c>
      <c r="I23" s="5">
        <f t="shared" si="3"/>
        <v>389.25</v>
      </c>
      <c r="J23" s="5">
        <f t="shared" si="4"/>
        <v>339.25</v>
      </c>
      <c r="K23">
        <v>16</v>
      </c>
      <c r="N23" s="83"/>
    </row>
    <row r="24" spans="1:16">
      <c r="A24" s="80" t="s">
        <v>677</v>
      </c>
      <c r="B24" s="4">
        <v>9</v>
      </c>
      <c r="C24" s="4">
        <v>35</v>
      </c>
      <c r="D24" s="4">
        <v>45</v>
      </c>
      <c r="E24" s="4">
        <v>1</v>
      </c>
      <c r="F24" s="4">
        <v>50</v>
      </c>
      <c r="G24" s="10">
        <f t="shared" si="0"/>
        <v>9.5833333333333339</v>
      </c>
      <c r="H24" s="4">
        <v>50</v>
      </c>
      <c r="I24" s="5">
        <f t="shared" si="3"/>
        <v>431.25</v>
      </c>
      <c r="J24" s="5">
        <f t="shared" si="4"/>
        <v>381.25</v>
      </c>
      <c r="K24">
        <v>17</v>
      </c>
      <c r="N24" s="51">
        <v>667</v>
      </c>
    </row>
    <row r="25" spans="1:16">
      <c r="A25" s="80" t="s">
        <v>670</v>
      </c>
      <c r="B25" s="4">
        <v>10</v>
      </c>
      <c r="C25" s="4">
        <v>38</v>
      </c>
      <c r="D25" s="4">
        <v>45</v>
      </c>
      <c r="E25" s="4">
        <v>1</v>
      </c>
      <c r="F25" s="4">
        <v>50</v>
      </c>
      <c r="G25" s="10">
        <f t="shared" si="0"/>
        <v>10.633333333333333</v>
      </c>
      <c r="H25" s="4">
        <v>50</v>
      </c>
      <c r="I25" s="5">
        <f t="shared" si="3"/>
        <v>478.5</v>
      </c>
      <c r="J25" s="5">
        <f t="shared" si="4"/>
        <v>428.5</v>
      </c>
      <c r="K25">
        <v>22</v>
      </c>
      <c r="N25" s="51">
        <f>100+517.5</f>
        <v>617.5</v>
      </c>
    </row>
    <row r="26" spans="1:16" ht="16" thickBot="1">
      <c r="A26" s="80" t="s">
        <v>681</v>
      </c>
      <c r="B26" s="4">
        <v>10</v>
      </c>
      <c r="C26" s="4">
        <v>31</v>
      </c>
      <c r="D26" s="4">
        <v>55</v>
      </c>
      <c r="E26" s="4">
        <v>1</v>
      </c>
      <c r="F26" s="4">
        <v>50</v>
      </c>
      <c r="G26" s="10">
        <f t="shared" si="0"/>
        <v>10.516666666666667</v>
      </c>
      <c r="H26" s="4">
        <v>50</v>
      </c>
      <c r="I26" s="5">
        <f t="shared" si="3"/>
        <v>578.41666666666674</v>
      </c>
      <c r="J26" s="5">
        <f t="shared" si="4"/>
        <v>528.41666666666674</v>
      </c>
      <c r="K26">
        <v>28</v>
      </c>
      <c r="N26" s="51">
        <f>756+778+50</f>
        <v>1584</v>
      </c>
    </row>
    <row r="27" spans="1:16" s="86" customFormat="1" ht="20" thickBot="1">
      <c r="A27" s="91" t="s">
        <v>15</v>
      </c>
      <c r="B27" s="8">
        <f>SUM(B28:B33)</f>
        <v>3</v>
      </c>
      <c r="C27" s="8">
        <f>SUM(C28:C33)</f>
        <v>13</v>
      </c>
      <c r="D27" s="8">
        <f>SUM(D28)</f>
        <v>45</v>
      </c>
      <c r="E27" s="8">
        <f>SUM(E28:E33)</f>
        <v>6</v>
      </c>
      <c r="F27" s="8">
        <f>SUM(F28:F33)</f>
        <v>300</v>
      </c>
      <c r="G27" s="93">
        <f t="shared" si="0"/>
        <v>3.2166666666666668</v>
      </c>
      <c r="H27" s="8">
        <f>SUM(H28:H33)</f>
        <v>0</v>
      </c>
      <c r="I27" s="9">
        <f>SUM(I28:I32)</f>
        <v>144.75</v>
      </c>
      <c r="J27" s="14">
        <f>SUM(J28:J32)</f>
        <v>144.75</v>
      </c>
      <c r="K27" s="8">
        <f>SUM(K28:K33)</f>
        <v>10</v>
      </c>
      <c r="L27" s="9">
        <v>0</v>
      </c>
      <c r="M27" s="96">
        <f>J27+L27</f>
        <v>144.75</v>
      </c>
      <c r="N27" s="130">
        <f>SUM(N28:N33)</f>
        <v>175</v>
      </c>
      <c r="O27" s="98">
        <f>175-N27</f>
        <v>0</v>
      </c>
    </row>
    <row r="28" spans="1:16">
      <c r="A28" s="6">
        <v>46083</v>
      </c>
      <c r="B28" s="4">
        <v>0</v>
      </c>
      <c r="C28" s="4">
        <v>0</v>
      </c>
      <c r="D28" s="4">
        <v>45</v>
      </c>
      <c r="E28" s="4">
        <v>1</v>
      </c>
      <c r="F28" s="4">
        <v>50</v>
      </c>
      <c r="G28" s="10">
        <f t="shared" si="0"/>
        <v>0</v>
      </c>
      <c r="H28" s="4">
        <v>0</v>
      </c>
      <c r="I28" s="5">
        <f t="shared" ref="I28:I33" si="5">G28*D28</f>
        <v>0</v>
      </c>
      <c r="J28" s="5">
        <f t="shared" ref="J28:J33" si="6">I28-H28</f>
        <v>0</v>
      </c>
      <c r="K28">
        <v>0</v>
      </c>
      <c r="N28" s="51">
        <v>0</v>
      </c>
    </row>
    <row r="29" spans="1:16">
      <c r="A29" s="6">
        <v>46084</v>
      </c>
      <c r="B29" s="4">
        <v>3</v>
      </c>
      <c r="C29" s="4">
        <v>13</v>
      </c>
      <c r="D29" s="4">
        <v>45</v>
      </c>
      <c r="E29" s="4">
        <v>1</v>
      </c>
      <c r="F29" s="4">
        <v>50</v>
      </c>
      <c r="G29" s="10">
        <f t="shared" si="0"/>
        <v>3.2166666666666668</v>
      </c>
      <c r="H29" s="4">
        <v>0</v>
      </c>
      <c r="I29" s="5">
        <f t="shared" si="5"/>
        <v>144.75</v>
      </c>
      <c r="J29" s="5">
        <f t="shared" si="6"/>
        <v>144.75</v>
      </c>
      <c r="K29">
        <v>10</v>
      </c>
      <c r="N29" s="51">
        <v>0</v>
      </c>
    </row>
    <row r="30" spans="1:16">
      <c r="A30" s="6">
        <v>46085</v>
      </c>
      <c r="B30" s="4">
        <v>0</v>
      </c>
      <c r="C30" s="4">
        <v>0</v>
      </c>
      <c r="D30" s="4">
        <v>45</v>
      </c>
      <c r="E30" s="4">
        <v>1</v>
      </c>
      <c r="F30" s="4">
        <v>50</v>
      </c>
      <c r="G30" s="10">
        <f t="shared" si="0"/>
        <v>0</v>
      </c>
      <c r="H30" s="4">
        <v>0</v>
      </c>
      <c r="I30" s="5">
        <f t="shared" si="5"/>
        <v>0</v>
      </c>
      <c r="J30" s="5">
        <f t="shared" si="6"/>
        <v>0</v>
      </c>
      <c r="K30">
        <v>0</v>
      </c>
      <c r="N30" s="51">
        <v>0</v>
      </c>
    </row>
    <row r="31" spans="1:16">
      <c r="A31" s="6">
        <v>46086</v>
      </c>
      <c r="B31" s="4">
        <v>0</v>
      </c>
      <c r="C31" s="4">
        <v>0</v>
      </c>
      <c r="D31" s="4">
        <v>45</v>
      </c>
      <c r="E31" s="4">
        <v>1</v>
      </c>
      <c r="F31" s="4">
        <v>50</v>
      </c>
      <c r="G31" s="10">
        <f t="shared" si="0"/>
        <v>0</v>
      </c>
      <c r="H31" s="4">
        <v>0</v>
      </c>
      <c r="I31" s="5">
        <f t="shared" si="5"/>
        <v>0</v>
      </c>
      <c r="J31" s="5">
        <f t="shared" si="6"/>
        <v>0</v>
      </c>
      <c r="K31">
        <v>0</v>
      </c>
      <c r="N31" s="51">
        <v>0</v>
      </c>
    </row>
    <row r="32" spans="1:16">
      <c r="A32" s="6">
        <v>46087</v>
      </c>
      <c r="B32" s="4">
        <v>0</v>
      </c>
      <c r="C32" s="4">
        <v>0</v>
      </c>
      <c r="D32" s="4">
        <v>45</v>
      </c>
      <c r="E32" s="4">
        <v>1</v>
      </c>
      <c r="F32" s="4">
        <v>50</v>
      </c>
      <c r="G32" s="10">
        <f t="shared" si="0"/>
        <v>0</v>
      </c>
      <c r="H32" s="4">
        <v>0</v>
      </c>
      <c r="I32" s="5">
        <f t="shared" si="5"/>
        <v>0</v>
      </c>
      <c r="J32" s="5">
        <f t="shared" si="6"/>
        <v>0</v>
      </c>
      <c r="K32">
        <v>0</v>
      </c>
      <c r="N32" s="51">
        <v>0</v>
      </c>
    </row>
    <row r="33" spans="1:16" ht="16" thickBot="1">
      <c r="A33" s="6">
        <v>46088</v>
      </c>
      <c r="B33" s="4">
        <v>0</v>
      </c>
      <c r="C33" s="4">
        <v>0</v>
      </c>
      <c r="D33" s="4">
        <v>45</v>
      </c>
      <c r="E33" s="4">
        <v>1</v>
      </c>
      <c r="F33" s="4">
        <v>50</v>
      </c>
      <c r="G33" s="10">
        <f t="shared" si="0"/>
        <v>0</v>
      </c>
      <c r="H33" s="4">
        <v>0</v>
      </c>
      <c r="I33" s="5">
        <f t="shared" si="5"/>
        <v>0</v>
      </c>
      <c r="J33" s="5">
        <f t="shared" si="6"/>
        <v>0</v>
      </c>
      <c r="K33">
        <v>0</v>
      </c>
      <c r="N33" s="51">
        <v>175</v>
      </c>
    </row>
    <row r="34" spans="1:16" s="54" customFormat="1" ht="20" thickBot="1">
      <c r="A34" s="72" t="s">
        <v>18</v>
      </c>
      <c r="B34" s="44">
        <f>SUM(B35:B41)</f>
        <v>39</v>
      </c>
      <c r="C34" s="44">
        <f>SUM(C35:C41)</f>
        <v>180</v>
      </c>
      <c r="D34" s="44">
        <f>SUM(D35)</f>
        <v>45</v>
      </c>
      <c r="E34" s="44">
        <f>SUM(E35:E41)</f>
        <v>5</v>
      </c>
      <c r="F34" s="44">
        <f>SUM(F35:F41)</f>
        <v>250</v>
      </c>
      <c r="G34" s="67">
        <f t="shared" si="0"/>
        <v>42</v>
      </c>
      <c r="H34" s="44">
        <f>SUM(H35:H41)</f>
        <v>384.1</v>
      </c>
      <c r="I34" s="46">
        <f>SUM(I35:I41)</f>
        <v>2079.333333333333</v>
      </c>
      <c r="J34" s="47">
        <f>SUM(J35:J41)</f>
        <v>1695.2333333333333</v>
      </c>
      <c r="K34" s="44">
        <f>SUM(K35:K41)</f>
        <v>122</v>
      </c>
      <c r="L34" s="46">
        <v>0</v>
      </c>
      <c r="M34" s="69">
        <f>J34+L34</f>
        <v>1695.2333333333333</v>
      </c>
      <c r="N34" s="55">
        <f>SUM(N35:N41)</f>
        <v>2680</v>
      </c>
      <c r="O34" s="90">
        <f>2504-N34</f>
        <v>-176</v>
      </c>
    </row>
    <row r="35" spans="1:16" ht="19.25" customHeight="1">
      <c r="A35" s="6">
        <v>46083</v>
      </c>
      <c r="B35" s="4">
        <v>8</v>
      </c>
      <c r="C35" s="4">
        <v>50</v>
      </c>
      <c r="D35" s="4">
        <v>45</v>
      </c>
      <c r="E35" s="4">
        <v>1</v>
      </c>
      <c r="F35" s="4">
        <v>50</v>
      </c>
      <c r="G35" s="10">
        <f t="shared" si="0"/>
        <v>8.8333333333333339</v>
      </c>
      <c r="H35" s="4">
        <v>50</v>
      </c>
      <c r="I35" s="5">
        <f t="shared" ref="I35:I40" si="7">G35*D35</f>
        <v>397.5</v>
      </c>
      <c r="J35" s="5">
        <f t="shared" ref="J35:J40" si="8">I35-H35</f>
        <v>347.5</v>
      </c>
      <c r="K35">
        <v>22</v>
      </c>
      <c r="N35" s="51">
        <v>0</v>
      </c>
      <c r="O35" s="49"/>
      <c r="P35" t="s">
        <v>682</v>
      </c>
    </row>
    <row r="36" spans="1:16" ht="16.25" customHeight="1">
      <c r="A36" s="6">
        <v>46084</v>
      </c>
      <c r="B36" s="4">
        <v>8</v>
      </c>
      <c r="C36" s="4">
        <v>42</v>
      </c>
      <c r="D36" s="4">
        <v>45</v>
      </c>
      <c r="E36" s="4">
        <v>1</v>
      </c>
      <c r="F36" s="4">
        <v>50</v>
      </c>
      <c r="G36" s="10">
        <f t="shared" si="0"/>
        <v>8.6999999999999993</v>
      </c>
      <c r="H36" s="4">
        <f>50+54</f>
        <v>104</v>
      </c>
      <c r="I36" s="5">
        <f t="shared" si="7"/>
        <v>391.49999999999994</v>
      </c>
      <c r="J36" s="5">
        <f t="shared" si="8"/>
        <v>287.49999999999994</v>
      </c>
      <c r="K36">
        <v>22</v>
      </c>
      <c r="N36" s="51">
        <v>670</v>
      </c>
      <c r="O36" s="49"/>
      <c r="P36" t="s">
        <v>683</v>
      </c>
    </row>
    <row r="37" spans="1:16">
      <c r="A37" s="6">
        <v>46085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10">
        <f t="shared" si="0"/>
        <v>0</v>
      </c>
      <c r="H37" s="4">
        <v>0</v>
      </c>
      <c r="I37" s="5">
        <f t="shared" si="7"/>
        <v>0</v>
      </c>
      <c r="J37" s="5">
        <f t="shared" si="8"/>
        <v>0</v>
      </c>
      <c r="K37">
        <v>0</v>
      </c>
      <c r="N37" s="51">
        <v>0</v>
      </c>
    </row>
    <row r="38" spans="1:16">
      <c r="A38" s="6">
        <v>46086</v>
      </c>
      <c r="B38" s="4">
        <v>9</v>
      </c>
      <c r="C38" s="4">
        <v>27</v>
      </c>
      <c r="D38" s="4">
        <v>55</v>
      </c>
      <c r="E38" s="4">
        <v>1</v>
      </c>
      <c r="F38" s="4">
        <v>50</v>
      </c>
      <c r="G38" s="10">
        <f t="shared" si="0"/>
        <v>9.4499999999999993</v>
      </c>
      <c r="H38" s="4">
        <v>50</v>
      </c>
      <c r="I38" s="5">
        <f t="shared" si="7"/>
        <v>519.75</v>
      </c>
      <c r="J38" s="5">
        <f t="shared" si="8"/>
        <v>469.75</v>
      </c>
      <c r="K38">
        <v>30</v>
      </c>
      <c r="N38" s="51">
        <v>600</v>
      </c>
    </row>
    <row r="39" spans="1:16">
      <c r="A39" s="6">
        <v>46087</v>
      </c>
      <c r="B39" s="4">
        <v>9</v>
      </c>
      <c r="C39" s="4">
        <v>29</v>
      </c>
      <c r="D39" s="4">
        <v>55</v>
      </c>
      <c r="E39" s="4">
        <v>1</v>
      </c>
      <c r="F39" s="4">
        <v>50</v>
      </c>
      <c r="G39" s="10">
        <f t="shared" si="0"/>
        <v>9.4833333333333325</v>
      </c>
      <c r="H39" s="4">
        <v>50</v>
      </c>
      <c r="I39" s="5">
        <f t="shared" si="7"/>
        <v>521.58333333333326</v>
      </c>
      <c r="J39" s="5">
        <f t="shared" si="8"/>
        <v>471.58333333333326</v>
      </c>
      <c r="K39">
        <v>29</v>
      </c>
      <c r="N39" s="51">
        <v>640</v>
      </c>
    </row>
    <row r="40" spans="1:16">
      <c r="A40" s="6">
        <v>46088</v>
      </c>
      <c r="B40" s="4">
        <v>5</v>
      </c>
      <c r="C40" s="4">
        <v>32</v>
      </c>
      <c r="D40" s="4">
        <v>45</v>
      </c>
      <c r="E40" s="4">
        <v>1</v>
      </c>
      <c r="F40" s="4">
        <v>50</v>
      </c>
      <c r="G40" s="10">
        <f t="shared" si="0"/>
        <v>5.5333333333333332</v>
      </c>
      <c r="H40" s="4">
        <f>50+80.1</f>
        <v>130.1</v>
      </c>
      <c r="I40" s="5">
        <f t="shared" si="7"/>
        <v>249</v>
      </c>
      <c r="J40" s="5">
        <f t="shared" si="8"/>
        <v>118.9</v>
      </c>
      <c r="K40">
        <v>19</v>
      </c>
      <c r="N40" s="51">
        <v>350</v>
      </c>
      <c r="P40" s="51" t="s">
        <v>684</v>
      </c>
    </row>
    <row r="41" spans="1:16" ht="16" thickBot="1">
      <c r="A41" s="6">
        <v>46089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10">
        <v>0</v>
      </c>
      <c r="H41" s="4">
        <v>0</v>
      </c>
      <c r="I41" s="5">
        <v>0</v>
      </c>
      <c r="J41" s="5">
        <v>0</v>
      </c>
      <c r="K41">
        <v>0</v>
      </c>
      <c r="L41" s="1"/>
      <c r="N41" s="51">
        <v>420</v>
      </c>
    </row>
    <row r="42" spans="1:16" s="86" customFormat="1" ht="20" thickBot="1">
      <c r="A42" s="91" t="s">
        <v>48</v>
      </c>
      <c r="B42" s="8">
        <f>SUM(B43:B49)</f>
        <v>62</v>
      </c>
      <c r="C42" s="8">
        <f>SUM(C43:C49)</f>
        <v>249</v>
      </c>
      <c r="D42" s="8">
        <f>SUM(D43)</f>
        <v>45</v>
      </c>
      <c r="E42" s="8">
        <f>SUM(E43:E49)</f>
        <v>7</v>
      </c>
      <c r="F42" s="8">
        <f>SUM(F43:F49)</f>
        <v>350</v>
      </c>
      <c r="G42" s="93">
        <f t="shared" ref="G42:G58" si="9">B42+C42/60</f>
        <v>66.150000000000006</v>
      </c>
      <c r="H42" s="8">
        <f>SUM(H43:H49)</f>
        <v>915.8</v>
      </c>
      <c r="I42" s="100">
        <f>SUM(I43:I49)</f>
        <v>3072.0833333333335</v>
      </c>
      <c r="J42" s="101">
        <f>SUM(J43:J49)</f>
        <v>2156.2833333333333</v>
      </c>
      <c r="K42" s="8">
        <f>SUM(K43:K49)</f>
        <v>162</v>
      </c>
      <c r="L42" s="9">
        <v>0</v>
      </c>
      <c r="M42" s="96">
        <f>J42+L42</f>
        <v>2156.2833333333333</v>
      </c>
      <c r="N42" s="130">
        <f>SUM(N43:N49)</f>
        <v>3657</v>
      </c>
      <c r="O42" s="98">
        <f>4476-N42</f>
        <v>819</v>
      </c>
    </row>
    <row r="43" spans="1:16">
      <c r="A43" s="6">
        <v>46083</v>
      </c>
      <c r="B43" s="4">
        <v>8</v>
      </c>
      <c r="C43" s="4">
        <v>59</v>
      </c>
      <c r="D43" s="4">
        <v>45</v>
      </c>
      <c r="E43" s="4">
        <v>1</v>
      </c>
      <c r="F43" s="4">
        <v>50</v>
      </c>
      <c r="G43" s="10">
        <f t="shared" si="9"/>
        <v>8.9833333333333325</v>
      </c>
      <c r="H43" s="4">
        <v>50</v>
      </c>
      <c r="I43" s="5">
        <f t="shared" ref="I43:I49" si="10">G43*D43</f>
        <v>404.24999999999994</v>
      </c>
      <c r="J43" s="5">
        <f t="shared" ref="J43:J49" si="11">I43-H43</f>
        <v>354.24999999999994</v>
      </c>
      <c r="K43">
        <v>22</v>
      </c>
      <c r="N43" s="82">
        <f>360+440</f>
        <v>800</v>
      </c>
    </row>
    <row r="44" spans="1:16">
      <c r="A44" s="6">
        <v>46084</v>
      </c>
      <c r="B44" s="4">
        <v>10</v>
      </c>
      <c r="C44" s="4">
        <v>35</v>
      </c>
      <c r="D44" s="4">
        <v>45</v>
      </c>
      <c r="E44" s="4">
        <v>1</v>
      </c>
      <c r="F44" s="4">
        <v>50</v>
      </c>
      <c r="G44" s="10">
        <f t="shared" si="9"/>
        <v>10.583333333333334</v>
      </c>
      <c r="H44" s="4">
        <v>50</v>
      </c>
      <c r="I44" s="5">
        <f t="shared" si="10"/>
        <v>476.25</v>
      </c>
      <c r="J44" s="5">
        <f t="shared" si="11"/>
        <v>426.25</v>
      </c>
      <c r="K44">
        <v>12</v>
      </c>
      <c r="N44" s="83">
        <v>160</v>
      </c>
      <c r="P44" t="s">
        <v>685</v>
      </c>
    </row>
    <row r="45" spans="1:16">
      <c r="A45" s="6">
        <v>46085</v>
      </c>
      <c r="B45" s="4">
        <v>9</v>
      </c>
      <c r="C45" s="4">
        <v>39</v>
      </c>
      <c r="D45" s="4">
        <v>45</v>
      </c>
      <c r="E45" s="4">
        <v>1</v>
      </c>
      <c r="F45" s="4">
        <v>50</v>
      </c>
      <c r="G45" s="10">
        <f t="shared" si="9"/>
        <v>9.65</v>
      </c>
      <c r="H45" s="4">
        <f>50+127.8</f>
        <v>177.8</v>
      </c>
      <c r="I45" s="5">
        <f t="shared" si="10"/>
        <v>434.25</v>
      </c>
      <c r="J45" s="5">
        <f t="shared" si="11"/>
        <v>256.45</v>
      </c>
      <c r="K45">
        <v>26</v>
      </c>
      <c r="N45" s="83">
        <v>360</v>
      </c>
    </row>
    <row r="46" spans="1:16">
      <c r="A46" s="6">
        <v>46086</v>
      </c>
      <c r="B46" s="4">
        <v>8</v>
      </c>
      <c r="C46" s="4">
        <v>39</v>
      </c>
      <c r="D46" s="4">
        <v>45</v>
      </c>
      <c r="E46" s="4">
        <v>1</v>
      </c>
      <c r="F46" s="4">
        <v>50</v>
      </c>
      <c r="G46" s="10">
        <f t="shared" si="9"/>
        <v>8.65</v>
      </c>
      <c r="H46" s="4">
        <f>50+182.1</f>
        <v>232.1</v>
      </c>
      <c r="I46" s="5">
        <f t="shared" si="10"/>
        <v>389.25</v>
      </c>
      <c r="J46" s="5">
        <f t="shared" si="11"/>
        <v>157.15</v>
      </c>
      <c r="K46">
        <v>25</v>
      </c>
      <c r="N46" s="83">
        <v>616</v>
      </c>
      <c r="P46" t="s">
        <v>686</v>
      </c>
    </row>
    <row r="47" spans="1:16">
      <c r="A47" s="6">
        <v>46087</v>
      </c>
      <c r="B47" s="4">
        <v>9</v>
      </c>
      <c r="C47" s="4">
        <v>32</v>
      </c>
      <c r="D47" s="4">
        <v>55</v>
      </c>
      <c r="E47" s="4">
        <v>1</v>
      </c>
      <c r="F47" s="4">
        <v>50</v>
      </c>
      <c r="G47" s="10">
        <f t="shared" si="9"/>
        <v>9.5333333333333332</v>
      </c>
      <c r="H47" s="4">
        <v>50</v>
      </c>
      <c r="I47" s="5">
        <f t="shared" si="10"/>
        <v>524.33333333333337</v>
      </c>
      <c r="J47" s="5">
        <f t="shared" si="11"/>
        <v>474.33333333333337</v>
      </c>
      <c r="K47">
        <v>29</v>
      </c>
      <c r="N47" s="83">
        <f>534+200</f>
        <v>734</v>
      </c>
    </row>
    <row r="48" spans="1:16">
      <c r="A48" s="6">
        <v>46088</v>
      </c>
      <c r="B48" s="4">
        <v>10</v>
      </c>
      <c r="C48" s="4">
        <v>17</v>
      </c>
      <c r="D48" s="4">
        <v>45</v>
      </c>
      <c r="E48" s="4">
        <v>1</v>
      </c>
      <c r="F48" s="4">
        <v>50</v>
      </c>
      <c r="G48" s="10">
        <f t="shared" si="9"/>
        <v>10.283333333333333</v>
      </c>
      <c r="H48" s="4">
        <v>50</v>
      </c>
      <c r="I48" s="5">
        <f t="shared" si="10"/>
        <v>462.75</v>
      </c>
      <c r="J48" s="5">
        <f t="shared" si="11"/>
        <v>412.75</v>
      </c>
      <c r="K48">
        <v>23</v>
      </c>
      <c r="N48" s="83">
        <v>340</v>
      </c>
    </row>
    <row r="49" spans="1:17" ht="16" thickBot="1">
      <c r="A49" s="6">
        <v>46089</v>
      </c>
      <c r="B49" s="4">
        <v>8</v>
      </c>
      <c r="C49" s="4">
        <v>28</v>
      </c>
      <c r="D49" s="4">
        <v>45</v>
      </c>
      <c r="E49" s="4">
        <v>1</v>
      </c>
      <c r="F49" s="4">
        <v>50</v>
      </c>
      <c r="G49" s="10">
        <f t="shared" si="9"/>
        <v>8.4666666666666668</v>
      </c>
      <c r="H49" s="4">
        <f>50+255.9</f>
        <v>305.89999999999998</v>
      </c>
      <c r="I49" s="5">
        <f t="shared" si="10"/>
        <v>381</v>
      </c>
      <c r="J49" s="5">
        <f t="shared" si="11"/>
        <v>75.100000000000023</v>
      </c>
      <c r="K49">
        <v>25</v>
      </c>
      <c r="N49" s="83">
        <v>647</v>
      </c>
      <c r="P49" t="s">
        <v>687</v>
      </c>
    </row>
    <row r="50" spans="1:17" s="54" customFormat="1" ht="20" thickBot="1">
      <c r="A50" s="72" t="s">
        <v>50</v>
      </c>
      <c r="B50" s="44">
        <f>SUM(B51:B57)</f>
        <v>67</v>
      </c>
      <c r="C50" s="44">
        <f>SUM(C51:C57)</f>
        <v>249</v>
      </c>
      <c r="D50" s="44">
        <f>SUM(D51)</f>
        <v>65</v>
      </c>
      <c r="E50" s="44">
        <f>SUM(E51:E57)</f>
        <v>7</v>
      </c>
      <c r="F50" s="44">
        <f>SUM(F51:F57)</f>
        <v>350</v>
      </c>
      <c r="G50" s="67">
        <f t="shared" si="9"/>
        <v>71.150000000000006</v>
      </c>
      <c r="H50" s="44">
        <f>SUM(H51:H57)</f>
        <v>411.2</v>
      </c>
      <c r="I50" s="46">
        <f>SUM(I51:I57)</f>
        <v>4327.25</v>
      </c>
      <c r="J50" s="47">
        <f>SUM(J51:J57)</f>
        <v>3916.0499999999997</v>
      </c>
      <c r="K50" s="44">
        <f>SUM(K51:K57)</f>
        <v>262</v>
      </c>
      <c r="L50" s="46">
        <v>300</v>
      </c>
      <c r="M50" s="69">
        <f>J50+L50</f>
        <v>4216.0499999999993</v>
      </c>
      <c r="N50" s="63">
        <f>SUM(N51:N57)</f>
        <v>7560</v>
      </c>
      <c r="O50" s="90">
        <f>7554-N50</f>
        <v>-6</v>
      </c>
    </row>
    <row r="51" spans="1:17" ht="19">
      <c r="A51" s="6">
        <v>46083</v>
      </c>
      <c r="B51" s="4">
        <v>9</v>
      </c>
      <c r="C51" s="4">
        <v>55</v>
      </c>
      <c r="D51" s="4">
        <v>65</v>
      </c>
      <c r="E51" s="4">
        <v>1</v>
      </c>
      <c r="F51" s="4">
        <v>50</v>
      </c>
      <c r="G51" s="10">
        <f t="shared" si="9"/>
        <v>9.9166666666666661</v>
      </c>
      <c r="H51" s="4">
        <v>50</v>
      </c>
      <c r="I51" s="5">
        <f t="shared" ref="I51:I57" si="12">G51*D51</f>
        <v>644.58333333333326</v>
      </c>
      <c r="J51" s="5">
        <f t="shared" ref="J51:J57" si="13">I51-H51</f>
        <v>594.58333333333326</v>
      </c>
      <c r="K51">
        <v>42</v>
      </c>
      <c r="N51" s="51">
        <v>800</v>
      </c>
      <c r="O51" s="49"/>
      <c r="P51" t="s">
        <v>688</v>
      </c>
    </row>
    <row r="52" spans="1:17">
      <c r="A52" s="6">
        <v>46084</v>
      </c>
      <c r="B52" s="4">
        <v>10</v>
      </c>
      <c r="C52" s="4">
        <v>42</v>
      </c>
      <c r="D52" s="4">
        <v>65</v>
      </c>
      <c r="E52" s="4">
        <v>1</v>
      </c>
      <c r="F52" s="4">
        <v>50</v>
      </c>
      <c r="G52" s="10">
        <f t="shared" si="9"/>
        <v>10.7</v>
      </c>
      <c r="H52" s="4">
        <v>50</v>
      </c>
      <c r="I52" s="5">
        <f t="shared" si="12"/>
        <v>695.5</v>
      </c>
      <c r="J52" s="5">
        <f t="shared" si="13"/>
        <v>645.5</v>
      </c>
      <c r="K52">
        <v>36</v>
      </c>
      <c r="N52" s="51">
        <f>900+150</f>
        <v>1050</v>
      </c>
      <c r="P52" t="s">
        <v>689</v>
      </c>
    </row>
    <row r="53" spans="1:17">
      <c r="A53" s="6">
        <v>46085</v>
      </c>
      <c r="B53" s="4">
        <v>9</v>
      </c>
      <c r="C53" s="4">
        <v>47</v>
      </c>
      <c r="D53" s="4">
        <v>65</v>
      </c>
      <c r="E53" s="4">
        <v>1</v>
      </c>
      <c r="F53" s="4">
        <v>50</v>
      </c>
      <c r="G53" s="10">
        <f t="shared" si="9"/>
        <v>9.7833333333333332</v>
      </c>
      <c r="H53" s="4">
        <f>50+61.2</f>
        <v>111.2</v>
      </c>
      <c r="I53" s="5">
        <f t="shared" si="12"/>
        <v>635.91666666666663</v>
      </c>
      <c r="J53" s="5">
        <f t="shared" si="13"/>
        <v>524.71666666666658</v>
      </c>
      <c r="K53">
        <v>36</v>
      </c>
      <c r="N53" s="51">
        <v>936</v>
      </c>
      <c r="P53" t="s">
        <v>690</v>
      </c>
    </row>
    <row r="54" spans="1:17">
      <c r="A54" s="6">
        <v>46086</v>
      </c>
      <c r="B54" s="4">
        <v>10</v>
      </c>
      <c r="C54" s="4">
        <v>33</v>
      </c>
      <c r="D54" s="4">
        <v>55</v>
      </c>
      <c r="E54" s="4">
        <v>1</v>
      </c>
      <c r="F54" s="4">
        <v>50</v>
      </c>
      <c r="G54" s="10">
        <f t="shared" si="9"/>
        <v>10.55</v>
      </c>
      <c r="H54" s="4">
        <v>50</v>
      </c>
      <c r="I54" s="5">
        <f t="shared" si="12"/>
        <v>580.25</v>
      </c>
      <c r="J54" s="5">
        <f t="shared" si="13"/>
        <v>530.25</v>
      </c>
      <c r="K54">
        <v>27</v>
      </c>
      <c r="N54" s="51">
        <f>715+200</f>
        <v>915</v>
      </c>
      <c r="P54" t="s">
        <v>691</v>
      </c>
    </row>
    <row r="55" spans="1:17">
      <c r="A55" s="6">
        <v>46087</v>
      </c>
      <c r="B55" s="4">
        <v>11</v>
      </c>
      <c r="C55" s="4">
        <v>12</v>
      </c>
      <c r="D55" s="4">
        <v>65</v>
      </c>
      <c r="E55" s="4">
        <v>1</v>
      </c>
      <c r="F55" s="4">
        <v>50</v>
      </c>
      <c r="G55" s="10">
        <f t="shared" si="9"/>
        <v>11.2</v>
      </c>
      <c r="H55" s="4">
        <v>50</v>
      </c>
      <c r="I55" s="5">
        <f t="shared" si="12"/>
        <v>728</v>
      </c>
      <c r="J55" s="5">
        <f t="shared" si="13"/>
        <v>678</v>
      </c>
      <c r="K55">
        <v>35</v>
      </c>
      <c r="N55" s="83">
        <v>947</v>
      </c>
    </row>
    <row r="56" spans="1:17">
      <c r="A56" s="6">
        <v>46088</v>
      </c>
      <c r="B56" s="4">
        <v>9</v>
      </c>
      <c r="C56" s="4">
        <v>24</v>
      </c>
      <c r="D56" s="4">
        <v>65</v>
      </c>
      <c r="E56" s="4">
        <v>1</v>
      </c>
      <c r="F56" s="4">
        <v>50</v>
      </c>
      <c r="G56" s="10">
        <f t="shared" si="9"/>
        <v>9.4</v>
      </c>
      <c r="H56" s="4">
        <v>50</v>
      </c>
      <c r="I56" s="5">
        <f t="shared" si="12"/>
        <v>611</v>
      </c>
      <c r="J56" s="5">
        <f t="shared" si="13"/>
        <v>561</v>
      </c>
      <c r="K56">
        <v>43</v>
      </c>
      <c r="N56" s="51">
        <v>1200</v>
      </c>
    </row>
    <row r="57" spans="1:17" ht="16" thickBot="1">
      <c r="A57" s="6">
        <v>46089</v>
      </c>
      <c r="B57" s="4">
        <v>9</v>
      </c>
      <c r="C57" s="4">
        <v>36</v>
      </c>
      <c r="D57" s="4">
        <v>45</v>
      </c>
      <c r="E57" s="4">
        <v>1</v>
      </c>
      <c r="F57" s="4">
        <v>50</v>
      </c>
      <c r="G57" s="10">
        <f t="shared" si="9"/>
        <v>9.6</v>
      </c>
      <c r="H57" s="4">
        <v>50</v>
      </c>
      <c r="I57" s="5">
        <f t="shared" si="12"/>
        <v>432</v>
      </c>
      <c r="J57" s="5">
        <f t="shared" si="13"/>
        <v>382</v>
      </c>
      <c r="K57">
        <v>43</v>
      </c>
      <c r="N57" s="51">
        <f>1402+310</f>
        <v>1712</v>
      </c>
    </row>
    <row r="58" spans="1:17" s="54" customFormat="1" ht="20" thickBot="1">
      <c r="A58" s="72" t="s">
        <v>140</v>
      </c>
      <c r="B58" s="44">
        <f>SUM(B59:B65)</f>
        <v>50</v>
      </c>
      <c r="C58" s="44">
        <f>SUM(C59:C65)</f>
        <v>88</v>
      </c>
      <c r="D58" s="44">
        <f>SUM(D59)</f>
        <v>0</v>
      </c>
      <c r="E58" s="44">
        <f>SUM(E59:E65)</f>
        <v>5</v>
      </c>
      <c r="F58" s="44">
        <f>SUM(F59:F65)</f>
        <v>250</v>
      </c>
      <c r="G58" s="67">
        <f t="shared" si="9"/>
        <v>51.466666666666669</v>
      </c>
      <c r="H58" s="44">
        <f>SUM(H59:H65)</f>
        <v>538.70000000000005</v>
      </c>
      <c r="I58" s="46">
        <f>SUM(I59:I65)</f>
        <v>3345.3333333333335</v>
      </c>
      <c r="J58" s="47">
        <f>SUM(J59:J65)</f>
        <v>2806.6333333333332</v>
      </c>
      <c r="K58" s="44">
        <f>SUM(K59:K65)</f>
        <v>183</v>
      </c>
      <c r="L58" s="46">
        <v>0</v>
      </c>
      <c r="M58" s="69">
        <f>J58</f>
        <v>2806.6333333333332</v>
      </c>
      <c r="N58" s="63">
        <f>SUM(N59:N65)</f>
        <v>3800</v>
      </c>
      <c r="O58" s="90">
        <f>5847-N58</f>
        <v>2047</v>
      </c>
    </row>
    <row r="59" spans="1:17">
      <c r="A59" s="6">
        <v>46083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10">
        <v>0</v>
      </c>
      <c r="H59" s="4">
        <v>0</v>
      </c>
      <c r="I59" s="5">
        <v>0</v>
      </c>
      <c r="J59" s="5">
        <f t="shared" ref="J59:J65" si="14">I59-H59</f>
        <v>0</v>
      </c>
      <c r="K59">
        <v>0</v>
      </c>
      <c r="N59" s="51">
        <v>200</v>
      </c>
      <c r="O59" s="51"/>
      <c r="P59" t="s">
        <v>53</v>
      </c>
    </row>
    <row r="60" spans="1:17">
      <c r="A60" s="6">
        <v>46084</v>
      </c>
      <c r="B60" s="4">
        <v>9</v>
      </c>
      <c r="C60" s="4">
        <v>12</v>
      </c>
      <c r="D60" s="4">
        <v>65</v>
      </c>
      <c r="E60" s="4">
        <v>1</v>
      </c>
      <c r="F60" s="4">
        <v>50</v>
      </c>
      <c r="G60" s="10">
        <f>B60+C60/60</f>
        <v>9.1999999999999993</v>
      </c>
      <c r="H60" s="4">
        <f>50+207.7</f>
        <v>257.7</v>
      </c>
      <c r="I60" s="5">
        <f>G60*D60</f>
        <v>598</v>
      </c>
      <c r="J60" s="5">
        <f t="shared" si="14"/>
        <v>340.3</v>
      </c>
      <c r="K60">
        <v>35</v>
      </c>
      <c r="N60" s="51"/>
      <c r="P60" t="s">
        <v>692</v>
      </c>
    </row>
    <row r="61" spans="1:17">
      <c r="A61" s="6">
        <v>46085</v>
      </c>
      <c r="B61" s="4">
        <v>9</v>
      </c>
      <c r="C61" s="4">
        <v>18</v>
      </c>
      <c r="D61" s="4">
        <v>65</v>
      </c>
      <c r="E61" s="4">
        <v>1</v>
      </c>
      <c r="F61" s="4">
        <v>50</v>
      </c>
      <c r="G61" s="10">
        <f>B61+C61/60</f>
        <v>9.3000000000000007</v>
      </c>
      <c r="H61" s="4">
        <f>50+81</f>
        <v>131</v>
      </c>
      <c r="I61" s="5">
        <f>G61*D61</f>
        <v>604.5</v>
      </c>
      <c r="J61" s="5">
        <f t="shared" si="14"/>
        <v>473.5</v>
      </c>
      <c r="K61">
        <v>35</v>
      </c>
      <c r="N61" s="51">
        <v>0</v>
      </c>
      <c r="P61" t="s">
        <v>693</v>
      </c>
      <c r="Q61" t="s">
        <v>64</v>
      </c>
    </row>
    <row r="62" spans="1:17">
      <c r="A62" s="6">
        <v>46086</v>
      </c>
      <c r="B62" s="4">
        <v>10</v>
      </c>
      <c r="C62" s="4">
        <v>28</v>
      </c>
      <c r="D62" s="4">
        <v>65</v>
      </c>
      <c r="E62" s="4">
        <v>1</v>
      </c>
      <c r="F62" s="4">
        <v>50</v>
      </c>
      <c r="G62" s="10">
        <f>B62+C62/60</f>
        <v>10.466666666666667</v>
      </c>
      <c r="H62" s="4">
        <v>50</v>
      </c>
      <c r="I62" s="5">
        <f>G62*D62</f>
        <v>680.33333333333337</v>
      </c>
      <c r="J62" s="5">
        <f t="shared" si="14"/>
        <v>630.33333333333337</v>
      </c>
      <c r="K62">
        <v>40</v>
      </c>
      <c r="N62" s="51">
        <v>0</v>
      </c>
    </row>
    <row r="63" spans="1:17">
      <c r="A63" s="6">
        <v>46087</v>
      </c>
      <c r="B63" s="4">
        <v>11</v>
      </c>
      <c r="C63" s="4">
        <v>3</v>
      </c>
      <c r="D63" s="4">
        <v>65</v>
      </c>
      <c r="E63" s="4">
        <v>1</v>
      </c>
      <c r="F63" s="4">
        <v>50</v>
      </c>
      <c r="G63" s="10">
        <f>B63+C63/60</f>
        <v>11.05</v>
      </c>
      <c r="H63" s="4">
        <v>50</v>
      </c>
      <c r="I63" s="5">
        <f>G63*D63</f>
        <v>718.25</v>
      </c>
      <c r="J63" s="5">
        <f t="shared" si="14"/>
        <v>668.25</v>
      </c>
      <c r="K63">
        <v>35</v>
      </c>
      <c r="N63" s="51">
        <v>700</v>
      </c>
      <c r="Q63" t="s">
        <v>64</v>
      </c>
    </row>
    <row r="64" spans="1:17">
      <c r="A64" s="6">
        <v>46088</v>
      </c>
      <c r="B64" s="4">
        <v>11</v>
      </c>
      <c r="C64" s="4">
        <v>27</v>
      </c>
      <c r="D64" s="4">
        <v>65</v>
      </c>
      <c r="E64" s="4">
        <v>1</v>
      </c>
      <c r="F64" s="4">
        <v>50</v>
      </c>
      <c r="G64" s="10">
        <f>B64+C64/60</f>
        <v>11.45</v>
      </c>
      <c r="H64" s="4">
        <v>50</v>
      </c>
      <c r="I64" s="5">
        <f>G64*D64</f>
        <v>744.25</v>
      </c>
      <c r="J64" s="5">
        <f t="shared" si="14"/>
        <v>694.25</v>
      </c>
      <c r="K64">
        <v>38</v>
      </c>
      <c r="N64" s="51">
        <v>1900</v>
      </c>
    </row>
    <row r="65" spans="1:17" ht="16" thickBot="1">
      <c r="A65" s="6">
        <v>46089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10">
        <v>0</v>
      </c>
      <c r="H65" s="4">
        <v>0</v>
      </c>
      <c r="I65" s="5">
        <v>0</v>
      </c>
      <c r="J65" s="5">
        <f t="shared" si="14"/>
        <v>0</v>
      </c>
      <c r="K65">
        <v>0</v>
      </c>
      <c r="N65" s="51">
        <v>1000</v>
      </c>
    </row>
    <row r="66" spans="1:17" s="54" customFormat="1" ht="20" thickBot="1">
      <c r="A66" s="72" t="s">
        <v>398</v>
      </c>
      <c r="B66" s="44">
        <f>SUM(B67:B73)</f>
        <v>11</v>
      </c>
      <c r="C66" s="44">
        <f>SUM(C67:C73)</f>
        <v>32</v>
      </c>
      <c r="D66" s="44">
        <f>SUM(D67)</f>
        <v>45</v>
      </c>
      <c r="E66" s="44">
        <f>SUM(E67:E73)</f>
        <v>7</v>
      </c>
      <c r="F66" s="44">
        <f>SUM(F67:F73)</f>
        <v>350</v>
      </c>
      <c r="G66" s="67">
        <f t="shared" ref="G66:G72" si="15">B66+C66/60</f>
        <v>11.533333333333333</v>
      </c>
      <c r="H66" s="44">
        <f>SUM(H67:H73)</f>
        <v>100</v>
      </c>
      <c r="I66" s="46">
        <f>SUM(I67:I73)</f>
        <v>519</v>
      </c>
      <c r="J66" s="46">
        <f>SUM(J67:J73)</f>
        <v>419</v>
      </c>
      <c r="K66" s="44">
        <f>SUM(K67:K73)</f>
        <v>28</v>
      </c>
      <c r="L66" s="46">
        <v>0</v>
      </c>
      <c r="M66" s="69">
        <f>J66</f>
        <v>419</v>
      </c>
      <c r="N66" s="63">
        <f>SUM(N67:N73)</f>
        <v>1250</v>
      </c>
      <c r="O66" s="90">
        <f>1250-N66</f>
        <v>0</v>
      </c>
    </row>
    <row r="67" spans="1:17">
      <c r="A67" s="6">
        <v>46083</v>
      </c>
      <c r="B67" s="4">
        <v>0</v>
      </c>
      <c r="C67" s="4">
        <v>0</v>
      </c>
      <c r="D67" s="4">
        <v>45</v>
      </c>
      <c r="E67" s="4">
        <v>1</v>
      </c>
      <c r="F67" s="4">
        <v>50</v>
      </c>
      <c r="G67" s="10">
        <f t="shared" si="15"/>
        <v>0</v>
      </c>
      <c r="H67" s="4">
        <v>0</v>
      </c>
      <c r="I67" s="5">
        <f t="shared" ref="I67:I72" si="16">G67*D67</f>
        <v>0</v>
      </c>
      <c r="J67" s="5">
        <f t="shared" ref="J67:J72" si="17">I67-H67</f>
        <v>0</v>
      </c>
      <c r="K67">
        <v>0</v>
      </c>
      <c r="N67" s="51">
        <v>100</v>
      </c>
      <c r="O67" s="51"/>
      <c r="P67" t="s">
        <v>61</v>
      </c>
    </row>
    <row r="68" spans="1:17">
      <c r="A68" s="6">
        <v>46084</v>
      </c>
      <c r="B68" s="4">
        <v>0</v>
      </c>
      <c r="C68" s="4">
        <v>0</v>
      </c>
      <c r="D68" s="4">
        <v>45</v>
      </c>
      <c r="E68" s="4">
        <v>1</v>
      </c>
      <c r="F68" s="4">
        <v>50</v>
      </c>
      <c r="G68" s="10">
        <f t="shared" si="15"/>
        <v>0</v>
      </c>
      <c r="H68" s="4">
        <v>0</v>
      </c>
      <c r="I68" s="5">
        <f t="shared" si="16"/>
        <v>0</v>
      </c>
      <c r="J68" s="5">
        <f t="shared" si="17"/>
        <v>0</v>
      </c>
      <c r="K68">
        <v>0</v>
      </c>
      <c r="N68" s="51"/>
    </row>
    <row r="69" spans="1:17">
      <c r="A69" s="6">
        <v>46085</v>
      </c>
      <c r="B69" s="4">
        <v>3</v>
      </c>
      <c r="C69" s="4">
        <v>6</v>
      </c>
      <c r="D69" s="4">
        <v>45</v>
      </c>
      <c r="E69" s="4">
        <v>1</v>
      </c>
      <c r="F69" s="4">
        <v>50</v>
      </c>
      <c r="G69" s="10">
        <f t="shared" si="15"/>
        <v>3.1</v>
      </c>
      <c r="H69" s="4">
        <v>50</v>
      </c>
      <c r="I69" s="5">
        <f t="shared" si="16"/>
        <v>139.5</v>
      </c>
      <c r="J69" s="5">
        <f t="shared" si="17"/>
        <v>89.5</v>
      </c>
      <c r="K69">
        <v>6</v>
      </c>
      <c r="N69" s="51">
        <v>250</v>
      </c>
      <c r="P69" t="s">
        <v>61</v>
      </c>
      <c r="Q69" t="s">
        <v>64</v>
      </c>
    </row>
    <row r="70" spans="1:17">
      <c r="A70" s="6">
        <v>46086</v>
      </c>
      <c r="B70" s="4">
        <v>0</v>
      </c>
      <c r="C70" s="4">
        <v>0</v>
      </c>
      <c r="D70" s="4">
        <v>45</v>
      </c>
      <c r="E70" s="4">
        <v>1</v>
      </c>
      <c r="F70" s="4">
        <v>50</v>
      </c>
      <c r="G70" s="10">
        <f t="shared" si="15"/>
        <v>0</v>
      </c>
      <c r="H70" s="4">
        <v>0</v>
      </c>
      <c r="I70" s="5">
        <f t="shared" si="16"/>
        <v>0</v>
      </c>
      <c r="J70" s="5">
        <f t="shared" si="17"/>
        <v>0</v>
      </c>
      <c r="K70">
        <v>0</v>
      </c>
      <c r="N70" s="51">
        <v>0</v>
      </c>
    </row>
    <row r="71" spans="1:17">
      <c r="A71" s="80" t="s">
        <v>694</v>
      </c>
      <c r="B71" s="4">
        <v>8</v>
      </c>
      <c r="C71" s="4">
        <v>26</v>
      </c>
      <c r="D71" s="4">
        <v>45</v>
      </c>
      <c r="E71" s="4">
        <v>1</v>
      </c>
      <c r="F71" s="4">
        <v>50</v>
      </c>
      <c r="G71" s="10">
        <f t="shared" si="15"/>
        <v>8.4333333333333336</v>
      </c>
      <c r="H71" s="4">
        <v>50</v>
      </c>
      <c r="I71" s="5">
        <f t="shared" si="16"/>
        <v>379.5</v>
      </c>
      <c r="J71" s="5">
        <f t="shared" si="17"/>
        <v>329.5</v>
      </c>
      <c r="K71">
        <v>22</v>
      </c>
      <c r="N71" s="51">
        <v>0</v>
      </c>
    </row>
    <row r="72" spans="1:17">
      <c r="A72" s="6">
        <v>46088</v>
      </c>
      <c r="B72" s="4">
        <v>0</v>
      </c>
      <c r="C72" s="4">
        <v>0</v>
      </c>
      <c r="D72" s="4">
        <v>45</v>
      </c>
      <c r="E72" s="4">
        <v>1</v>
      </c>
      <c r="F72" s="4">
        <v>50</v>
      </c>
      <c r="G72" s="10">
        <f t="shared" si="15"/>
        <v>0</v>
      </c>
      <c r="H72" s="4">
        <v>0</v>
      </c>
      <c r="I72" s="5">
        <f t="shared" si="16"/>
        <v>0</v>
      </c>
      <c r="J72" s="5">
        <f t="shared" si="17"/>
        <v>0</v>
      </c>
      <c r="K72">
        <v>0</v>
      </c>
      <c r="N72" s="51">
        <v>0</v>
      </c>
    </row>
    <row r="73" spans="1:17" ht="16" thickBot="1">
      <c r="A73" s="6">
        <v>46089</v>
      </c>
      <c r="B73" s="4">
        <v>0</v>
      </c>
      <c r="C73" s="4">
        <v>0</v>
      </c>
      <c r="D73" s="4">
        <v>45</v>
      </c>
      <c r="E73" s="4">
        <v>1</v>
      </c>
      <c r="F73" s="4">
        <v>50</v>
      </c>
      <c r="G73" s="10">
        <v>0</v>
      </c>
      <c r="H73" s="4">
        <v>0</v>
      </c>
      <c r="I73" s="5">
        <v>0</v>
      </c>
      <c r="J73" s="5">
        <v>0</v>
      </c>
      <c r="K73">
        <v>0</v>
      </c>
      <c r="N73" s="51">
        <f>700+200</f>
        <v>900</v>
      </c>
    </row>
    <row r="74" spans="1:17" s="86" customFormat="1" ht="20" thickBot="1">
      <c r="A74" s="91" t="s">
        <v>74</v>
      </c>
      <c r="B74" s="8">
        <f>SUM(B75:B81)</f>
        <v>40</v>
      </c>
      <c r="C74" s="8">
        <f>SUM(C75:C81)</f>
        <v>96</v>
      </c>
      <c r="D74" s="8">
        <f>SUM(D75)</f>
        <v>45</v>
      </c>
      <c r="E74" s="8">
        <f>SUM(E75:E81)</f>
        <v>7</v>
      </c>
      <c r="F74" s="8">
        <f>SUM(F75:F81)</f>
        <v>350</v>
      </c>
      <c r="G74" s="93">
        <f t="shared" ref="G74:G80" si="18">B74+C74/60</f>
        <v>41.6</v>
      </c>
      <c r="H74" s="8">
        <f>SUM(H75:H81)</f>
        <v>439.2</v>
      </c>
      <c r="I74" s="9">
        <f>SUM(I75:I81)</f>
        <v>1872</v>
      </c>
      <c r="J74" s="14">
        <f>SUM(J75:J81)</f>
        <v>1432.8</v>
      </c>
      <c r="K74" s="8">
        <f>SUM(K75:K81)</f>
        <v>111</v>
      </c>
      <c r="L74" s="9">
        <v>0</v>
      </c>
      <c r="M74" s="96">
        <f>J74</f>
        <v>1432.8</v>
      </c>
      <c r="N74" s="129">
        <f>SUM(N75:N81)</f>
        <v>2392</v>
      </c>
      <c r="O74" s="98">
        <f>2230-N74</f>
        <v>-162</v>
      </c>
    </row>
    <row r="75" spans="1:17">
      <c r="A75" s="80" t="s">
        <v>671</v>
      </c>
      <c r="B75" s="4">
        <v>9</v>
      </c>
      <c r="C75" s="4">
        <v>1</v>
      </c>
      <c r="D75" s="4">
        <v>45</v>
      </c>
      <c r="E75" s="4">
        <v>1</v>
      </c>
      <c r="F75" s="4">
        <v>50</v>
      </c>
      <c r="G75" s="10">
        <f t="shared" si="18"/>
        <v>9.0166666666666675</v>
      </c>
      <c r="H75" s="4">
        <v>50</v>
      </c>
      <c r="I75" s="5">
        <f t="shared" ref="I75:I80" si="19">G75*D75</f>
        <v>405.75000000000006</v>
      </c>
      <c r="J75" s="5">
        <f t="shared" ref="J75:J81" si="20">I75-H75</f>
        <v>355.75000000000006</v>
      </c>
      <c r="K75">
        <v>25</v>
      </c>
      <c r="N75" s="83">
        <f>150+150+150</f>
        <v>450</v>
      </c>
      <c r="O75" s="51"/>
      <c r="P75" t="s">
        <v>695</v>
      </c>
    </row>
    <row r="76" spans="1:17">
      <c r="A76" s="80" t="s">
        <v>696</v>
      </c>
      <c r="B76" s="4">
        <v>7</v>
      </c>
      <c r="C76" s="4">
        <v>19</v>
      </c>
      <c r="D76" s="4">
        <v>45</v>
      </c>
      <c r="E76" s="4">
        <v>1</v>
      </c>
      <c r="F76" s="4">
        <v>50</v>
      </c>
      <c r="G76" s="10">
        <f t="shared" si="18"/>
        <v>7.3166666666666664</v>
      </c>
      <c r="H76" s="4">
        <f>50+70.5</f>
        <v>120.5</v>
      </c>
      <c r="I76" s="5">
        <f t="shared" si="19"/>
        <v>329.25</v>
      </c>
      <c r="J76" s="5">
        <f t="shared" si="20"/>
        <v>208.75</v>
      </c>
      <c r="K76">
        <v>19</v>
      </c>
      <c r="N76" s="83">
        <v>532</v>
      </c>
      <c r="P76" t="s">
        <v>697</v>
      </c>
    </row>
    <row r="77" spans="1:17">
      <c r="A77" s="80" t="s">
        <v>698</v>
      </c>
      <c r="B77" s="4">
        <v>2</v>
      </c>
      <c r="C77" s="4">
        <v>11</v>
      </c>
      <c r="D77" s="4">
        <v>45</v>
      </c>
      <c r="E77" s="4">
        <v>1</v>
      </c>
      <c r="F77" s="4">
        <v>50</v>
      </c>
      <c r="G77" s="10">
        <f t="shared" si="18"/>
        <v>2.1833333333333331</v>
      </c>
      <c r="H77" s="4">
        <v>50</v>
      </c>
      <c r="I77" s="5">
        <f t="shared" si="19"/>
        <v>98.249999999999986</v>
      </c>
      <c r="J77" s="5">
        <f t="shared" si="20"/>
        <v>48.249999999999986</v>
      </c>
      <c r="K77">
        <v>5</v>
      </c>
      <c r="N77" s="51">
        <v>0</v>
      </c>
      <c r="Q77" t="s">
        <v>64</v>
      </c>
    </row>
    <row r="78" spans="1:17">
      <c r="A78" s="80" t="s">
        <v>699</v>
      </c>
      <c r="B78" s="4">
        <v>6</v>
      </c>
      <c r="C78" s="4">
        <v>44</v>
      </c>
      <c r="D78" s="4">
        <v>45</v>
      </c>
      <c r="E78" s="4">
        <v>1</v>
      </c>
      <c r="F78" s="4">
        <v>50</v>
      </c>
      <c r="G78" s="10">
        <f t="shared" si="18"/>
        <v>6.7333333333333334</v>
      </c>
      <c r="H78" s="4">
        <v>50</v>
      </c>
      <c r="I78" s="5">
        <f t="shared" si="19"/>
        <v>303</v>
      </c>
      <c r="J78" s="5">
        <f t="shared" si="20"/>
        <v>253</v>
      </c>
      <c r="K78">
        <v>16</v>
      </c>
      <c r="N78" s="51">
        <v>0</v>
      </c>
    </row>
    <row r="79" spans="1:17">
      <c r="A79" s="80" t="s">
        <v>700</v>
      </c>
      <c r="B79" s="4">
        <v>9</v>
      </c>
      <c r="C79" s="4">
        <v>9</v>
      </c>
      <c r="D79" s="4">
        <v>45</v>
      </c>
      <c r="E79" s="4">
        <v>1</v>
      </c>
      <c r="F79" s="4">
        <v>50</v>
      </c>
      <c r="G79" s="10">
        <f t="shared" si="18"/>
        <v>9.15</v>
      </c>
      <c r="H79" s="4">
        <v>50</v>
      </c>
      <c r="I79" s="5">
        <f t="shared" si="19"/>
        <v>411.75</v>
      </c>
      <c r="J79" s="5">
        <f t="shared" si="20"/>
        <v>361.75</v>
      </c>
      <c r="K79">
        <v>25</v>
      </c>
      <c r="N79" s="83">
        <f>220+200</f>
        <v>420</v>
      </c>
      <c r="P79" t="s">
        <v>336</v>
      </c>
    </row>
    <row r="80" spans="1:17">
      <c r="A80" s="80" t="s">
        <v>701</v>
      </c>
      <c r="B80" s="4">
        <v>7</v>
      </c>
      <c r="C80" s="4">
        <v>12</v>
      </c>
      <c r="D80" s="4">
        <v>45</v>
      </c>
      <c r="E80" s="4">
        <v>1</v>
      </c>
      <c r="F80" s="4">
        <v>50</v>
      </c>
      <c r="G80" s="10">
        <f t="shared" si="18"/>
        <v>7.2</v>
      </c>
      <c r="H80" s="4">
        <f>50+68.7</f>
        <v>118.7</v>
      </c>
      <c r="I80" s="5">
        <f t="shared" si="19"/>
        <v>324</v>
      </c>
      <c r="J80" s="5">
        <f t="shared" si="20"/>
        <v>205.3</v>
      </c>
      <c r="K80">
        <v>21</v>
      </c>
      <c r="N80" s="51">
        <f>440+550</f>
        <v>990</v>
      </c>
      <c r="P80" t="s">
        <v>702</v>
      </c>
    </row>
    <row r="81" spans="1:17" ht="16" thickBot="1">
      <c r="A81" s="6">
        <v>46089</v>
      </c>
      <c r="B81" s="4">
        <v>0</v>
      </c>
      <c r="C81" s="4">
        <v>0</v>
      </c>
      <c r="D81" s="4">
        <v>45</v>
      </c>
      <c r="E81" s="4">
        <v>1</v>
      </c>
      <c r="F81" s="4">
        <v>50</v>
      </c>
      <c r="G81" s="10">
        <v>0</v>
      </c>
      <c r="H81" s="4">
        <v>0</v>
      </c>
      <c r="I81" s="5">
        <v>0</v>
      </c>
      <c r="J81" s="5">
        <f t="shared" si="20"/>
        <v>0</v>
      </c>
      <c r="K81">
        <v>0</v>
      </c>
      <c r="N81" s="51"/>
    </row>
    <row r="82" spans="1:17" ht="20" thickBot="1">
      <c r="A82" s="91" t="s">
        <v>76</v>
      </c>
      <c r="B82" s="8">
        <f>SUM(B83:B89)</f>
        <v>0</v>
      </c>
      <c r="C82" s="8">
        <f>SUM(C83:C89)</f>
        <v>0</v>
      </c>
      <c r="D82" s="8">
        <f>SUM(D83)</f>
        <v>45</v>
      </c>
      <c r="E82" s="8">
        <f>SUM(E83:E89)</f>
        <v>7</v>
      </c>
      <c r="F82" s="8">
        <f>SUM(F83:F89)</f>
        <v>350</v>
      </c>
      <c r="G82" s="93">
        <f t="shared" ref="G82:G121" si="21">B82+C82/60</f>
        <v>0</v>
      </c>
      <c r="H82" s="8">
        <f>SUM(H83:H89)</f>
        <v>0</v>
      </c>
      <c r="I82" s="9">
        <f>SUM(I83:I89)</f>
        <v>0</v>
      </c>
      <c r="J82" s="14">
        <f>SUM(J83:J89)</f>
        <v>0</v>
      </c>
      <c r="K82" s="8">
        <f>SUM(K83:K89)</f>
        <v>0</v>
      </c>
      <c r="L82" s="9">
        <v>0</v>
      </c>
      <c r="M82" s="96">
        <f>J82</f>
        <v>0</v>
      </c>
      <c r="N82" s="102">
        <f>SUM(N83:N89)</f>
        <v>0</v>
      </c>
      <c r="O82" s="98">
        <f>-N82</f>
        <v>0</v>
      </c>
      <c r="P82" s="86"/>
      <c r="Q82" s="86"/>
    </row>
    <row r="83" spans="1:17">
      <c r="A83" s="6">
        <v>46083</v>
      </c>
      <c r="B83" s="4">
        <v>0</v>
      </c>
      <c r="C83" s="4">
        <v>0</v>
      </c>
      <c r="D83" s="4">
        <v>45</v>
      </c>
      <c r="E83" s="4">
        <v>1</v>
      </c>
      <c r="F83" s="4">
        <v>50</v>
      </c>
      <c r="G83" s="144">
        <f t="shared" si="21"/>
        <v>0</v>
      </c>
      <c r="H83" s="4">
        <v>0</v>
      </c>
      <c r="I83" s="5">
        <f t="shared" ref="I83:I89" si="22">G83*D83</f>
        <v>0</v>
      </c>
      <c r="J83" s="5">
        <f t="shared" ref="J83:J89" si="23">I83-H83</f>
        <v>0</v>
      </c>
      <c r="K83">
        <v>0</v>
      </c>
      <c r="N83" s="51">
        <v>0</v>
      </c>
      <c r="O83" s="51"/>
      <c r="P83" s="115"/>
    </row>
    <row r="84" spans="1:17">
      <c r="A84" s="6">
        <v>46084</v>
      </c>
      <c r="B84" s="4">
        <v>0</v>
      </c>
      <c r="C84" s="4">
        <v>0</v>
      </c>
      <c r="D84" s="4">
        <v>65</v>
      </c>
      <c r="E84" s="4">
        <v>1</v>
      </c>
      <c r="F84" s="4">
        <v>50</v>
      </c>
      <c r="G84" s="144">
        <f t="shared" si="21"/>
        <v>0</v>
      </c>
      <c r="H84" s="4">
        <v>0</v>
      </c>
      <c r="I84" s="5">
        <f t="shared" si="22"/>
        <v>0</v>
      </c>
      <c r="J84" s="5">
        <f t="shared" si="23"/>
        <v>0</v>
      </c>
      <c r="K84">
        <v>0</v>
      </c>
      <c r="N84" s="51">
        <v>0</v>
      </c>
    </row>
    <row r="85" spans="1:17">
      <c r="A85" s="6">
        <v>46085</v>
      </c>
      <c r="B85" s="4">
        <v>0</v>
      </c>
      <c r="C85" s="4">
        <v>0</v>
      </c>
      <c r="D85" s="4">
        <v>65</v>
      </c>
      <c r="E85" s="4">
        <v>1</v>
      </c>
      <c r="F85" s="4">
        <v>50</v>
      </c>
      <c r="G85" s="144">
        <f t="shared" si="21"/>
        <v>0</v>
      </c>
      <c r="H85" s="4">
        <v>0</v>
      </c>
      <c r="I85" s="5">
        <f t="shared" si="22"/>
        <v>0</v>
      </c>
      <c r="J85" s="5">
        <f t="shared" si="23"/>
        <v>0</v>
      </c>
      <c r="K85">
        <v>0</v>
      </c>
      <c r="N85" s="51">
        <v>0</v>
      </c>
      <c r="Q85" t="s">
        <v>64</v>
      </c>
    </row>
    <row r="86" spans="1:17">
      <c r="A86" s="6">
        <v>46086</v>
      </c>
      <c r="B86" s="4">
        <v>0</v>
      </c>
      <c r="C86" s="4">
        <v>0</v>
      </c>
      <c r="D86" s="4">
        <v>45</v>
      </c>
      <c r="E86" s="4">
        <v>1</v>
      </c>
      <c r="F86" s="4">
        <v>50</v>
      </c>
      <c r="G86" s="144">
        <f t="shared" si="21"/>
        <v>0</v>
      </c>
      <c r="H86" s="4">
        <v>0</v>
      </c>
      <c r="I86" s="5">
        <f t="shared" si="22"/>
        <v>0</v>
      </c>
      <c r="J86" s="5">
        <f t="shared" si="23"/>
        <v>0</v>
      </c>
      <c r="K86">
        <v>0</v>
      </c>
      <c r="N86" s="51">
        <v>0</v>
      </c>
    </row>
    <row r="87" spans="1:17">
      <c r="A87" s="6">
        <v>46087</v>
      </c>
      <c r="B87" s="4">
        <v>0</v>
      </c>
      <c r="C87" s="4">
        <v>0</v>
      </c>
      <c r="D87" s="4">
        <v>45</v>
      </c>
      <c r="E87" s="4">
        <v>1</v>
      </c>
      <c r="F87" s="4">
        <v>50</v>
      </c>
      <c r="G87" s="144">
        <f t="shared" si="21"/>
        <v>0</v>
      </c>
      <c r="H87" s="4">
        <v>0</v>
      </c>
      <c r="I87" s="5">
        <f t="shared" si="22"/>
        <v>0</v>
      </c>
      <c r="J87" s="5">
        <f t="shared" si="23"/>
        <v>0</v>
      </c>
      <c r="K87">
        <v>0</v>
      </c>
      <c r="N87" s="51">
        <v>0</v>
      </c>
    </row>
    <row r="88" spans="1:17">
      <c r="A88" s="6">
        <v>46088</v>
      </c>
      <c r="B88" s="4">
        <v>0</v>
      </c>
      <c r="C88" s="4">
        <v>0</v>
      </c>
      <c r="D88" s="4">
        <v>45</v>
      </c>
      <c r="E88" s="4">
        <v>1</v>
      </c>
      <c r="F88" s="4">
        <v>50</v>
      </c>
      <c r="G88" s="10">
        <f t="shared" si="21"/>
        <v>0</v>
      </c>
      <c r="H88" s="4">
        <v>0</v>
      </c>
      <c r="I88" s="5">
        <f t="shared" si="22"/>
        <v>0</v>
      </c>
      <c r="J88" s="5">
        <f t="shared" si="23"/>
        <v>0</v>
      </c>
      <c r="K88">
        <v>0</v>
      </c>
      <c r="N88" s="51">
        <v>0</v>
      </c>
    </row>
    <row r="89" spans="1:17" ht="16" thickBot="1">
      <c r="A89" s="6">
        <v>46089</v>
      </c>
      <c r="B89" s="4">
        <v>0</v>
      </c>
      <c r="C89" s="4">
        <v>0</v>
      </c>
      <c r="D89" s="4">
        <v>45</v>
      </c>
      <c r="E89" s="4">
        <v>1</v>
      </c>
      <c r="F89" s="4">
        <v>50</v>
      </c>
      <c r="G89" s="10">
        <f t="shared" si="21"/>
        <v>0</v>
      </c>
      <c r="H89" s="4">
        <v>0</v>
      </c>
      <c r="I89" s="5">
        <f t="shared" si="22"/>
        <v>0</v>
      </c>
      <c r="J89" s="5">
        <f t="shared" si="23"/>
        <v>0</v>
      </c>
      <c r="K89">
        <v>0</v>
      </c>
      <c r="N89" s="51">
        <v>0</v>
      </c>
    </row>
    <row r="90" spans="1:17" ht="20" thickBot="1">
      <c r="A90" s="91" t="s">
        <v>703</v>
      </c>
      <c r="B90" s="8">
        <f>SUM(B91:B97)</f>
        <v>49</v>
      </c>
      <c r="C90" s="8">
        <f>SUM(C91:C97)</f>
        <v>126</v>
      </c>
      <c r="D90" s="8">
        <v>45</v>
      </c>
      <c r="E90" s="8">
        <f>SUM(E91:E97)</f>
        <v>7</v>
      </c>
      <c r="F90" s="8">
        <f>SUM(F91:F97)</f>
        <v>350</v>
      </c>
      <c r="G90" s="93">
        <f t="shared" si="21"/>
        <v>51.1</v>
      </c>
      <c r="H90" s="8">
        <f>SUM(H91:H97)</f>
        <v>300</v>
      </c>
      <c r="I90" s="9">
        <f>SUM(I91:I97)</f>
        <v>2453.6666666666665</v>
      </c>
      <c r="J90" s="14">
        <f>SUM(J91:J97)</f>
        <v>2153.6666666666665</v>
      </c>
      <c r="K90" s="8">
        <f>SUM(K91:K97)</f>
        <v>156</v>
      </c>
      <c r="L90" s="9">
        <v>0</v>
      </c>
      <c r="M90" s="96">
        <f>J90</f>
        <v>2153.6666666666665</v>
      </c>
      <c r="N90" s="129">
        <f>SUM(N91:N97)</f>
        <v>4586</v>
      </c>
      <c r="O90" s="98">
        <f>5264-N90</f>
        <v>678</v>
      </c>
      <c r="P90" s="86"/>
      <c r="Q90" s="86"/>
    </row>
    <row r="91" spans="1:17">
      <c r="A91" s="6">
        <v>46083</v>
      </c>
      <c r="B91" s="4">
        <v>9</v>
      </c>
      <c r="C91" s="4">
        <v>2</v>
      </c>
      <c r="D91" s="4">
        <v>45</v>
      </c>
      <c r="E91" s="4">
        <v>1</v>
      </c>
      <c r="F91" s="4">
        <v>50</v>
      </c>
      <c r="G91" s="10">
        <f t="shared" si="21"/>
        <v>9.0333333333333332</v>
      </c>
      <c r="H91" s="4">
        <v>50</v>
      </c>
      <c r="I91" s="5">
        <f t="shared" ref="I91:I97" si="24">G91*D91</f>
        <v>406.5</v>
      </c>
      <c r="J91" s="5">
        <f t="shared" ref="J91:J97" si="25">I91-H91</f>
        <v>356.5</v>
      </c>
      <c r="K91">
        <v>24</v>
      </c>
      <c r="N91" s="51">
        <v>260</v>
      </c>
      <c r="O91" s="51"/>
    </row>
    <row r="92" spans="1:17">
      <c r="A92" s="6">
        <v>46084</v>
      </c>
      <c r="B92" s="4">
        <v>8</v>
      </c>
      <c r="C92" s="4">
        <v>24</v>
      </c>
      <c r="D92" s="4">
        <v>45</v>
      </c>
      <c r="E92" s="4">
        <v>1</v>
      </c>
      <c r="F92" s="4">
        <v>50</v>
      </c>
      <c r="G92" s="10">
        <f t="shared" si="21"/>
        <v>8.4</v>
      </c>
      <c r="H92" s="4">
        <v>50</v>
      </c>
      <c r="I92" s="5">
        <f t="shared" si="24"/>
        <v>378</v>
      </c>
      <c r="J92" s="5">
        <f t="shared" si="25"/>
        <v>328</v>
      </c>
      <c r="K92">
        <v>23</v>
      </c>
      <c r="N92" s="51">
        <v>380</v>
      </c>
    </row>
    <row r="93" spans="1:17">
      <c r="A93" s="6">
        <v>46085</v>
      </c>
      <c r="B93" s="4">
        <v>7</v>
      </c>
      <c r="C93" s="4">
        <v>0</v>
      </c>
      <c r="D93" s="4">
        <v>55</v>
      </c>
      <c r="E93" s="4">
        <v>1</v>
      </c>
      <c r="F93" s="4">
        <v>50</v>
      </c>
      <c r="G93" s="10">
        <f t="shared" si="21"/>
        <v>7</v>
      </c>
      <c r="H93" s="4">
        <v>50</v>
      </c>
      <c r="I93" s="5">
        <f t="shared" si="24"/>
        <v>385</v>
      </c>
      <c r="J93" s="5">
        <f t="shared" si="25"/>
        <v>335</v>
      </c>
      <c r="K93">
        <v>28</v>
      </c>
      <c r="N93" s="51">
        <v>456</v>
      </c>
      <c r="Q93" t="s">
        <v>64</v>
      </c>
    </row>
    <row r="94" spans="1:17">
      <c r="A94" s="6">
        <v>46086</v>
      </c>
      <c r="B94" s="4">
        <v>8</v>
      </c>
      <c r="C94" s="4">
        <v>25</v>
      </c>
      <c r="D94" s="4">
        <v>55</v>
      </c>
      <c r="E94" s="4">
        <v>1</v>
      </c>
      <c r="F94" s="4">
        <v>50</v>
      </c>
      <c r="G94" s="10">
        <f t="shared" si="21"/>
        <v>8.4166666666666661</v>
      </c>
      <c r="H94" s="4">
        <v>50</v>
      </c>
      <c r="I94" s="5">
        <f t="shared" si="24"/>
        <v>462.91666666666663</v>
      </c>
      <c r="J94" s="5">
        <f t="shared" si="25"/>
        <v>412.91666666666663</v>
      </c>
      <c r="K94">
        <v>27</v>
      </c>
      <c r="N94" s="51">
        <v>1010</v>
      </c>
    </row>
    <row r="95" spans="1:17">
      <c r="A95" s="6">
        <v>46087</v>
      </c>
      <c r="B95" s="4">
        <v>9</v>
      </c>
      <c r="C95" s="4">
        <v>18</v>
      </c>
      <c r="D95" s="4">
        <v>45</v>
      </c>
      <c r="E95" s="4">
        <v>1</v>
      </c>
      <c r="F95" s="4">
        <v>50</v>
      </c>
      <c r="G95" s="10">
        <f t="shared" si="21"/>
        <v>9.3000000000000007</v>
      </c>
      <c r="H95" s="4">
        <v>50</v>
      </c>
      <c r="I95" s="5">
        <f t="shared" si="24"/>
        <v>418.50000000000006</v>
      </c>
      <c r="J95" s="5">
        <f t="shared" si="25"/>
        <v>368.50000000000006</v>
      </c>
      <c r="K95">
        <v>27</v>
      </c>
      <c r="N95" s="51">
        <v>820</v>
      </c>
    </row>
    <row r="96" spans="1:17">
      <c r="A96" s="6">
        <v>46088</v>
      </c>
      <c r="B96" s="4">
        <v>8</v>
      </c>
      <c r="C96" s="4">
        <v>57</v>
      </c>
      <c r="D96" s="4">
        <v>45</v>
      </c>
      <c r="E96" s="4">
        <v>1</v>
      </c>
      <c r="F96" s="4">
        <v>50</v>
      </c>
      <c r="G96" s="10">
        <f t="shared" si="21"/>
        <v>8.9499999999999993</v>
      </c>
      <c r="H96" s="4">
        <v>50</v>
      </c>
      <c r="I96" s="5">
        <f t="shared" si="24"/>
        <v>402.74999999999994</v>
      </c>
      <c r="J96" s="5">
        <f t="shared" si="25"/>
        <v>352.74999999999994</v>
      </c>
      <c r="K96">
        <v>19</v>
      </c>
      <c r="N96" s="51">
        <v>640</v>
      </c>
    </row>
    <row r="97" spans="1:17" ht="16" thickBot="1">
      <c r="A97" s="6">
        <v>46089</v>
      </c>
      <c r="B97" s="4">
        <v>0</v>
      </c>
      <c r="C97" s="4">
        <v>0</v>
      </c>
      <c r="D97" s="4">
        <v>45</v>
      </c>
      <c r="E97" s="4">
        <v>1</v>
      </c>
      <c r="F97" s="4">
        <v>50</v>
      </c>
      <c r="G97" s="10">
        <f t="shared" si="21"/>
        <v>0</v>
      </c>
      <c r="H97" s="4">
        <v>0</v>
      </c>
      <c r="I97" s="5">
        <f t="shared" si="24"/>
        <v>0</v>
      </c>
      <c r="J97" s="5">
        <f t="shared" si="25"/>
        <v>0</v>
      </c>
      <c r="K97">
        <v>8</v>
      </c>
      <c r="N97" s="51">
        <f>1020</f>
        <v>1020</v>
      </c>
      <c r="P97" t="s">
        <v>49</v>
      </c>
    </row>
    <row r="98" spans="1:17" s="54" customFormat="1" ht="20" thickBot="1">
      <c r="A98" s="72" t="s">
        <v>81</v>
      </c>
      <c r="B98" s="44">
        <f>SUM(B99:B105)</f>
        <v>62</v>
      </c>
      <c r="C98" s="44">
        <f>SUM(C99:C105)</f>
        <v>258</v>
      </c>
      <c r="D98" s="44">
        <v>45</v>
      </c>
      <c r="E98" s="44">
        <f>SUM(E99:E105)</f>
        <v>7</v>
      </c>
      <c r="F98" s="44">
        <f>SUM(F99:F105)</f>
        <v>350</v>
      </c>
      <c r="G98" s="67">
        <f t="shared" si="21"/>
        <v>66.3</v>
      </c>
      <c r="H98" s="44">
        <f>SUM(H99:H105)</f>
        <v>300</v>
      </c>
      <c r="I98" s="47">
        <f>SUM(I99:I105)</f>
        <v>3647.666666666667</v>
      </c>
      <c r="J98" s="47">
        <f>SUM(J99:J105)</f>
        <v>3347.666666666667</v>
      </c>
      <c r="K98" s="44">
        <f>SUM(K99:K105)</f>
        <v>170</v>
      </c>
      <c r="L98" s="46">
        <v>0</v>
      </c>
      <c r="M98" s="69">
        <f>J98</f>
        <v>3347.666666666667</v>
      </c>
      <c r="N98" s="63">
        <f>SUM(N99:N105)</f>
        <v>3795</v>
      </c>
      <c r="O98" s="90">
        <f>4034-N98</f>
        <v>239</v>
      </c>
    </row>
    <row r="99" spans="1:17">
      <c r="A99" s="6">
        <v>46083</v>
      </c>
      <c r="B99" s="4">
        <v>0</v>
      </c>
      <c r="C99" s="4">
        <v>0</v>
      </c>
      <c r="D99" s="4">
        <v>45</v>
      </c>
      <c r="E99" s="4">
        <v>1</v>
      </c>
      <c r="F99" s="4">
        <v>50</v>
      </c>
      <c r="G99" s="10">
        <f t="shared" si="21"/>
        <v>0</v>
      </c>
      <c r="H99" s="4">
        <v>0</v>
      </c>
      <c r="I99" s="5">
        <f t="shared" ref="I99:I105" si="26">G99*D99</f>
        <v>0</v>
      </c>
      <c r="J99" s="5">
        <f t="shared" ref="J99:J105" si="27">I99-H99</f>
        <v>0</v>
      </c>
      <c r="K99">
        <v>0</v>
      </c>
      <c r="N99" s="51">
        <v>0</v>
      </c>
      <c r="O99" s="51"/>
    </row>
    <row r="100" spans="1:17">
      <c r="A100" s="6">
        <v>46084</v>
      </c>
      <c r="B100" s="4">
        <v>11</v>
      </c>
      <c r="C100" s="4">
        <v>34</v>
      </c>
      <c r="D100" s="4">
        <v>45</v>
      </c>
      <c r="E100" s="4">
        <v>1</v>
      </c>
      <c r="F100" s="4">
        <v>50</v>
      </c>
      <c r="G100" s="10">
        <f t="shared" si="21"/>
        <v>11.566666666666666</v>
      </c>
      <c r="H100" s="4">
        <v>50</v>
      </c>
      <c r="I100" s="5">
        <f t="shared" si="26"/>
        <v>520.5</v>
      </c>
      <c r="J100" s="5">
        <f t="shared" si="27"/>
        <v>470.5</v>
      </c>
      <c r="K100">
        <v>25</v>
      </c>
      <c r="N100" s="83">
        <v>545</v>
      </c>
    </row>
    <row r="101" spans="1:17">
      <c r="A101" s="6">
        <v>46085</v>
      </c>
      <c r="B101" s="4">
        <v>10</v>
      </c>
      <c r="C101" s="4">
        <v>40</v>
      </c>
      <c r="D101" s="4">
        <v>55</v>
      </c>
      <c r="E101" s="4">
        <v>1</v>
      </c>
      <c r="F101" s="4">
        <v>50</v>
      </c>
      <c r="G101" s="10">
        <f t="shared" si="21"/>
        <v>10.666666666666666</v>
      </c>
      <c r="H101" s="4">
        <v>50</v>
      </c>
      <c r="I101" s="5">
        <f t="shared" si="26"/>
        <v>586.66666666666663</v>
      </c>
      <c r="J101" s="5">
        <f t="shared" si="27"/>
        <v>536.66666666666663</v>
      </c>
      <c r="K101">
        <v>27</v>
      </c>
      <c r="N101" s="51">
        <v>520</v>
      </c>
      <c r="Q101" t="s">
        <v>64</v>
      </c>
    </row>
    <row r="102" spans="1:17">
      <c r="A102" s="6">
        <v>46086</v>
      </c>
      <c r="B102" s="4">
        <v>10</v>
      </c>
      <c r="C102" s="4">
        <v>57</v>
      </c>
      <c r="D102" s="4">
        <v>45</v>
      </c>
      <c r="E102" s="4">
        <v>1</v>
      </c>
      <c r="F102" s="4">
        <v>50</v>
      </c>
      <c r="G102" s="10">
        <f t="shared" si="21"/>
        <v>10.95</v>
      </c>
      <c r="H102" s="4">
        <v>50</v>
      </c>
      <c r="I102" s="5">
        <f t="shared" si="26"/>
        <v>492.74999999999994</v>
      </c>
      <c r="J102" s="5">
        <f t="shared" si="27"/>
        <v>442.74999999999994</v>
      </c>
      <c r="K102">
        <v>25</v>
      </c>
      <c r="N102" s="51">
        <v>670</v>
      </c>
    </row>
    <row r="103" spans="1:17">
      <c r="A103" s="6">
        <v>46087</v>
      </c>
      <c r="B103" s="4">
        <v>11</v>
      </c>
      <c r="C103" s="4">
        <v>49</v>
      </c>
      <c r="D103" s="4">
        <v>65</v>
      </c>
      <c r="E103" s="4">
        <v>1</v>
      </c>
      <c r="F103" s="4">
        <v>50</v>
      </c>
      <c r="G103" s="10">
        <f t="shared" si="21"/>
        <v>11.816666666666666</v>
      </c>
      <c r="H103" s="4">
        <v>50</v>
      </c>
      <c r="I103" s="5">
        <f t="shared" si="26"/>
        <v>768.08333333333337</v>
      </c>
      <c r="J103" s="5">
        <f t="shared" si="27"/>
        <v>718.08333333333337</v>
      </c>
      <c r="K103">
        <v>32</v>
      </c>
      <c r="N103" s="51">
        <f>200+370</f>
        <v>570</v>
      </c>
      <c r="P103" t="s">
        <v>53</v>
      </c>
    </row>
    <row r="104" spans="1:17">
      <c r="A104" s="6">
        <v>46088</v>
      </c>
      <c r="B104" s="4">
        <v>10</v>
      </c>
      <c r="C104" s="4">
        <v>49</v>
      </c>
      <c r="D104" s="4">
        <v>65</v>
      </c>
      <c r="E104" s="4">
        <v>1</v>
      </c>
      <c r="F104" s="4">
        <v>50</v>
      </c>
      <c r="G104" s="10">
        <f t="shared" si="21"/>
        <v>10.816666666666666</v>
      </c>
      <c r="H104" s="4">
        <v>50</v>
      </c>
      <c r="I104" s="5">
        <f t="shared" si="26"/>
        <v>703.08333333333337</v>
      </c>
      <c r="J104" s="5">
        <f t="shared" si="27"/>
        <v>653.08333333333337</v>
      </c>
      <c r="K104">
        <v>33</v>
      </c>
      <c r="N104" s="51">
        <v>730</v>
      </c>
    </row>
    <row r="105" spans="1:17" ht="16" thickBot="1">
      <c r="A105" s="6">
        <v>46089</v>
      </c>
      <c r="B105" s="4">
        <v>10</v>
      </c>
      <c r="C105" s="4">
        <v>29</v>
      </c>
      <c r="D105" s="4">
        <v>55</v>
      </c>
      <c r="E105" s="4">
        <v>1</v>
      </c>
      <c r="F105" s="4">
        <v>50</v>
      </c>
      <c r="G105" s="10">
        <f t="shared" si="21"/>
        <v>10.483333333333333</v>
      </c>
      <c r="H105" s="4">
        <v>50</v>
      </c>
      <c r="I105" s="5">
        <f t="shared" si="26"/>
        <v>576.58333333333326</v>
      </c>
      <c r="J105" s="5">
        <f t="shared" si="27"/>
        <v>526.58333333333326</v>
      </c>
      <c r="K105">
        <v>28</v>
      </c>
      <c r="N105" s="51">
        <f>610+150</f>
        <v>760</v>
      </c>
    </row>
    <row r="106" spans="1:17" s="86" customFormat="1" ht="20" thickBot="1">
      <c r="A106" s="91" t="s">
        <v>90</v>
      </c>
      <c r="B106" s="92">
        <f>SUM(B107:B112)</f>
        <v>21</v>
      </c>
      <c r="C106" s="92">
        <f>SUM(C107:C112)</f>
        <v>95</v>
      </c>
      <c r="D106" s="8">
        <f>SUM(D107)</f>
        <v>45</v>
      </c>
      <c r="E106" s="8">
        <f>SUM(E107:E112)</f>
        <v>6</v>
      </c>
      <c r="F106" s="8">
        <f>SUM(F107:F112)</f>
        <v>300</v>
      </c>
      <c r="G106" s="93">
        <f t="shared" si="21"/>
        <v>22.583333333333332</v>
      </c>
      <c r="H106" s="92">
        <f>SUM(H107:H112)</f>
        <v>242.4</v>
      </c>
      <c r="I106" s="9">
        <f>SUM(I107:I112)</f>
        <v>1168.25</v>
      </c>
      <c r="J106" s="14">
        <f>SUM(J107:J112)</f>
        <v>925.84999999999991</v>
      </c>
      <c r="K106" s="8">
        <f>SUM(K107:K112)</f>
        <v>49</v>
      </c>
      <c r="L106" s="9">
        <v>0</v>
      </c>
      <c r="M106" s="96">
        <f>J106</f>
        <v>925.84999999999991</v>
      </c>
      <c r="N106" s="102">
        <f>SUM(N107:N110)</f>
        <v>1970</v>
      </c>
      <c r="O106" s="98">
        <f>1916-N106</f>
        <v>-54</v>
      </c>
    </row>
    <row r="107" spans="1:17">
      <c r="A107" s="80" t="s">
        <v>666</v>
      </c>
      <c r="B107" s="4">
        <v>7</v>
      </c>
      <c r="C107" s="4">
        <v>23</v>
      </c>
      <c r="D107" s="143">
        <v>45</v>
      </c>
      <c r="E107" s="4">
        <v>1</v>
      </c>
      <c r="F107" s="4">
        <v>50</v>
      </c>
      <c r="G107" s="144">
        <f t="shared" si="21"/>
        <v>7.3833333333333337</v>
      </c>
      <c r="H107" s="4">
        <v>50</v>
      </c>
      <c r="I107" s="142">
        <f t="shared" ref="I107:I113" si="28">G107*D107</f>
        <v>332.25</v>
      </c>
      <c r="J107" s="5">
        <f t="shared" ref="J107:J113" si="29">I107-H107</f>
        <v>282.25</v>
      </c>
      <c r="K107">
        <v>28</v>
      </c>
      <c r="N107" s="51">
        <v>880</v>
      </c>
      <c r="O107" s="51"/>
      <c r="P107" t="s">
        <v>704</v>
      </c>
    </row>
    <row r="108" spans="1:17">
      <c r="A108" s="80" t="s">
        <v>668</v>
      </c>
      <c r="B108" s="4">
        <v>7</v>
      </c>
      <c r="C108" s="4">
        <v>35</v>
      </c>
      <c r="D108" s="143">
        <v>55</v>
      </c>
      <c r="E108" s="4">
        <v>1</v>
      </c>
      <c r="F108" s="4">
        <v>50</v>
      </c>
      <c r="G108" s="144">
        <f t="shared" si="21"/>
        <v>7.583333333333333</v>
      </c>
      <c r="H108" s="4">
        <v>50</v>
      </c>
      <c r="I108" s="142">
        <f t="shared" si="28"/>
        <v>417.08333333333331</v>
      </c>
      <c r="J108" s="5">
        <f t="shared" si="29"/>
        <v>367.08333333333331</v>
      </c>
      <c r="K108">
        <v>21</v>
      </c>
      <c r="N108" s="51"/>
      <c r="P108" t="s">
        <v>705</v>
      </c>
    </row>
    <row r="109" spans="1:17">
      <c r="A109" s="80" t="s">
        <v>357</v>
      </c>
      <c r="B109" s="4">
        <v>7</v>
      </c>
      <c r="C109" s="4">
        <v>37</v>
      </c>
      <c r="D109" s="143">
        <v>55</v>
      </c>
      <c r="E109" s="4">
        <v>1</v>
      </c>
      <c r="F109" s="4">
        <v>50</v>
      </c>
      <c r="G109" s="144">
        <f t="shared" si="21"/>
        <v>7.6166666666666671</v>
      </c>
      <c r="H109" s="4">
        <f>50+92.4</f>
        <v>142.4</v>
      </c>
      <c r="I109" s="142">
        <f t="shared" si="28"/>
        <v>418.91666666666669</v>
      </c>
      <c r="J109" s="5">
        <f t="shared" si="29"/>
        <v>276.51666666666665</v>
      </c>
      <c r="K109">
        <v>0</v>
      </c>
      <c r="N109" s="51">
        <v>550</v>
      </c>
      <c r="P109" t="s">
        <v>706</v>
      </c>
      <c r="Q109" t="s">
        <v>64</v>
      </c>
    </row>
    <row r="110" spans="1:17">
      <c r="A110" s="80" t="s">
        <v>707</v>
      </c>
      <c r="B110" s="4">
        <v>0</v>
      </c>
      <c r="C110" s="4">
        <v>0</v>
      </c>
      <c r="D110" s="143">
        <v>45</v>
      </c>
      <c r="E110" s="4">
        <v>1</v>
      </c>
      <c r="F110" s="4">
        <v>50</v>
      </c>
      <c r="G110" s="144">
        <f t="shared" si="21"/>
        <v>0</v>
      </c>
      <c r="H110" s="4">
        <v>0</v>
      </c>
      <c r="I110" s="142">
        <f t="shared" si="28"/>
        <v>0</v>
      </c>
      <c r="J110" s="5">
        <f t="shared" si="29"/>
        <v>0</v>
      </c>
      <c r="K110">
        <v>0</v>
      </c>
      <c r="N110" s="51">
        <v>540</v>
      </c>
    </row>
    <row r="111" spans="1:17">
      <c r="A111" s="80" t="s">
        <v>708</v>
      </c>
      <c r="B111" s="4">
        <v>0</v>
      </c>
      <c r="C111" s="4">
        <v>0</v>
      </c>
      <c r="D111" s="143">
        <v>45</v>
      </c>
      <c r="E111" s="4">
        <v>1</v>
      </c>
      <c r="F111" s="4">
        <v>50</v>
      </c>
      <c r="G111" s="144">
        <f t="shared" si="21"/>
        <v>0</v>
      </c>
      <c r="H111" s="4">
        <v>0</v>
      </c>
      <c r="I111" s="142">
        <f t="shared" si="28"/>
        <v>0</v>
      </c>
      <c r="J111" s="5">
        <f t="shared" si="29"/>
        <v>0</v>
      </c>
      <c r="K111">
        <v>0</v>
      </c>
      <c r="N111" s="51">
        <v>0</v>
      </c>
    </row>
    <row r="112" spans="1:17">
      <c r="A112" s="80" t="s">
        <v>670</v>
      </c>
      <c r="B112" s="4">
        <v>0</v>
      </c>
      <c r="C112" s="4">
        <v>0</v>
      </c>
      <c r="D112" s="143">
        <v>45</v>
      </c>
      <c r="E112" s="4">
        <v>1</v>
      </c>
      <c r="F112" s="4">
        <v>50</v>
      </c>
      <c r="G112" s="144">
        <f t="shared" si="21"/>
        <v>0</v>
      </c>
      <c r="H112" s="4">
        <v>0</v>
      </c>
      <c r="I112" s="142">
        <f t="shared" si="28"/>
        <v>0</v>
      </c>
      <c r="J112" s="5">
        <f t="shared" si="29"/>
        <v>0</v>
      </c>
      <c r="K112">
        <v>0</v>
      </c>
      <c r="N112" s="51">
        <v>0</v>
      </c>
    </row>
    <row r="113" spans="1:17" ht="16" thickBot="1">
      <c r="A113" s="80" t="s">
        <v>681</v>
      </c>
      <c r="B113" s="4">
        <v>0</v>
      </c>
      <c r="C113" s="4">
        <v>0</v>
      </c>
      <c r="D113" s="143">
        <v>45</v>
      </c>
      <c r="E113" s="4">
        <v>0</v>
      </c>
      <c r="F113" s="4">
        <v>50</v>
      </c>
      <c r="G113" s="10">
        <f t="shared" si="21"/>
        <v>0</v>
      </c>
      <c r="H113" s="141">
        <v>0</v>
      </c>
      <c r="I113" s="5">
        <f t="shared" si="28"/>
        <v>0</v>
      </c>
      <c r="J113" s="5">
        <f t="shared" si="29"/>
        <v>0</v>
      </c>
      <c r="K113">
        <v>0</v>
      </c>
      <c r="N113" s="51">
        <v>0</v>
      </c>
    </row>
    <row r="114" spans="1:17" s="54" customFormat="1" ht="20" thickBot="1">
      <c r="A114" s="72"/>
      <c r="B114" s="117">
        <f>SUM(B115:B122)</f>
        <v>0</v>
      </c>
      <c r="C114" s="140">
        <f>SUM(C115:C122)</f>
        <v>0</v>
      </c>
      <c r="D114" s="44">
        <f>SUM(D115)</f>
        <v>45</v>
      </c>
      <c r="E114" s="44">
        <f>SUM(E115:E122)</f>
        <v>7</v>
      </c>
      <c r="F114" s="44">
        <f>SUM(F115:F120)</f>
        <v>250</v>
      </c>
      <c r="G114" s="67">
        <f t="shared" si="21"/>
        <v>0</v>
      </c>
      <c r="H114" s="44">
        <f>SUM(H115:H121)</f>
        <v>0</v>
      </c>
      <c r="I114" s="46">
        <f>SUM(I115:I121)</f>
        <v>0</v>
      </c>
      <c r="J114" s="47">
        <f>SUM(J115:J121)</f>
        <v>0</v>
      </c>
      <c r="K114" s="44">
        <f>SUM(K115:K122)</f>
        <v>0</v>
      </c>
      <c r="L114" s="46">
        <v>0</v>
      </c>
      <c r="M114" s="69">
        <f>J114</f>
        <v>0</v>
      </c>
      <c r="N114" s="63">
        <f>SUM(N115:N118)</f>
        <v>0</v>
      </c>
      <c r="O114" s="90"/>
    </row>
    <row r="115" spans="1:17">
      <c r="A115" s="6">
        <v>46083</v>
      </c>
      <c r="B115" s="4">
        <v>0</v>
      </c>
      <c r="C115" s="143">
        <v>0</v>
      </c>
      <c r="D115" s="4">
        <v>45</v>
      </c>
      <c r="E115" s="4">
        <v>1</v>
      </c>
      <c r="F115" s="4">
        <v>50</v>
      </c>
      <c r="G115" s="10">
        <f t="shared" si="21"/>
        <v>0</v>
      </c>
      <c r="H115" s="4">
        <v>0</v>
      </c>
      <c r="I115" s="5">
        <f t="shared" ref="I115:I121" si="30">G115*D115</f>
        <v>0</v>
      </c>
      <c r="J115" s="5">
        <f t="shared" ref="J115:J121" si="31">I115-H115</f>
        <v>0</v>
      </c>
      <c r="K115">
        <v>0</v>
      </c>
      <c r="N115" s="51">
        <v>0</v>
      </c>
      <c r="O115" s="51"/>
    </row>
    <row r="116" spans="1:17">
      <c r="A116" s="6">
        <v>46084</v>
      </c>
      <c r="B116" s="4">
        <v>0</v>
      </c>
      <c r="C116" s="143">
        <v>0</v>
      </c>
      <c r="D116" s="4">
        <v>45</v>
      </c>
      <c r="E116" s="4">
        <v>1</v>
      </c>
      <c r="F116" s="4">
        <v>50</v>
      </c>
      <c r="G116" s="10">
        <f t="shared" si="21"/>
        <v>0</v>
      </c>
      <c r="H116" s="4">
        <v>0</v>
      </c>
      <c r="I116" s="5">
        <f t="shared" si="30"/>
        <v>0</v>
      </c>
      <c r="J116" s="5">
        <f t="shared" si="31"/>
        <v>0</v>
      </c>
      <c r="K116">
        <v>0</v>
      </c>
      <c r="N116" s="51">
        <v>0</v>
      </c>
    </row>
    <row r="117" spans="1:17">
      <c r="A117" s="6">
        <v>46085</v>
      </c>
      <c r="B117" s="4">
        <v>0</v>
      </c>
      <c r="C117" s="143">
        <v>0</v>
      </c>
      <c r="D117" s="4">
        <v>45</v>
      </c>
      <c r="E117" s="4">
        <v>1</v>
      </c>
      <c r="F117" s="4">
        <v>0</v>
      </c>
      <c r="G117" s="10">
        <f t="shared" si="21"/>
        <v>0</v>
      </c>
      <c r="H117" s="4">
        <v>0</v>
      </c>
      <c r="I117" s="5">
        <f t="shared" si="30"/>
        <v>0</v>
      </c>
      <c r="J117" s="5">
        <f t="shared" si="31"/>
        <v>0</v>
      </c>
      <c r="K117">
        <v>0</v>
      </c>
      <c r="N117" s="51">
        <v>0</v>
      </c>
      <c r="Q117" t="s">
        <v>64</v>
      </c>
    </row>
    <row r="118" spans="1:17">
      <c r="A118" s="6">
        <v>46086</v>
      </c>
      <c r="B118" s="4">
        <v>0</v>
      </c>
      <c r="C118" s="143">
        <v>0</v>
      </c>
      <c r="D118" s="4">
        <v>45</v>
      </c>
      <c r="E118" s="4">
        <v>1</v>
      </c>
      <c r="F118" s="4">
        <v>50</v>
      </c>
      <c r="G118" s="10">
        <f t="shared" si="21"/>
        <v>0</v>
      </c>
      <c r="H118" s="4">
        <v>0</v>
      </c>
      <c r="I118" s="5">
        <f t="shared" si="30"/>
        <v>0</v>
      </c>
      <c r="J118" s="5">
        <f t="shared" si="31"/>
        <v>0</v>
      </c>
      <c r="K118">
        <v>0</v>
      </c>
      <c r="N118" s="51">
        <v>0</v>
      </c>
    </row>
    <row r="119" spans="1:17">
      <c r="A119" s="6">
        <v>46087</v>
      </c>
      <c r="B119" s="4">
        <v>0</v>
      </c>
      <c r="C119" s="143">
        <v>0</v>
      </c>
      <c r="D119" s="4">
        <v>45</v>
      </c>
      <c r="E119" s="4">
        <v>1</v>
      </c>
      <c r="F119" s="4">
        <v>50</v>
      </c>
      <c r="G119" s="10">
        <f t="shared" si="21"/>
        <v>0</v>
      </c>
      <c r="H119" s="4">
        <v>0</v>
      </c>
      <c r="I119" s="5">
        <f t="shared" si="30"/>
        <v>0</v>
      </c>
      <c r="J119" s="5">
        <f t="shared" si="31"/>
        <v>0</v>
      </c>
      <c r="K119">
        <v>0</v>
      </c>
      <c r="N119" s="51">
        <v>0</v>
      </c>
    </row>
    <row r="120" spans="1:17">
      <c r="A120" s="6">
        <v>46088</v>
      </c>
      <c r="B120" s="4">
        <v>0</v>
      </c>
      <c r="C120" s="143">
        <v>0</v>
      </c>
      <c r="D120" s="4">
        <v>45</v>
      </c>
      <c r="E120" s="4">
        <v>1</v>
      </c>
      <c r="F120" s="4">
        <v>50</v>
      </c>
      <c r="G120" s="10">
        <f t="shared" si="21"/>
        <v>0</v>
      </c>
      <c r="H120" s="4">
        <v>0</v>
      </c>
      <c r="I120" s="5">
        <f t="shared" si="30"/>
        <v>0</v>
      </c>
      <c r="J120" s="5">
        <f t="shared" si="31"/>
        <v>0</v>
      </c>
      <c r="K120">
        <v>0</v>
      </c>
      <c r="N120" s="51">
        <v>0</v>
      </c>
    </row>
    <row r="121" spans="1:17" ht="16" thickBot="1">
      <c r="A121" s="6">
        <v>46089</v>
      </c>
      <c r="B121" s="4">
        <v>0</v>
      </c>
      <c r="C121" s="143">
        <v>0</v>
      </c>
      <c r="D121" s="4">
        <v>45</v>
      </c>
      <c r="E121" s="4">
        <v>1</v>
      </c>
      <c r="F121" s="4">
        <v>50</v>
      </c>
      <c r="G121" s="10">
        <f t="shared" si="21"/>
        <v>0</v>
      </c>
      <c r="H121" s="4">
        <v>0</v>
      </c>
      <c r="I121" s="5">
        <f t="shared" si="30"/>
        <v>0</v>
      </c>
      <c r="J121" s="5">
        <f t="shared" si="31"/>
        <v>0</v>
      </c>
      <c r="K121">
        <v>0</v>
      </c>
      <c r="N121" s="51">
        <v>0</v>
      </c>
    </row>
    <row r="122" spans="1:17" ht="20" thickBot="1">
      <c r="A122" s="72"/>
      <c r="B122" s="117"/>
      <c r="C122" s="139"/>
      <c r="D122" s="117"/>
      <c r="E122" s="117"/>
      <c r="F122" s="117"/>
      <c r="G122" s="120"/>
      <c r="H122" s="44"/>
      <c r="I122" s="47"/>
      <c r="J122" s="47"/>
      <c r="K122" s="44"/>
      <c r="L122" s="46"/>
      <c r="M122" s="69"/>
      <c r="N122" s="63"/>
      <c r="O122" s="90"/>
      <c r="P122" s="54"/>
      <c r="Q122" s="54"/>
    </row>
    <row r="123" spans="1:17">
      <c r="A123" s="6"/>
      <c r="B123" s="4"/>
      <c r="C123" s="4"/>
      <c r="D123" s="143"/>
      <c r="E123" s="4"/>
      <c r="F123" s="4"/>
      <c r="G123" s="10"/>
      <c r="H123" s="4"/>
      <c r="I123" s="5"/>
      <c r="J123" s="5"/>
      <c r="N123" s="51"/>
      <c r="O123" s="51"/>
    </row>
    <row r="124" spans="1:17">
      <c r="A124" s="6"/>
      <c r="B124" s="4"/>
      <c r="C124" s="4"/>
      <c r="D124" s="143"/>
      <c r="E124" s="4"/>
      <c r="F124" s="4"/>
      <c r="G124" s="10"/>
      <c r="H124" s="4"/>
      <c r="I124" s="5"/>
      <c r="J124" s="5"/>
      <c r="N124" s="51"/>
    </row>
    <row r="125" spans="1:17">
      <c r="A125" s="6"/>
      <c r="B125" s="4"/>
      <c r="C125" s="4"/>
      <c r="D125" s="143"/>
      <c r="E125" s="4"/>
      <c r="F125" s="4"/>
      <c r="G125" s="10"/>
      <c r="H125" s="4"/>
      <c r="I125" s="5"/>
      <c r="J125" s="5"/>
      <c r="N125" s="51"/>
    </row>
    <row r="126" spans="1:17">
      <c r="A126" s="6"/>
      <c r="B126" s="4"/>
      <c r="C126" s="4"/>
      <c r="D126" s="143"/>
      <c r="E126" s="4"/>
      <c r="F126" s="4"/>
      <c r="G126" s="10"/>
      <c r="H126" s="4"/>
      <c r="I126" s="5"/>
      <c r="J126" s="5"/>
      <c r="N126" s="51"/>
    </row>
    <row r="127" spans="1:17">
      <c r="A127" s="6"/>
      <c r="B127" s="4"/>
      <c r="C127" s="4"/>
      <c r="D127" s="143"/>
      <c r="E127" s="4"/>
      <c r="F127" s="4"/>
      <c r="G127" s="10"/>
      <c r="H127" s="4"/>
      <c r="I127" s="5"/>
      <c r="J127" s="5"/>
      <c r="N127" s="51"/>
    </row>
    <row r="128" spans="1:17">
      <c r="A128" s="6"/>
      <c r="B128" s="4"/>
      <c r="C128" s="4"/>
      <c r="D128" s="143"/>
      <c r="E128" s="4"/>
      <c r="F128" s="4"/>
      <c r="G128" s="10"/>
      <c r="H128" s="4"/>
      <c r="I128" s="5"/>
      <c r="J128" s="5"/>
      <c r="N128" s="51"/>
    </row>
    <row r="129" spans="1:17" ht="16" thickBot="1">
      <c r="A129" s="6"/>
      <c r="B129" s="4"/>
      <c r="C129" s="4"/>
      <c r="D129" s="143"/>
      <c r="E129" s="4"/>
      <c r="F129" s="4"/>
      <c r="G129" s="10"/>
      <c r="H129" s="4"/>
      <c r="I129" s="5"/>
      <c r="J129" s="5"/>
      <c r="N129" s="51"/>
    </row>
    <row r="130" spans="1:17" s="86" customFormat="1" ht="20" thickBot="1">
      <c r="A130" s="91" t="s">
        <v>255</v>
      </c>
      <c r="B130" s="103">
        <f>SUM(B131:B137)</f>
        <v>30</v>
      </c>
      <c r="C130" s="103">
        <f>SUM(C131:C137)</f>
        <v>116</v>
      </c>
      <c r="D130" s="126">
        <f>SUM(D131)</f>
        <v>45</v>
      </c>
      <c r="E130" s="126">
        <f>SUM(E131:E137)</f>
        <v>5</v>
      </c>
      <c r="F130" s="126">
        <f>SUM(F131:F137)</f>
        <v>350</v>
      </c>
      <c r="G130" s="123">
        <f t="shared" ref="G130:G143" si="32">B130+C130/60</f>
        <v>31.933333333333334</v>
      </c>
      <c r="H130" s="8">
        <f>SUM(H131:H137)</f>
        <v>687.4</v>
      </c>
      <c r="I130" s="14">
        <f>SUM(I131:I137)</f>
        <v>1437</v>
      </c>
      <c r="J130" s="14">
        <f>SUM(J131:J137)</f>
        <v>749.6</v>
      </c>
      <c r="K130" s="8">
        <f>SUM(K131:K137)</f>
        <v>67</v>
      </c>
      <c r="L130" s="9">
        <v>0</v>
      </c>
      <c r="M130" s="96">
        <f>J130</f>
        <v>749.6</v>
      </c>
      <c r="N130" s="102">
        <f>SUM(N132:N137)</f>
        <v>2005</v>
      </c>
      <c r="O130" s="98">
        <f>2455-N130</f>
        <v>450</v>
      </c>
    </row>
    <row r="131" spans="1:17">
      <c r="A131" s="80" t="s">
        <v>709</v>
      </c>
      <c r="B131" s="4">
        <v>7</v>
      </c>
      <c r="C131" s="4">
        <v>3</v>
      </c>
      <c r="D131" s="4">
        <v>45</v>
      </c>
      <c r="E131" s="4">
        <v>1</v>
      </c>
      <c r="F131" s="4">
        <v>50</v>
      </c>
      <c r="G131" s="10">
        <f t="shared" si="32"/>
        <v>7.05</v>
      </c>
      <c r="H131" s="4">
        <f>50+245.4</f>
        <v>295.39999999999998</v>
      </c>
      <c r="I131" s="5">
        <f>G131*D131</f>
        <v>317.25</v>
      </c>
      <c r="J131" s="5">
        <f>I131-H131</f>
        <v>21.850000000000023</v>
      </c>
      <c r="K131">
        <v>0</v>
      </c>
      <c r="N131" s="51">
        <v>0</v>
      </c>
      <c r="O131" s="51"/>
      <c r="P131" t="s">
        <v>710</v>
      </c>
    </row>
    <row r="132" spans="1:17">
      <c r="A132" s="80" t="s">
        <v>711</v>
      </c>
      <c r="B132" s="4">
        <v>7</v>
      </c>
      <c r="C132" s="4">
        <v>16</v>
      </c>
      <c r="D132" s="4">
        <v>45</v>
      </c>
      <c r="E132" s="4">
        <v>1</v>
      </c>
      <c r="F132" s="4">
        <v>50</v>
      </c>
      <c r="G132" s="10">
        <f t="shared" si="32"/>
        <v>7.2666666666666666</v>
      </c>
      <c r="H132" s="4">
        <v>50</v>
      </c>
      <c r="I132" s="5">
        <f>G132*D132</f>
        <v>327</v>
      </c>
      <c r="J132" s="5">
        <f>I132-H132</f>
        <v>277</v>
      </c>
      <c r="K132">
        <v>14</v>
      </c>
      <c r="N132" s="83">
        <v>0</v>
      </c>
    </row>
    <row r="133" spans="1:17">
      <c r="A133" s="80" t="s">
        <v>698</v>
      </c>
      <c r="B133" s="4">
        <v>2</v>
      </c>
      <c r="C133" s="4">
        <v>40</v>
      </c>
      <c r="D133" s="4">
        <v>45</v>
      </c>
      <c r="E133" s="4">
        <v>1</v>
      </c>
      <c r="F133" s="4">
        <v>50</v>
      </c>
      <c r="G133" s="10">
        <f t="shared" si="32"/>
        <v>2.6666666666666665</v>
      </c>
      <c r="H133" s="4">
        <f>192+50</f>
        <v>242</v>
      </c>
      <c r="I133" s="5">
        <f>G133*D133</f>
        <v>120</v>
      </c>
      <c r="J133" s="5">
        <f>I133-H133</f>
        <v>-122</v>
      </c>
      <c r="K133">
        <v>11</v>
      </c>
      <c r="N133" s="83">
        <v>0</v>
      </c>
      <c r="P133" t="s">
        <v>712</v>
      </c>
      <c r="Q133" t="s">
        <v>64</v>
      </c>
    </row>
    <row r="134" spans="1:17">
      <c r="A134" s="80" t="s">
        <v>699</v>
      </c>
      <c r="B134" s="4">
        <v>0</v>
      </c>
      <c r="C134" s="4">
        <v>0</v>
      </c>
      <c r="D134" s="4">
        <v>45</v>
      </c>
      <c r="E134" s="4">
        <v>0</v>
      </c>
      <c r="F134" s="4">
        <v>50</v>
      </c>
      <c r="G134" s="10">
        <f t="shared" si="32"/>
        <v>0</v>
      </c>
      <c r="H134" s="4">
        <v>0</v>
      </c>
      <c r="I134" s="5"/>
      <c r="J134" s="5"/>
      <c r="K134">
        <v>20</v>
      </c>
      <c r="N134" s="83">
        <v>200</v>
      </c>
      <c r="P134" t="s">
        <v>239</v>
      </c>
    </row>
    <row r="135" spans="1:17">
      <c r="A135" s="80" t="s">
        <v>700</v>
      </c>
      <c r="B135" s="4">
        <v>7</v>
      </c>
      <c r="C135" s="4">
        <v>54</v>
      </c>
      <c r="D135" s="4">
        <v>45</v>
      </c>
      <c r="E135" s="4">
        <v>1</v>
      </c>
      <c r="F135" s="4">
        <v>50</v>
      </c>
      <c r="G135" s="10">
        <f t="shared" si="32"/>
        <v>7.9</v>
      </c>
      <c r="H135" s="4">
        <v>50</v>
      </c>
      <c r="I135" s="5">
        <f>G135*D135</f>
        <v>355.5</v>
      </c>
      <c r="J135" s="5">
        <f>I135-H135</f>
        <v>305.5</v>
      </c>
      <c r="K135">
        <v>0</v>
      </c>
      <c r="N135" s="51">
        <v>100</v>
      </c>
      <c r="P135" t="s">
        <v>77</v>
      </c>
    </row>
    <row r="136" spans="1:17">
      <c r="A136" s="80" t="s">
        <v>701</v>
      </c>
      <c r="B136" s="4">
        <v>7</v>
      </c>
      <c r="C136" s="4">
        <v>3</v>
      </c>
      <c r="D136" s="4">
        <v>45</v>
      </c>
      <c r="E136" s="4">
        <v>1</v>
      </c>
      <c r="F136" s="4">
        <v>50</v>
      </c>
      <c r="G136" s="10">
        <f t="shared" si="32"/>
        <v>7.05</v>
      </c>
      <c r="H136" s="4">
        <v>50</v>
      </c>
      <c r="I136" s="5">
        <f>G136*D136</f>
        <v>317.25</v>
      </c>
      <c r="J136" s="5">
        <f>I136-H136</f>
        <v>267.25</v>
      </c>
      <c r="K136">
        <v>22</v>
      </c>
      <c r="N136" s="51">
        <f>150+180</f>
        <v>330</v>
      </c>
      <c r="P136" t="s">
        <v>713</v>
      </c>
    </row>
    <row r="137" spans="1:17" ht="16" thickBot="1">
      <c r="A137" s="6">
        <v>46089</v>
      </c>
      <c r="B137" s="4">
        <v>0</v>
      </c>
      <c r="C137" s="4">
        <v>0</v>
      </c>
      <c r="D137" s="4">
        <v>45</v>
      </c>
      <c r="E137" s="4">
        <v>0</v>
      </c>
      <c r="F137" s="4">
        <v>50</v>
      </c>
      <c r="G137" s="10">
        <f t="shared" si="32"/>
        <v>0</v>
      </c>
      <c r="H137" s="4">
        <v>0</v>
      </c>
      <c r="I137" s="5">
        <f>G137*D137</f>
        <v>0</v>
      </c>
      <c r="J137" s="5">
        <f>I137-H137</f>
        <v>0</v>
      </c>
      <c r="K137">
        <v>0</v>
      </c>
      <c r="N137" s="51">
        <f>100+1275</f>
        <v>1375</v>
      </c>
      <c r="P137" t="s">
        <v>77</v>
      </c>
    </row>
    <row r="138" spans="1:17" ht="20" thickBot="1">
      <c r="A138" s="72" t="s">
        <v>258</v>
      </c>
      <c r="B138" s="139">
        <f>SUM(B139:B145)</f>
        <v>0</v>
      </c>
      <c r="C138" s="139">
        <f>SUM(C139:C145)</f>
        <v>0</v>
      </c>
      <c r="D138" s="117">
        <f>SUM(D139)</f>
        <v>45</v>
      </c>
      <c r="E138" s="117">
        <f>SUM(E139:E145)</f>
        <v>0</v>
      </c>
      <c r="F138" s="117">
        <f>SUM(F139:F145)</f>
        <v>350</v>
      </c>
      <c r="G138" s="120">
        <f t="shared" si="32"/>
        <v>0</v>
      </c>
      <c r="H138" s="44">
        <f>SUM(H139:H145)</f>
        <v>0</v>
      </c>
      <c r="I138" s="47">
        <f>SUM(I139:I145)</f>
        <v>0</v>
      </c>
      <c r="J138" s="47">
        <f>SUM(J139:J145)</f>
        <v>0</v>
      </c>
      <c r="K138" s="44">
        <f>SUM(K139:K145)</f>
        <v>0</v>
      </c>
      <c r="L138" s="46">
        <v>0</v>
      </c>
      <c r="M138" s="69">
        <f>J138</f>
        <v>0</v>
      </c>
      <c r="N138" s="63">
        <f>SUM(N139:N145)</f>
        <v>0</v>
      </c>
      <c r="O138" s="90"/>
      <c r="P138" s="54"/>
      <c r="Q138" s="54"/>
    </row>
    <row r="139" spans="1:17">
      <c r="A139" s="6">
        <v>46083</v>
      </c>
      <c r="B139" s="4">
        <v>0</v>
      </c>
      <c r="C139" s="4">
        <v>0</v>
      </c>
      <c r="D139" s="143">
        <v>45</v>
      </c>
      <c r="E139" s="4">
        <v>0</v>
      </c>
      <c r="F139" s="4">
        <v>50</v>
      </c>
      <c r="G139" s="10">
        <f t="shared" si="32"/>
        <v>0</v>
      </c>
      <c r="H139" s="4">
        <v>0</v>
      </c>
      <c r="I139" s="5">
        <f>G139*D139</f>
        <v>0</v>
      </c>
      <c r="J139" s="5">
        <f>I139-H139</f>
        <v>0</v>
      </c>
      <c r="K139">
        <v>0</v>
      </c>
      <c r="N139" s="51">
        <v>0</v>
      </c>
      <c r="O139" s="51"/>
    </row>
    <row r="140" spans="1:17">
      <c r="A140" s="6">
        <v>46084</v>
      </c>
      <c r="B140" s="4">
        <v>0</v>
      </c>
      <c r="C140" s="4">
        <v>0</v>
      </c>
      <c r="D140" s="143">
        <v>45</v>
      </c>
      <c r="E140" s="4">
        <v>0</v>
      </c>
      <c r="F140" s="4">
        <v>50</v>
      </c>
      <c r="G140" s="10">
        <f t="shared" si="32"/>
        <v>0</v>
      </c>
      <c r="H140" s="4">
        <v>0</v>
      </c>
      <c r="I140" s="5">
        <f>G140*D140</f>
        <v>0</v>
      </c>
      <c r="J140" s="5">
        <f>I140-H140</f>
        <v>0</v>
      </c>
      <c r="K140">
        <v>0</v>
      </c>
      <c r="N140" s="51">
        <v>0</v>
      </c>
    </row>
    <row r="141" spans="1:17">
      <c r="A141" s="6">
        <v>46085</v>
      </c>
      <c r="B141" s="4">
        <v>0</v>
      </c>
      <c r="C141" s="4">
        <v>0</v>
      </c>
      <c r="D141" s="143">
        <v>45</v>
      </c>
      <c r="E141" s="4">
        <v>0</v>
      </c>
      <c r="F141" s="4">
        <v>50</v>
      </c>
      <c r="G141" s="10">
        <f t="shared" si="32"/>
        <v>0</v>
      </c>
      <c r="H141" s="4">
        <v>0</v>
      </c>
      <c r="I141" s="5">
        <f>G141*D141</f>
        <v>0</v>
      </c>
      <c r="J141" s="5">
        <f>I141-H141</f>
        <v>0</v>
      </c>
      <c r="K141">
        <v>0</v>
      </c>
      <c r="N141" s="51">
        <v>0</v>
      </c>
      <c r="Q141" t="s">
        <v>64</v>
      </c>
    </row>
    <row r="142" spans="1:17">
      <c r="A142" s="6">
        <v>46086</v>
      </c>
      <c r="B142" s="4">
        <v>0</v>
      </c>
      <c r="C142" s="4">
        <v>0</v>
      </c>
      <c r="D142" s="143">
        <v>45</v>
      </c>
      <c r="E142" s="4">
        <v>0</v>
      </c>
      <c r="F142" s="4">
        <v>50</v>
      </c>
      <c r="G142" s="10">
        <f t="shared" si="32"/>
        <v>0</v>
      </c>
      <c r="H142" s="4">
        <v>0</v>
      </c>
      <c r="I142" s="5">
        <f>G142*D142</f>
        <v>0</v>
      </c>
      <c r="J142" s="5">
        <f>I142-H142</f>
        <v>0</v>
      </c>
      <c r="K142">
        <v>0</v>
      </c>
      <c r="N142" s="51">
        <v>0</v>
      </c>
    </row>
    <row r="143" spans="1:17">
      <c r="A143" s="6">
        <v>46087</v>
      </c>
      <c r="B143" s="4">
        <v>0</v>
      </c>
      <c r="C143" s="4">
        <v>0</v>
      </c>
      <c r="D143" s="143">
        <v>45</v>
      </c>
      <c r="E143" s="4">
        <v>0</v>
      </c>
      <c r="F143" s="4">
        <v>50</v>
      </c>
      <c r="G143" s="10">
        <f t="shared" si="32"/>
        <v>0</v>
      </c>
      <c r="H143" s="4">
        <v>0</v>
      </c>
      <c r="I143" s="5">
        <f>G143*D143</f>
        <v>0</v>
      </c>
      <c r="J143" s="5">
        <f>I143-H143</f>
        <v>0</v>
      </c>
      <c r="K143">
        <v>0</v>
      </c>
      <c r="N143" s="51">
        <v>0</v>
      </c>
    </row>
    <row r="144" spans="1:17">
      <c r="A144" s="6">
        <v>46088</v>
      </c>
      <c r="B144" s="4">
        <v>0</v>
      </c>
      <c r="C144" s="4">
        <v>0</v>
      </c>
      <c r="D144" s="143">
        <v>45</v>
      </c>
      <c r="E144" s="4">
        <v>0</v>
      </c>
      <c r="F144" s="4">
        <v>50</v>
      </c>
      <c r="G144" s="10">
        <v>0</v>
      </c>
      <c r="H144" s="4">
        <v>0</v>
      </c>
      <c r="I144" s="5">
        <v>0</v>
      </c>
      <c r="J144" s="5">
        <v>0</v>
      </c>
      <c r="K144">
        <v>0</v>
      </c>
      <c r="N144" s="51">
        <v>0</v>
      </c>
    </row>
    <row r="145" spans="1:17" ht="16" thickBot="1">
      <c r="A145" s="6">
        <v>46089</v>
      </c>
      <c r="B145" s="4">
        <v>0</v>
      </c>
      <c r="C145" s="4">
        <v>0</v>
      </c>
      <c r="D145" s="143">
        <v>45</v>
      </c>
      <c r="E145" s="4">
        <v>0</v>
      </c>
      <c r="F145" s="4">
        <v>50</v>
      </c>
      <c r="G145" s="10">
        <f t="shared" ref="G145:G192" si="33">B145+C145/60</f>
        <v>0</v>
      </c>
      <c r="H145" s="4">
        <v>0</v>
      </c>
      <c r="I145" s="5">
        <f>G145*D145</f>
        <v>0</v>
      </c>
      <c r="J145" s="5">
        <f>I145-H145</f>
        <v>0</v>
      </c>
      <c r="K145">
        <v>0</v>
      </c>
      <c r="N145" s="51">
        <v>0</v>
      </c>
    </row>
    <row r="146" spans="1:17" s="86" customFormat="1" ht="20" thickBot="1">
      <c r="A146" s="91" t="s">
        <v>334</v>
      </c>
      <c r="B146" s="126">
        <f>SUM(B147:B162)</f>
        <v>217</v>
      </c>
      <c r="C146" s="126">
        <f>SUM(C147:C162)</f>
        <v>582</v>
      </c>
      <c r="D146" s="8">
        <f>SUM(D147)</f>
        <v>45</v>
      </c>
      <c r="E146" s="8">
        <f>SUM(E147:E152)</f>
        <v>5</v>
      </c>
      <c r="F146" s="8">
        <f>SUM(F147:F152)</f>
        <v>300</v>
      </c>
      <c r="G146" s="93">
        <f t="shared" si="33"/>
        <v>226.7</v>
      </c>
      <c r="H146" s="8">
        <f>SUM(H147:H153)</f>
        <v>598.5</v>
      </c>
      <c r="I146" s="9">
        <f>SUM(I147:I153)</f>
        <v>2258.0833333333335</v>
      </c>
      <c r="J146" s="14">
        <f>SUM(J147:J153)</f>
        <v>1659.5833333333333</v>
      </c>
      <c r="K146" s="8">
        <f>SUM(K147:K153)</f>
        <v>137</v>
      </c>
      <c r="L146" s="9">
        <v>0</v>
      </c>
      <c r="M146" s="96">
        <f>J146</f>
        <v>1659.5833333333333</v>
      </c>
      <c r="N146" s="102">
        <f>SUM(N147:N153)</f>
        <v>4115</v>
      </c>
      <c r="O146" s="98">
        <f>4311-N146</f>
        <v>196</v>
      </c>
    </row>
    <row r="147" spans="1:17">
      <c r="A147" s="6">
        <v>46083</v>
      </c>
      <c r="B147" s="4">
        <v>0</v>
      </c>
      <c r="C147" s="4">
        <v>0</v>
      </c>
      <c r="D147" s="143">
        <v>45</v>
      </c>
      <c r="E147" s="4">
        <v>0</v>
      </c>
      <c r="F147" s="4">
        <v>50</v>
      </c>
      <c r="G147" s="10">
        <f t="shared" si="33"/>
        <v>0</v>
      </c>
      <c r="H147" s="4">
        <v>0</v>
      </c>
      <c r="I147" s="5">
        <f t="shared" ref="I147:I153" si="34">G147*D147</f>
        <v>0</v>
      </c>
      <c r="J147" s="5">
        <f t="shared" ref="J147:J153" si="35">I147-H147</f>
        <v>0</v>
      </c>
      <c r="K147">
        <v>0</v>
      </c>
      <c r="N147" s="51">
        <v>0</v>
      </c>
      <c r="O147" s="51"/>
    </row>
    <row r="148" spans="1:17">
      <c r="A148" s="6">
        <v>46084</v>
      </c>
      <c r="B148" s="4">
        <v>7</v>
      </c>
      <c r="C148" s="4">
        <v>32</v>
      </c>
      <c r="D148" s="143">
        <v>45</v>
      </c>
      <c r="E148" s="4">
        <v>1</v>
      </c>
      <c r="F148" s="4">
        <v>50</v>
      </c>
      <c r="G148" s="10">
        <f t="shared" si="33"/>
        <v>7.5333333333333332</v>
      </c>
      <c r="H148" s="4">
        <f>50+29.7</f>
        <v>79.7</v>
      </c>
      <c r="I148" s="5">
        <f t="shared" si="34"/>
        <v>339</v>
      </c>
      <c r="J148" s="5">
        <f t="shared" si="35"/>
        <v>259.3</v>
      </c>
      <c r="K148">
        <v>18</v>
      </c>
      <c r="N148" s="83">
        <v>610</v>
      </c>
      <c r="P148" t="s">
        <v>714</v>
      </c>
    </row>
    <row r="149" spans="1:17">
      <c r="A149" s="6">
        <v>46085</v>
      </c>
      <c r="B149" s="4">
        <v>8</v>
      </c>
      <c r="C149" s="4">
        <v>50</v>
      </c>
      <c r="D149" s="143">
        <v>55</v>
      </c>
      <c r="E149" s="4">
        <v>1</v>
      </c>
      <c r="F149" s="4">
        <v>50</v>
      </c>
      <c r="G149" s="10">
        <f t="shared" si="33"/>
        <v>8.8333333333333339</v>
      </c>
      <c r="H149" s="4">
        <f>50+100.2</f>
        <v>150.19999999999999</v>
      </c>
      <c r="I149" s="5">
        <f t="shared" si="34"/>
        <v>485.83333333333337</v>
      </c>
      <c r="J149" s="5">
        <f t="shared" si="35"/>
        <v>335.63333333333338</v>
      </c>
      <c r="K149">
        <v>29</v>
      </c>
      <c r="N149" s="83">
        <v>740</v>
      </c>
      <c r="P149" t="s">
        <v>715</v>
      </c>
      <c r="Q149" t="s">
        <v>64</v>
      </c>
    </row>
    <row r="150" spans="1:17">
      <c r="A150" s="6">
        <v>46086</v>
      </c>
      <c r="B150" s="4">
        <v>8</v>
      </c>
      <c r="C150" s="4">
        <v>8</v>
      </c>
      <c r="D150" s="143">
        <v>45</v>
      </c>
      <c r="E150" s="4">
        <v>1</v>
      </c>
      <c r="F150" s="4">
        <v>50</v>
      </c>
      <c r="G150" s="10">
        <f t="shared" si="33"/>
        <v>8.1333333333333329</v>
      </c>
      <c r="H150" s="4">
        <f>50+74.7</f>
        <v>124.7</v>
      </c>
      <c r="I150" s="5">
        <f t="shared" si="34"/>
        <v>366</v>
      </c>
      <c r="J150" s="5">
        <f t="shared" si="35"/>
        <v>241.3</v>
      </c>
      <c r="K150">
        <v>19</v>
      </c>
      <c r="N150" s="51">
        <f>150+320+150</f>
        <v>620</v>
      </c>
      <c r="P150" t="s">
        <v>716</v>
      </c>
    </row>
    <row r="151" spans="1:17">
      <c r="A151" s="6">
        <v>46087</v>
      </c>
      <c r="B151" s="4">
        <v>7</v>
      </c>
      <c r="C151" s="4">
        <v>18</v>
      </c>
      <c r="D151" s="143">
        <v>45</v>
      </c>
      <c r="E151" s="4">
        <v>1</v>
      </c>
      <c r="F151" s="4">
        <v>50</v>
      </c>
      <c r="G151" s="10">
        <f t="shared" si="33"/>
        <v>7.3</v>
      </c>
      <c r="H151" s="4">
        <f>50+64.2</f>
        <v>114.2</v>
      </c>
      <c r="I151" s="5">
        <f t="shared" si="34"/>
        <v>328.5</v>
      </c>
      <c r="J151" s="5">
        <f t="shared" si="35"/>
        <v>214.3</v>
      </c>
      <c r="K151">
        <v>20</v>
      </c>
      <c r="N151" s="83">
        <v>451</v>
      </c>
      <c r="P151" t="s">
        <v>717</v>
      </c>
    </row>
    <row r="152" spans="1:17">
      <c r="A152" s="6">
        <v>46088</v>
      </c>
      <c r="B152" s="4">
        <v>10</v>
      </c>
      <c r="C152" s="4">
        <v>6</v>
      </c>
      <c r="D152" s="143">
        <v>45</v>
      </c>
      <c r="E152" s="4">
        <v>1</v>
      </c>
      <c r="F152" s="4">
        <v>50</v>
      </c>
      <c r="G152" s="10">
        <f t="shared" si="33"/>
        <v>10.1</v>
      </c>
      <c r="H152" s="4">
        <f>50+29.7</f>
        <v>79.7</v>
      </c>
      <c r="I152" s="5">
        <f t="shared" si="34"/>
        <v>454.5</v>
      </c>
      <c r="J152" s="5">
        <f t="shared" si="35"/>
        <v>374.8</v>
      </c>
      <c r="K152">
        <v>25</v>
      </c>
      <c r="N152" s="83">
        <f>870+624</f>
        <v>1494</v>
      </c>
      <c r="P152" t="s">
        <v>714</v>
      </c>
    </row>
    <row r="153" spans="1:17" ht="16" thickBot="1">
      <c r="A153" s="6">
        <v>46089</v>
      </c>
      <c r="B153" s="4">
        <v>6</v>
      </c>
      <c r="C153" s="4">
        <v>19</v>
      </c>
      <c r="D153" s="143">
        <v>45</v>
      </c>
      <c r="E153" s="4">
        <v>1</v>
      </c>
      <c r="F153" s="4">
        <v>50</v>
      </c>
      <c r="G153" s="10">
        <f t="shared" si="33"/>
        <v>6.3166666666666664</v>
      </c>
      <c r="H153" s="4">
        <v>50</v>
      </c>
      <c r="I153" s="5">
        <f t="shared" si="34"/>
        <v>284.25</v>
      </c>
      <c r="J153" s="5">
        <f t="shared" si="35"/>
        <v>234.25</v>
      </c>
      <c r="K153">
        <v>26</v>
      </c>
      <c r="N153" s="83">
        <v>200</v>
      </c>
      <c r="P153" t="s">
        <v>718</v>
      </c>
    </row>
    <row r="154" spans="1:17" s="86" customFormat="1" ht="20" thickBot="1">
      <c r="A154" s="91" t="s">
        <v>352</v>
      </c>
      <c r="B154" s="8">
        <f>SUM(B155:B161)</f>
        <v>63</v>
      </c>
      <c r="C154" s="8">
        <f>SUM(C155:C161)</f>
        <v>169</v>
      </c>
      <c r="D154" s="8">
        <f>SUM(D155)</f>
        <v>65</v>
      </c>
      <c r="E154" s="8">
        <f>SUM(E155:E161)</f>
        <v>6</v>
      </c>
      <c r="F154" s="8">
        <f>SUM(F155:F161)</f>
        <v>350</v>
      </c>
      <c r="G154" s="93">
        <f t="shared" si="33"/>
        <v>65.816666666666663</v>
      </c>
      <c r="H154" s="8">
        <f>SUM(H155:H161)</f>
        <v>374.1</v>
      </c>
      <c r="I154" s="9">
        <f>SUM(I155:I161)</f>
        <v>4278.083333333333</v>
      </c>
      <c r="J154" s="14">
        <f>SUM(J155:J161)</f>
        <v>3903.9833333333336</v>
      </c>
      <c r="K154" s="8">
        <f>SUM(K155:K161)</f>
        <v>210</v>
      </c>
      <c r="L154" s="9">
        <v>300</v>
      </c>
      <c r="M154" s="96">
        <f>J154+L154</f>
        <v>4203.9833333333336</v>
      </c>
      <c r="N154" s="102">
        <f>SUM(N155:N161)</f>
        <v>5850</v>
      </c>
      <c r="O154" s="98">
        <f>5919-N154</f>
        <v>69</v>
      </c>
    </row>
    <row r="155" spans="1:17">
      <c r="A155" s="80" t="s">
        <v>709</v>
      </c>
      <c r="B155" s="4">
        <v>9</v>
      </c>
      <c r="C155" s="4">
        <v>39</v>
      </c>
      <c r="D155" s="4">
        <v>65</v>
      </c>
      <c r="E155" s="4">
        <v>1</v>
      </c>
      <c r="F155" s="4">
        <v>50</v>
      </c>
      <c r="G155" s="10">
        <f t="shared" si="33"/>
        <v>9.65</v>
      </c>
      <c r="H155" s="4">
        <f>50+74.1</f>
        <v>124.1</v>
      </c>
      <c r="I155" s="5">
        <f t="shared" ref="I155:I161" si="36">G155*D155</f>
        <v>627.25</v>
      </c>
      <c r="J155" s="5">
        <f t="shared" ref="J155:J161" si="37">I155-H155</f>
        <v>503.15</v>
      </c>
      <c r="K155">
        <v>32</v>
      </c>
      <c r="N155" s="51">
        <v>1110</v>
      </c>
      <c r="O155" s="51"/>
      <c r="P155" t="s">
        <v>719</v>
      </c>
    </row>
    <row r="156" spans="1:17">
      <c r="A156" s="80" t="s">
        <v>711</v>
      </c>
      <c r="B156" s="4">
        <v>0</v>
      </c>
      <c r="C156" s="4">
        <v>0</v>
      </c>
      <c r="D156" s="4">
        <v>45</v>
      </c>
      <c r="E156" s="4">
        <v>0</v>
      </c>
      <c r="F156" s="4">
        <v>50</v>
      </c>
      <c r="G156" s="10">
        <f t="shared" si="33"/>
        <v>0</v>
      </c>
      <c r="H156" s="4">
        <v>0</v>
      </c>
      <c r="I156" s="5">
        <f t="shared" si="36"/>
        <v>0</v>
      </c>
      <c r="J156" s="5">
        <f t="shared" si="37"/>
        <v>0</v>
      </c>
      <c r="K156">
        <v>0</v>
      </c>
      <c r="N156" s="51">
        <v>640</v>
      </c>
    </row>
    <row r="157" spans="1:17">
      <c r="A157" s="80" t="s">
        <v>698</v>
      </c>
      <c r="B157" s="4">
        <v>11</v>
      </c>
      <c r="C157" s="4">
        <v>16</v>
      </c>
      <c r="D157" s="4">
        <v>65</v>
      </c>
      <c r="E157" s="4">
        <v>1</v>
      </c>
      <c r="F157" s="4">
        <v>50</v>
      </c>
      <c r="G157" s="10">
        <f t="shared" si="33"/>
        <v>11.266666666666667</v>
      </c>
      <c r="H157" s="4">
        <v>50</v>
      </c>
      <c r="I157" s="5">
        <f t="shared" si="36"/>
        <v>732.33333333333337</v>
      </c>
      <c r="J157" s="5">
        <f t="shared" si="37"/>
        <v>682.33333333333337</v>
      </c>
      <c r="K157">
        <v>36</v>
      </c>
      <c r="N157" s="83">
        <v>1000</v>
      </c>
      <c r="P157" t="s">
        <v>720</v>
      </c>
      <c r="Q157" t="s">
        <v>64</v>
      </c>
    </row>
    <row r="158" spans="1:17">
      <c r="A158" s="80" t="s">
        <v>699</v>
      </c>
      <c r="B158" s="4">
        <v>11</v>
      </c>
      <c r="C158" s="4">
        <v>20</v>
      </c>
      <c r="D158" s="4">
        <v>65</v>
      </c>
      <c r="E158" s="4">
        <v>1</v>
      </c>
      <c r="F158" s="4">
        <v>50</v>
      </c>
      <c r="G158" s="10">
        <f t="shared" si="33"/>
        <v>11.333333333333334</v>
      </c>
      <c r="H158" s="4">
        <v>50</v>
      </c>
      <c r="I158" s="5">
        <f t="shared" si="36"/>
        <v>736.66666666666674</v>
      </c>
      <c r="J158" s="5">
        <f t="shared" si="37"/>
        <v>686.66666666666674</v>
      </c>
      <c r="K158">
        <v>36</v>
      </c>
    </row>
    <row r="159" spans="1:17">
      <c r="A159" s="80" t="s">
        <v>700</v>
      </c>
      <c r="B159" s="4">
        <v>11</v>
      </c>
      <c r="C159" s="4">
        <v>19</v>
      </c>
      <c r="D159" s="4">
        <v>65</v>
      </c>
      <c r="E159" s="4">
        <v>1</v>
      </c>
      <c r="F159" s="4">
        <v>50</v>
      </c>
      <c r="G159" s="10">
        <f t="shared" si="33"/>
        <v>11.316666666666666</v>
      </c>
      <c r="H159" s="4">
        <v>50</v>
      </c>
      <c r="I159" s="5">
        <f t="shared" si="36"/>
        <v>735.58333333333337</v>
      </c>
      <c r="J159" s="5">
        <f t="shared" si="37"/>
        <v>685.58333333333337</v>
      </c>
      <c r="K159">
        <v>33</v>
      </c>
      <c r="N159" s="51">
        <v>900</v>
      </c>
    </row>
    <row r="160" spans="1:17">
      <c r="A160" s="80" t="s">
        <v>701</v>
      </c>
      <c r="B160" s="4">
        <v>10</v>
      </c>
      <c r="C160" s="4">
        <v>59</v>
      </c>
      <c r="D160" s="4">
        <v>65</v>
      </c>
      <c r="E160" s="4">
        <v>1</v>
      </c>
      <c r="F160" s="4">
        <v>50</v>
      </c>
      <c r="G160" s="10">
        <f t="shared" si="33"/>
        <v>10.983333333333333</v>
      </c>
      <c r="H160" s="4">
        <v>50</v>
      </c>
      <c r="I160" s="5">
        <f t="shared" si="36"/>
        <v>713.91666666666663</v>
      </c>
      <c r="J160" s="5">
        <f t="shared" si="37"/>
        <v>663.91666666666663</v>
      </c>
      <c r="K160">
        <v>38</v>
      </c>
      <c r="N160" s="51">
        <f>200+930</f>
        <v>1130</v>
      </c>
      <c r="P160" t="s">
        <v>309</v>
      </c>
    </row>
    <row r="161" spans="1:17" ht="16" thickBot="1">
      <c r="A161" s="80" t="s">
        <v>681</v>
      </c>
      <c r="B161" s="4">
        <v>11</v>
      </c>
      <c r="C161" s="4">
        <v>16</v>
      </c>
      <c r="D161" s="4">
        <v>65</v>
      </c>
      <c r="E161" s="4">
        <v>1</v>
      </c>
      <c r="F161" s="4">
        <v>50</v>
      </c>
      <c r="G161" s="10">
        <f t="shared" si="33"/>
        <v>11.266666666666667</v>
      </c>
      <c r="H161" s="4">
        <v>50</v>
      </c>
      <c r="I161" s="5">
        <f t="shared" si="36"/>
        <v>732.33333333333337</v>
      </c>
      <c r="J161" s="5">
        <f t="shared" si="37"/>
        <v>682.33333333333337</v>
      </c>
      <c r="K161">
        <v>35</v>
      </c>
      <c r="N161" s="51">
        <v>1070</v>
      </c>
    </row>
    <row r="162" spans="1:17" ht="20" thickBot="1">
      <c r="A162" s="72" t="s">
        <v>721</v>
      </c>
      <c r="B162" s="140">
        <f>SUM(B163:B169)</f>
        <v>45</v>
      </c>
      <c r="C162" s="140">
        <f>SUM(C163:C169)</f>
        <v>111</v>
      </c>
      <c r="D162" s="117">
        <f>SUM(D163)</f>
        <v>45</v>
      </c>
      <c r="E162" s="117">
        <f>SUM(E163:E169)</f>
        <v>6</v>
      </c>
      <c r="F162" s="117">
        <f>SUM(F163:F169)</f>
        <v>350</v>
      </c>
      <c r="G162" s="120">
        <f t="shared" si="33"/>
        <v>46.85</v>
      </c>
      <c r="H162" s="44">
        <f>SUM(H163:H169)</f>
        <v>300</v>
      </c>
      <c r="I162" s="46">
        <f>SUM(I163:I169)</f>
        <v>2108.25</v>
      </c>
      <c r="J162" s="47">
        <f>SUM(J163:J169)</f>
        <v>1808.25</v>
      </c>
      <c r="K162" s="44">
        <f>SUM(K163:K169)</f>
        <v>95</v>
      </c>
      <c r="L162" s="46">
        <v>0</v>
      </c>
      <c r="M162" s="69">
        <f>J162</f>
        <v>1808.25</v>
      </c>
      <c r="N162" s="63">
        <f>SUM(N163:N169)</f>
        <v>1128</v>
      </c>
      <c r="O162" s="90">
        <f>2482-N162</f>
        <v>1354</v>
      </c>
      <c r="P162" s="54"/>
      <c r="Q162" s="54"/>
    </row>
    <row r="163" spans="1:17">
      <c r="A163" s="6">
        <v>46083</v>
      </c>
      <c r="B163" s="7">
        <v>6</v>
      </c>
      <c r="C163" s="7">
        <v>14</v>
      </c>
      <c r="D163" s="4">
        <v>45</v>
      </c>
      <c r="E163" s="4">
        <v>1</v>
      </c>
      <c r="F163" s="4">
        <v>50</v>
      </c>
      <c r="G163" s="10">
        <f t="shared" si="33"/>
        <v>6.2333333333333334</v>
      </c>
      <c r="H163" s="4">
        <v>50</v>
      </c>
      <c r="I163" s="5">
        <f t="shared" ref="I163:I169" si="38">G163*D163</f>
        <v>280.5</v>
      </c>
      <c r="J163" s="5">
        <f t="shared" ref="J163:J169" si="39">I163-H163</f>
        <v>230.5</v>
      </c>
      <c r="K163">
        <v>11</v>
      </c>
      <c r="N163" s="51">
        <v>100</v>
      </c>
      <c r="O163" s="51"/>
    </row>
    <row r="164" spans="1:17">
      <c r="A164" s="6">
        <v>46084</v>
      </c>
      <c r="B164" s="4">
        <v>0</v>
      </c>
      <c r="C164" s="4">
        <v>0</v>
      </c>
      <c r="D164" s="4">
        <v>45</v>
      </c>
      <c r="E164" s="4">
        <v>0</v>
      </c>
      <c r="F164" s="4">
        <v>50</v>
      </c>
      <c r="G164" s="10">
        <f t="shared" si="33"/>
        <v>0</v>
      </c>
      <c r="H164" s="4">
        <v>0</v>
      </c>
      <c r="I164" s="5">
        <f t="shared" si="38"/>
        <v>0</v>
      </c>
      <c r="J164" s="5">
        <f t="shared" si="39"/>
        <v>0</v>
      </c>
      <c r="K164">
        <v>0</v>
      </c>
      <c r="N164" s="83">
        <v>188</v>
      </c>
    </row>
    <row r="165" spans="1:17">
      <c r="A165" s="6">
        <v>46085</v>
      </c>
      <c r="B165" s="4">
        <v>7</v>
      </c>
      <c r="C165" s="4">
        <v>9</v>
      </c>
      <c r="D165" s="4">
        <v>45</v>
      </c>
      <c r="E165" s="4">
        <v>1</v>
      </c>
      <c r="F165" s="4">
        <v>50</v>
      </c>
      <c r="G165" s="10">
        <f t="shared" si="33"/>
        <v>7.15</v>
      </c>
      <c r="H165" s="4">
        <v>50</v>
      </c>
      <c r="I165" s="5">
        <f t="shared" si="38"/>
        <v>321.75</v>
      </c>
      <c r="J165" s="5">
        <f t="shared" si="39"/>
        <v>271.75</v>
      </c>
      <c r="K165">
        <v>9</v>
      </c>
      <c r="N165" s="51">
        <v>0</v>
      </c>
      <c r="Q165" t="s">
        <v>64</v>
      </c>
    </row>
    <row r="166" spans="1:17">
      <c r="A166" s="6">
        <v>46086</v>
      </c>
      <c r="B166" s="4">
        <v>3</v>
      </c>
      <c r="C166" s="4">
        <v>54</v>
      </c>
      <c r="D166" s="4">
        <v>45</v>
      </c>
      <c r="E166" s="4">
        <v>1</v>
      </c>
      <c r="F166" s="4">
        <v>50</v>
      </c>
      <c r="G166" s="10">
        <f t="shared" si="33"/>
        <v>3.9</v>
      </c>
      <c r="H166" s="4">
        <v>50</v>
      </c>
      <c r="I166" s="5">
        <f t="shared" si="38"/>
        <v>175.5</v>
      </c>
      <c r="J166" s="5">
        <f t="shared" si="39"/>
        <v>125.5</v>
      </c>
      <c r="K166">
        <v>9</v>
      </c>
      <c r="N166" s="51">
        <v>0</v>
      </c>
    </row>
    <row r="167" spans="1:17">
      <c r="A167" s="6">
        <v>46087</v>
      </c>
      <c r="B167" s="4">
        <v>10</v>
      </c>
      <c r="C167" s="4">
        <v>17</v>
      </c>
      <c r="D167" s="4">
        <v>45</v>
      </c>
      <c r="E167" s="4">
        <v>1</v>
      </c>
      <c r="F167" s="4">
        <v>50</v>
      </c>
      <c r="G167" s="10">
        <f t="shared" si="33"/>
        <v>10.283333333333333</v>
      </c>
      <c r="H167" s="4">
        <v>50</v>
      </c>
      <c r="I167" s="5">
        <f t="shared" si="38"/>
        <v>462.75</v>
      </c>
      <c r="J167" s="5">
        <f t="shared" si="39"/>
        <v>412.75</v>
      </c>
      <c r="K167">
        <v>18</v>
      </c>
      <c r="N167" s="83"/>
    </row>
    <row r="168" spans="1:17">
      <c r="A168" s="6">
        <v>46088</v>
      </c>
      <c r="B168" s="4">
        <v>10</v>
      </c>
      <c r="C168" s="4">
        <v>2</v>
      </c>
      <c r="D168" s="4">
        <v>45</v>
      </c>
      <c r="E168" s="4">
        <v>1</v>
      </c>
      <c r="F168" s="4">
        <v>50</v>
      </c>
      <c r="G168" s="10">
        <f t="shared" si="33"/>
        <v>10.033333333333333</v>
      </c>
      <c r="H168" s="4">
        <v>50</v>
      </c>
      <c r="I168" s="5">
        <f t="shared" si="38"/>
        <v>451.5</v>
      </c>
      <c r="J168" s="5">
        <f t="shared" si="39"/>
        <v>401.5</v>
      </c>
      <c r="K168">
        <v>25</v>
      </c>
      <c r="N168" s="51">
        <v>240</v>
      </c>
    </row>
    <row r="169" spans="1:17" ht="16" thickBot="1">
      <c r="A169" s="6">
        <v>46089</v>
      </c>
      <c r="B169" s="4">
        <v>9</v>
      </c>
      <c r="C169" s="4">
        <v>15</v>
      </c>
      <c r="D169" s="4">
        <v>45</v>
      </c>
      <c r="E169" s="4">
        <v>1</v>
      </c>
      <c r="F169" s="4">
        <v>50</v>
      </c>
      <c r="G169" s="10">
        <f t="shared" si="33"/>
        <v>9.25</v>
      </c>
      <c r="H169" s="4">
        <v>50</v>
      </c>
      <c r="I169" s="5">
        <f t="shared" si="38"/>
        <v>416.25</v>
      </c>
      <c r="J169" s="5">
        <f t="shared" si="39"/>
        <v>366.25</v>
      </c>
      <c r="K169">
        <v>23</v>
      </c>
      <c r="N169" s="51">
        <v>600</v>
      </c>
    </row>
    <row r="170" spans="1:17" ht="20" thickBot="1">
      <c r="A170" s="91"/>
      <c r="B170" s="8">
        <f>SUM(B171:B177)</f>
        <v>0</v>
      </c>
      <c r="C170" s="8">
        <f>SUM(C171:C177)</f>
        <v>0</v>
      </c>
      <c r="D170" s="8">
        <v>45</v>
      </c>
      <c r="E170" s="8">
        <f>SUM(E171:E177)</f>
        <v>7</v>
      </c>
      <c r="F170" s="8">
        <f>SUM(F171:F177)</f>
        <v>350</v>
      </c>
      <c r="G170" s="93">
        <f t="shared" si="33"/>
        <v>0</v>
      </c>
      <c r="H170" s="8">
        <f>SUM(H171:H177)</f>
        <v>0</v>
      </c>
      <c r="I170" s="9">
        <f>SUM(I171:I177)</f>
        <v>0</v>
      </c>
      <c r="J170" s="14">
        <f>SUM(J171:J177)</f>
        <v>0</v>
      </c>
      <c r="K170" s="8">
        <f>SUM(K171:K177)</f>
        <v>0</v>
      </c>
      <c r="L170" s="9">
        <v>0</v>
      </c>
      <c r="M170" s="96">
        <f>J170</f>
        <v>0</v>
      </c>
      <c r="N170" s="102">
        <f>SUM(N171:N177)</f>
        <v>0</v>
      </c>
      <c r="O170" s="98">
        <f>-N170</f>
        <v>0</v>
      </c>
      <c r="P170" s="86"/>
      <c r="Q170" s="86"/>
    </row>
    <row r="171" spans="1:17">
      <c r="A171" s="6">
        <v>46083</v>
      </c>
      <c r="B171" s="4">
        <v>0</v>
      </c>
      <c r="C171" s="4">
        <v>0</v>
      </c>
      <c r="D171" s="4">
        <v>45</v>
      </c>
      <c r="E171" s="4">
        <v>1</v>
      </c>
      <c r="F171" s="4">
        <v>50</v>
      </c>
      <c r="G171" s="10">
        <f t="shared" si="33"/>
        <v>0</v>
      </c>
      <c r="H171" s="4">
        <v>0</v>
      </c>
      <c r="I171" s="5">
        <f t="shared" ref="I171:I177" si="40">G171*D171</f>
        <v>0</v>
      </c>
      <c r="J171" s="5">
        <f t="shared" ref="J171:J177" si="41">I171-H171</f>
        <v>0</v>
      </c>
      <c r="K171">
        <v>0</v>
      </c>
      <c r="N171" s="51">
        <v>0</v>
      </c>
      <c r="O171" s="51"/>
    </row>
    <row r="172" spans="1:17">
      <c r="A172" s="6">
        <v>46084</v>
      </c>
      <c r="B172" s="4">
        <v>0</v>
      </c>
      <c r="C172" s="4">
        <v>0</v>
      </c>
      <c r="D172" s="4">
        <v>45</v>
      </c>
      <c r="E172" s="4">
        <v>1</v>
      </c>
      <c r="F172" s="4">
        <v>50</v>
      </c>
      <c r="G172" s="10">
        <f t="shared" si="33"/>
        <v>0</v>
      </c>
      <c r="H172" s="4">
        <v>0</v>
      </c>
      <c r="I172" s="5">
        <f t="shared" si="40"/>
        <v>0</v>
      </c>
      <c r="J172" s="5">
        <f t="shared" si="41"/>
        <v>0</v>
      </c>
      <c r="K172">
        <v>0</v>
      </c>
      <c r="N172" s="51">
        <v>0</v>
      </c>
    </row>
    <row r="173" spans="1:17">
      <c r="A173" s="6">
        <v>46085</v>
      </c>
      <c r="B173" s="4">
        <v>0</v>
      </c>
      <c r="C173" s="4">
        <v>0</v>
      </c>
      <c r="D173" s="4">
        <v>45</v>
      </c>
      <c r="E173" s="4">
        <v>1</v>
      </c>
      <c r="F173" s="4">
        <v>50</v>
      </c>
      <c r="G173" s="10">
        <f t="shared" si="33"/>
        <v>0</v>
      </c>
      <c r="H173" s="4">
        <v>0</v>
      </c>
      <c r="I173" s="5">
        <f t="shared" si="40"/>
        <v>0</v>
      </c>
      <c r="J173" s="5">
        <f t="shared" si="41"/>
        <v>0</v>
      </c>
      <c r="K173">
        <v>0</v>
      </c>
      <c r="N173" s="51">
        <v>0</v>
      </c>
      <c r="Q173" t="s">
        <v>64</v>
      </c>
    </row>
    <row r="174" spans="1:17">
      <c r="A174" s="6">
        <v>46086</v>
      </c>
      <c r="B174" s="4">
        <v>0</v>
      </c>
      <c r="C174" s="4">
        <v>0</v>
      </c>
      <c r="D174" s="4">
        <v>45</v>
      </c>
      <c r="E174" s="4">
        <v>1</v>
      </c>
      <c r="F174" s="4">
        <v>50</v>
      </c>
      <c r="G174" s="10">
        <f t="shared" si="33"/>
        <v>0</v>
      </c>
      <c r="H174" s="4">
        <v>0</v>
      </c>
      <c r="I174" s="5">
        <f t="shared" si="40"/>
        <v>0</v>
      </c>
      <c r="J174" s="5">
        <f t="shared" si="41"/>
        <v>0</v>
      </c>
      <c r="K174">
        <v>0</v>
      </c>
      <c r="N174" s="51">
        <v>0</v>
      </c>
    </row>
    <row r="175" spans="1:17">
      <c r="A175" s="6">
        <v>46087</v>
      </c>
      <c r="B175" s="4">
        <v>0</v>
      </c>
      <c r="C175" s="4">
        <v>0</v>
      </c>
      <c r="D175" s="4">
        <v>45</v>
      </c>
      <c r="E175" s="4">
        <v>1</v>
      </c>
      <c r="F175" s="4">
        <v>50</v>
      </c>
      <c r="G175" s="10">
        <f t="shared" si="33"/>
        <v>0</v>
      </c>
      <c r="H175" s="4">
        <v>0</v>
      </c>
      <c r="I175" s="5">
        <f t="shared" si="40"/>
        <v>0</v>
      </c>
      <c r="J175" s="5">
        <f t="shared" si="41"/>
        <v>0</v>
      </c>
      <c r="K175">
        <v>0</v>
      </c>
      <c r="N175" s="51">
        <v>0</v>
      </c>
    </row>
    <row r="176" spans="1:17">
      <c r="A176" s="6">
        <v>46088</v>
      </c>
      <c r="B176" s="4">
        <v>0</v>
      </c>
      <c r="C176" s="4">
        <v>0</v>
      </c>
      <c r="D176" s="4">
        <v>45</v>
      </c>
      <c r="E176" s="4">
        <v>1</v>
      </c>
      <c r="F176" s="4">
        <v>50</v>
      </c>
      <c r="G176" s="10">
        <f t="shared" si="33"/>
        <v>0</v>
      </c>
      <c r="H176" s="4">
        <v>0</v>
      </c>
      <c r="I176" s="5">
        <f t="shared" si="40"/>
        <v>0</v>
      </c>
      <c r="J176" s="5">
        <f t="shared" si="41"/>
        <v>0</v>
      </c>
      <c r="K176">
        <v>0</v>
      </c>
      <c r="N176" s="51">
        <v>0</v>
      </c>
    </row>
    <row r="177" spans="1:26" ht="16" thickBot="1">
      <c r="A177" s="6">
        <v>46089</v>
      </c>
      <c r="B177" s="4">
        <v>0</v>
      </c>
      <c r="C177" s="4">
        <v>0</v>
      </c>
      <c r="D177" s="4">
        <v>45</v>
      </c>
      <c r="E177" s="4">
        <v>1</v>
      </c>
      <c r="F177" s="4">
        <v>50</v>
      </c>
      <c r="G177" s="10">
        <f t="shared" si="33"/>
        <v>0</v>
      </c>
      <c r="H177" s="4">
        <v>0</v>
      </c>
      <c r="I177" s="5">
        <f t="shared" si="40"/>
        <v>0</v>
      </c>
      <c r="J177" s="5">
        <f t="shared" si="41"/>
        <v>0</v>
      </c>
      <c r="K177">
        <v>0</v>
      </c>
      <c r="N177" s="51">
        <v>0</v>
      </c>
    </row>
    <row r="178" spans="1:26" ht="20" thickBot="1">
      <c r="A178" s="72" t="s">
        <v>337</v>
      </c>
      <c r="B178" s="44">
        <f>SUM(B179:B185)</f>
        <v>51</v>
      </c>
      <c r="C178" s="44">
        <f>SUM(C179:C185)</f>
        <v>163</v>
      </c>
      <c r="D178" s="117">
        <f>SUM(D179)</f>
        <v>55</v>
      </c>
      <c r="E178" s="117">
        <f>SUM(E179:E185)</f>
        <v>5</v>
      </c>
      <c r="F178" s="117">
        <f>SUM(F179:F185)</f>
        <v>350</v>
      </c>
      <c r="G178" s="120">
        <f t="shared" si="33"/>
        <v>53.716666666666669</v>
      </c>
      <c r="H178" s="44">
        <f>SUM(H179:H185)</f>
        <v>250</v>
      </c>
      <c r="I178" s="46">
        <f>SUM(I179:I185)</f>
        <v>2521.083333333333</v>
      </c>
      <c r="J178" s="47">
        <f>SUM(J179:J185)</f>
        <v>2271.083333333333</v>
      </c>
      <c r="K178" s="44">
        <f>SUM(K179:K185)</f>
        <v>102</v>
      </c>
      <c r="L178" s="46">
        <v>0</v>
      </c>
      <c r="M178" s="69">
        <f>J178</f>
        <v>2271.083333333333</v>
      </c>
      <c r="N178" s="63">
        <f>SUM(N179:N185)</f>
        <v>3960</v>
      </c>
      <c r="O178" s="90">
        <f>3960-N178</f>
        <v>0</v>
      </c>
      <c r="P178" s="54"/>
      <c r="Q178" s="54"/>
    </row>
    <row r="179" spans="1:26">
      <c r="A179" s="80" t="s">
        <v>722</v>
      </c>
      <c r="B179" s="4">
        <v>10</v>
      </c>
      <c r="C179" s="4">
        <v>23</v>
      </c>
      <c r="D179" s="4">
        <v>55</v>
      </c>
      <c r="E179" s="4">
        <v>1</v>
      </c>
      <c r="F179" s="4">
        <v>50</v>
      </c>
      <c r="G179" s="10">
        <f t="shared" si="33"/>
        <v>10.383333333333333</v>
      </c>
      <c r="H179" s="4">
        <v>50</v>
      </c>
      <c r="I179" s="5">
        <f t="shared" ref="I179:I185" si="42">G179*D179</f>
        <v>571.08333333333326</v>
      </c>
      <c r="J179" s="5">
        <f t="shared" ref="J179:J185" si="43">I179-H179</f>
        <v>521.08333333333326</v>
      </c>
      <c r="K179">
        <v>27</v>
      </c>
      <c r="N179" s="51"/>
      <c r="O179" s="51"/>
    </row>
    <row r="180" spans="1:26">
      <c r="A180" s="80" t="s">
        <v>355</v>
      </c>
      <c r="B180" s="4">
        <v>10</v>
      </c>
      <c r="C180" s="4">
        <v>3</v>
      </c>
      <c r="D180" s="4">
        <v>45</v>
      </c>
      <c r="E180" s="4">
        <v>1</v>
      </c>
      <c r="F180" s="4">
        <v>50</v>
      </c>
      <c r="G180" s="10">
        <f t="shared" si="33"/>
        <v>10.050000000000001</v>
      </c>
      <c r="H180" s="4">
        <v>50</v>
      </c>
      <c r="I180" s="5">
        <f t="shared" si="42"/>
        <v>452.25000000000006</v>
      </c>
      <c r="J180" s="5">
        <f t="shared" si="43"/>
        <v>402.25000000000006</v>
      </c>
      <c r="K180">
        <v>18</v>
      </c>
      <c r="N180" s="51">
        <v>445</v>
      </c>
      <c r="O180" s="51"/>
    </row>
    <row r="181" spans="1:26">
      <c r="A181" s="80" t="s">
        <v>698</v>
      </c>
      <c r="B181" s="4">
        <v>10</v>
      </c>
      <c r="C181" s="4">
        <v>54</v>
      </c>
      <c r="D181" s="4">
        <v>45</v>
      </c>
      <c r="E181" s="4">
        <v>1</v>
      </c>
      <c r="F181" s="4">
        <v>50</v>
      </c>
      <c r="G181" s="10">
        <f t="shared" si="33"/>
        <v>10.9</v>
      </c>
      <c r="H181" s="4">
        <v>50</v>
      </c>
      <c r="I181" s="5">
        <f t="shared" si="42"/>
        <v>490.5</v>
      </c>
      <c r="J181" s="5">
        <f t="shared" si="43"/>
        <v>440.5</v>
      </c>
      <c r="K181">
        <v>18</v>
      </c>
      <c r="N181" s="51">
        <v>1450</v>
      </c>
    </row>
    <row r="182" spans="1:26">
      <c r="A182" s="80" t="s">
        <v>699</v>
      </c>
      <c r="B182" s="4">
        <v>10</v>
      </c>
      <c r="C182" s="4">
        <v>34</v>
      </c>
      <c r="D182" s="4">
        <v>45</v>
      </c>
      <c r="E182" s="4">
        <v>1</v>
      </c>
      <c r="F182" s="4">
        <v>50</v>
      </c>
      <c r="G182" s="10">
        <f t="shared" si="33"/>
        <v>10.566666666666666</v>
      </c>
      <c r="H182" s="4">
        <v>50</v>
      </c>
      <c r="I182" s="5">
        <f t="shared" si="42"/>
        <v>475.5</v>
      </c>
      <c r="J182" s="5">
        <f t="shared" si="43"/>
        <v>425.5</v>
      </c>
      <c r="K182">
        <v>19</v>
      </c>
      <c r="N182" s="51">
        <v>820</v>
      </c>
      <c r="Q182" t="s">
        <v>64</v>
      </c>
    </row>
    <row r="183" spans="1:26">
      <c r="A183" s="80" t="s">
        <v>700</v>
      </c>
      <c r="B183" s="4">
        <v>11</v>
      </c>
      <c r="C183" s="4">
        <v>49</v>
      </c>
      <c r="D183" s="4">
        <v>45</v>
      </c>
      <c r="E183" s="4">
        <v>1</v>
      </c>
      <c r="F183" s="4">
        <v>50</v>
      </c>
      <c r="G183" s="10">
        <f t="shared" si="33"/>
        <v>11.816666666666666</v>
      </c>
      <c r="H183" s="4">
        <v>50</v>
      </c>
      <c r="I183" s="5">
        <f t="shared" si="42"/>
        <v>531.75</v>
      </c>
      <c r="J183" s="5">
        <f t="shared" si="43"/>
        <v>481.75</v>
      </c>
      <c r="K183">
        <v>20</v>
      </c>
      <c r="N183" s="51">
        <v>650</v>
      </c>
    </row>
    <row r="184" spans="1:26">
      <c r="A184" s="80" t="s">
        <v>670</v>
      </c>
      <c r="B184" s="4">
        <v>0</v>
      </c>
      <c r="C184" s="4">
        <v>0</v>
      </c>
      <c r="D184" s="4">
        <v>45</v>
      </c>
      <c r="E184" s="4">
        <v>0</v>
      </c>
      <c r="F184" s="4">
        <v>50</v>
      </c>
      <c r="G184" s="10">
        <f t="shared" si="33"/>
        <v>0</v>
      </c>
      <c r="H184" s="4">
        <v>0</v>
      </c>
      <c r="I184" s="5">
        <f t="shared" si="42"/>
        <v>0</v>
      </c>
      <c r="J184" s="5">
        <f t="shared" si="43"/>
        <v>0</v>
      </c>
      <c r="K184">
        <v>0</v>
      </c>
      <c r="N184" s="51">
        <v>565</v>
      </c>
    </row>
    <row r="185" spans="1:26" ht="16" thickBot="1">
      <c r="A185" s="80"/>
      <c r="B185" s="4">
        <v>0</v>
      </c>
      <c r="C185" s="4">
        <v>0</v>
      </c>
      <c r="D185" s="4">
        <v>45</v>
      </c>
      <c r="E185" s="4">
        <v>0</v>
      </c>
      <c r="F185" s="4">
        <v>50</v>
      </c>
      <c r="G185" s="10">
        <f t="shared" si="33"/>
        <v>0</v>
      </c>
      <c r="H185" s="4">
        <v>0</v>
      </c>
      <c r="I185" s="5">
        <f t="shared" si="42"/>
        <v>0</v>
      </c>
      <c r="J185" s="5">
        <f t="shared" si="43"/>
        <v>0</v>
      </c>
      <c r="K185">
        <v>0</v>
      </c>
      <c r="N185" s="51">
        <v>30</v>
      </c>
    </row>
    <row r="186" spans="1:26" ht="20" thickBot="1">
      <c r="A186" s="72" t="s">
        <v>346</v>
      </c>
      <c r="B186" s="44">
        <f>SUM(B187:B193)</f>
        <v>50</v>
      </c>
      <c r="C186" s="44">
        <f>SUM(C187:C193)</f>
        <v>210</v>
      </c>
      <c r="D186" s="44">
        <f>SUM(D187)</f>
        <v>55</v>
      </c>
      <c r="E186" s="44">
        <f>SUM(E187:E193)</f>
        <v>6</v>
      </c>
      <c r="F186" s="44">
        <f>SUM(F187:F193)</f>
        <v>350</v>
      </c>
      <c r="G186" s="67">
        <f t="shared" si="33"/>
        <v>53.5</v>
      </c>
      <c r="H186" s="44">
        <f>SUM(H187:H193)</f>
        <v>1007.1</v>
      </c>
      <c r="I186" s="46">
        <f>SUM(I187:I192)</f>
        <v>2510</v>
      </c>
      <c r="J186" s="47">
        <f>SUM(J187:J192)</f>
        <v>1502.9</v>
      </c>
      <c r="K186" s="44">
        <f>SUM(K187:K193)</f>
        <v>109</v>
      </c>
      <c r="L186" s="46">
        <v>0</v>
      </c>
      <c r="M186" s="69">
        <f>J186</f>
        <v>1502.9</v>
      </c>
      <c r="N186" s="63">
        <f>SUM(N187:N193)</f>
        <v>4473</v>
      </c>
      <c r="O186" s="90">
        <f>4185-N186</f>
        <v>-288</v>
      </c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>
      <c r="A187" s="80" t="s">
        <v>709</v>
      </c>
      <c r="B187" s="4">
        <v>10</v>
      </c>
      <c r="C187" s="4">
        <v>15</v>
      </c>
      <c r="D187" s="4">
        <v>55</v>
      </c>
      <c r="E187" s="4">
        <v>1</v>
      </c>
      <c r="F187" s="4">
        <v>50</v>
      </c>
      <c r="G187" s="10">
        <f t="shared" si="33"/>
        <v>10.25</v>
      </c>
      <c r="H187" s="4">
        <v>189.2</v>
      </c>
      <c r="I187" s="5">
        <f t="shared" ref="I187:I192" si="44">G187*D187</f>
        <v>563.75</v>
      </c>
      <c r="J187" s="5">
        <f t="shared" ref="J187:J192" si="45">I187-H187</f>
        <v>374.55</v>
      </c>
      <c r="K187">
        <v>28</v>
      </c>
      <c r="N187" s="51">
        <v>0</v>
      </c>
      <c r="O187" s="51"/>
    </row>
    <row r="188" spans="1:26">
      <c r="A188" s="80" t="s">
        <v>723</v>
      </c>
      <c r="B188" s="4">
        <v>10</v>
      </c>
      <c r="C188" s="4">
        <v>19</v>
      </c>
      <c r="D188" s="4">
        <v>45</v>
      </c>
      <c r="E188" s="4">
        <v>1</v>
      </c>
      <c r="F188" s="4">
        <v>50</v>
      </c>
      <c r="G188" s="10">
        <f t="shared" si="33"/>
        <v>10.316666666666666</v>
      </c>
      <c r="H188" s="4">
        <f>50+49.2</f>
        <v>99.2</v>
      </c>
      <c r="I188" s="5">
        <f t="shared" si="44"/>
        <v>464.25</v>
      </c>
      <c r="J188" s="5">
        <f t="shared" si="45"/>
        <v>365.05</v>
      </c>
      <c r="K188">
        <v>20</v>
      </c>
      <c r="N188" s="83">
        <f>933+52</f>
        <v>985</v>
      </c>
    </row>
    <row r="189" spans="1:26">
      <c r="A189" s="80" t="s">
        <v>724</v>
      </c>
      <c r="B189" s="4">
        <v>9</v>
      </c>
      <c r="C189" s="4">
        <v>39</v>
      </c>
      <c r="D189" s="4">
        <v>45</v>
      </c>
      <c r="E189" s="4">
        <v>1</v>
      </c>
      <c r="F189" s="4">
        <v>50</v>
      </c>
      <c r="G189" s="10">
        <f t="shared" si="33"/>
        <v>9.65</v>
      </c>
      <c r="H189" s="4">
        <f>50+146.1</f>
        <v>196.1</v>
      </c>
      <c r="I189" s="5">
        <f t="shared" si="44"/>
        <v>434.25</v>
      </c>
      <c r="J189" s="5">
        <f t="shared" si="45"/>
        <v>238.15</v>
      </c>
      <c r="K189">
        <v>22</v>
      </c>
      <c r="N189" s="83">
        <v>700</v>
      </c>
      <c r="Q189" t="s">
        <v>64</v>
      </c>
    </row>
    <row r="190" spans="1:26">
      <c r="A190" s="80" t="s">
        <v>699</v>
      </c>
      <c r="B190" s="4">
        <v>8</v>
      </c>
      <c r="C190" s="4">
        <v>59</v>
      </c>
      <c r="D190" s="4">
        <v>45</v>
      </c>
      <c r="E190" s="4">
        <v>1</v>
      </c>
      <c r="F190" s="4">
        <v>50</v>
      </c>
      <c r="G190" s="10">
        <f t="shared" si="33"/>
        <v>8.9833333333333325</v>
      </c>
      <c r="H190" s="4">
        <f>50+122.7</f>
        <v>172.7</v>
      </c>
      <c r="I190" s="5">
        <f t="shared" si="44"/>
        <v>404.24999999999994</v>
      </c>
      <c r="J190" s="5">
        <f t="shared" si="45"/>
        <v>231.54999999999995</v>
      </c>
      <c r="K190">
        <v>14</v>
      </c>
      <c r="N190" s="83">
        <v>710</v>
      </c>
    </row>
    <row r="191" spans="1:26">
      <c r="A191" s="80" t="s">
        <v>725</v>
      </c>
      <c r="B191" s="4">
        <v>7</v>
      </c>
      <c r="C191" s="4">
        <v>33</v>
      </c>
      <c r="D191" s="4">
        <v>45</v>
      </c>
      <c r="E191" s="4">
        <v>1</v>
      </c>
      <c r="F191" s="4">
        <v>50</v>
      </c>
      <c r="G191" s="10">
        <f t="shared" si="33"/>
        <v>7.55</v>
      </c>
      <c r="H191" s="4">
        <f>50+195.6</f>
        <v>245.6</v>
      </c>
      <c r="I191" s="5">
        <f t="shared" si="44"/>
        <v>339.75</v>
      </c>
      <c r="J191" s="5">
        <f t="shared" si="45"/>
        <v>94.15</v>
      </c>
      <c r="K191">
        <v>15</v>
      </c>
      <c r="N191" s="83">
        <v>728</v>
      </c>
    </row>
    <row r="192" spans="1:26">
      <c r="A192" s="80" t="s">
        <v>358</v>
      </c>
      <c r="B192" s="4">
        <v>6</v>
      </c>
      <c r="C192" s="4">
        <v>45</v>
      </c>
      <c r="D192" s="4">
        <v>45</v>
      </c>
      <c r="E192" s="4">
        <v>1</v>
      </c>
      <c r="F192" s="4">
        <v>50</v>
      </c>
      <c r="G192" s="10">
        <f t="shared" si="33"/>
        <v>6.75</v>
      </c>
      <c r="H192" s="4">
        <f>50+54.3</f>
        <v>104.3</v>
      </c>
      <c r="I192" s="5">
        <f t="shared" si="44"/>
        <v>303.75</v>
      </c>
      <c r="J192" s="5">
        <f t="shared" si="45"/>
        <v>199.45</v>
      </c>
      <c r="K192">
        <v>10</v>
      </c>
      <c r="N192" s="83">
        <f>295+200</f>
        <v>495</v>
      </c>
    </row>
    <row r="193" spans="1:17" ht="16" thickBot="1">
      <c r="A193" s="80"/>
      <c r="B193" s="4">
        <v>0</v>
      </c>
      <c r="C193" s="4">
        <v>0</v>
      </c>
      <c r="D193" s="4">
        <v>0</v>
      </c>
      <c r="E193" s="4">
        <v>0</v>
      </c>
      <c r="F193" s="4">
        <v>50</v>
      </c>
      <c r="G193" s="10">
        <v>0</v>
      </c>
      <c r="H193" s="4">
        <v>0</v>
      </c>
      <c r="I193" s="5">
        <v>0</v>
      </c>
      <c r="J193" s="5">
        <v>0</v>
      </c>
      <c r="K193">
        <v>0</v>
      </c>
      <c r="N193" s="83">
        <v>855</v>
      </c>
    </row>
    <row r="194" spans="1:17" s="54" customFormat="1" ht="20" thickBot="1">
      <c r="A194" s="72"/>
      <c r="B194" s="44">
        <f>SUM(B195:B201)</f>
        <v>0</v>
      </c>
      <c r="C194" s="44">
        <f>SUM(C195:C201)</f>
        <v>0</v>
      </c>
      <c r="D194" s="44">
        <f>SUM(D195)</f>
        <v>45</v>
      </c>
      <c r="E194" s="44">
        <f>SUM(E195:E201)</f>
        <v>7</v>
      </c>
      <c r="F194" s="44">
        <f>SUM(F195:F201)</f>
        <v>350</v>
      </c>
      <c r="G194" s="67">
        <f t="shared" ref="G194:G209" si="46">B194+C194/60</f>
        <v>0</v>
      </c>
      <c r="H194" s="44">
        <f>SUM(H195:H201)</f>
        <v>0</v>
      </c>
      <c r="I194" s="46">
        <f>SUM(I195:I201)</f>
        <v>0</v>
      </c>
      <c r="J194" s="47">
        <f>SUM(J195:J201)</f>
        <v>0</v>
      </c>
      <c r="K194" s="44">
        <f>SUM(K195:K201)</f>
        <v>0</v>
      </c>
      <c r="L194" s="46">
        <v>0</v>
      </c>
      <c r="M194" s="69">
        <f>J194</f>
        <v>0</v>
      </c>
      <c r="N194" s="63">
        <f>SUM(N195:N201)</f>
        <v>0</v>
      </c>
      <c r="O194" s="90">
        <v>0</v>
      </c>
    </row>
    <row r="195" spans="1:17">
      <c r="A195" s="6">
        <v>46076</v>
      </c>
      <c r="B195" s="4">
        <v>0</v>
      </c>
      <c r="C195" s="4">
        <v>0</v>
      </c>
      <c r="D195" s="4">
        <v>45</v>
      </c>
      <c r="E195" s="4">
        <v>1</v>
      </c>
      <c r="F195" s="4">
        <v>50</v>
      </c>
      <c r="G195" s="10">
        <f t="shared" si="46"/>
        <v>0</v>
      </c>
      <c r="H195" s="4">
        <v>0</v>
      </c>
      <c r="I195" s="5">
        <f t="shared" ref="I195:I201" si="47">G195*D195</f>
        <v>0</v>
      </c>
      <c r="J195" s="5">
        <f t="shared" ref="J195:J201" si="48">I195-H195</f>
        <v>0</v>
      </c>
      <c r="K195">
        <v>0</v>
      </c>
      <c r="N195" s="51">
        <v>0</v>
      </c>
      <c r="O195" s="51"/>
    </row>
    <row r="196" spans="1:17">
      <c r="A196" s="6">
        <v>46077</v>
      </c>
      <c r="B196" s="4">
        <v>0</v>
      </c>
      <c r="C196" s="4">
        <v>0</v>
      </c>
      <c r="D196" s="4">
        <v>45</v>
      </c>
      <c r="E196" s="4">
        <v>1</v>
      </c>
      <c r="F196" s="4">
        <v>50</v>
      </c>
      <c r="G196" s="10">
        <f t="shared" si="46"/>
        <v>0</v>
      </c>
      <c r="H196" s="4">
        <v>0</v>
      </c>
      <c r="I196" s="5">
        <f t="shared" si="47"/>
        <v>0</v>
      </c>
      <c r="J196" s="5">
        <f t="shared" si="48"/>
        <v>0</v>
      </c>
      <c r="K196">
        <v>0</v>
      </c>
      <c r="N196" s="51">
        <v>0</v>
      </c>
    </row>
    <row r="197" spans="1:17">
      <c r="A197" s="80" t="s">
        <v>361</v>
      </c>
      <c r="B197" s="4">
        <v>0</v>
      </c>
      <c r="C197" s="4">
        <v>0</v>
      </c>
      <c r="D197" s="4">
        <v>45</v>
      </c>
      <c r="E197" s="4">
        <v>1</v>
      </c>
      <c r="F197" s="4">
        <v>50</v>
      </c>
      <c r="G197" s="10">
        <f t="shared" si="46"/>
        <v>0</v>
      </c>
      <c r="H197" s="4">
        <v>0</v>
      </c>
      <c r="I197" s="5">
        <f t="shared" si="47"/>
        <v>0</v>
      </c>
      <c r="J197" s="5">
        <f t="shared" si="48"/>
        <v>0</v>
      </c>
      <c r="K197">
        <v>0</v>
      </c>
      <c r="N197" s="51">
        <v>0</v>
      </c>
      <c r="Q197" t="s">
        <v>64</v>
      </c>
    </row>
    <row r="198" spans="1:17">
      <c r="A198" s="6">
        <v>46079</v>
      </c>
      <c r="B198" s="4">
        <v>0</v>
      </c>
      <c r="C198" s="4">
        <v>0</v>
      </c>
      <c r="D198" s="4">
        <v>45</v>
      </c>
      <c r="E198" s="4">
        <v>1</v>
      </c>
      <c r="F198" s="4">
        <v>50</v>
      </c>
      <c r="G198" s="10">
        <f t="shared" si="46"/>
        <v>0</v>
      </c>
      <c r="H198" s="4">
        <v>0</v>
      </c>
      <c r="I198" s="5">
        <f t="shared" si="47"/>
        <v>0</v>
      </c>
      <c r="J198" s="5">
        <f t="shared" si="48"/>
        <v>0</v>
      </c>
      <c r="K198">
        <v>0</v>
      </c>
      <c r="N198" s="51">
        <v>0</v>
      </c>
    </row>
    <row r="199" spans="1:17">
      <c r="A199" s="6">
        <v>46080</v>
      </c>
      <c r="B199" s="4">
        <v>0</v>
      </c>
      <c r="C199" s="4">
        <v>0</v>
      </c>
      <c r="D199" s="4">
        <v>45</v>
      </c>
      <c r="E199" s="4">
        <v>1</v>
      </c>
      <c r="F199" s="4">
        <v>50</v>
      </c>
      <c r="G199" s="10">
        <f t="shared" si="46"/>
        <v>0</v>
      </c>
      <c r="H199" s="4">
        <v>0</v>
      </c>
      <c r="I199" s="5">
        <f t="shared" si="47"/>
        <v>0</v>
      </c>
      <c r="J199" s="5">
        <f t="shared" si="48"/>
        <v>0</v>
      </c>
      <c r="K199">
        <v>0</v>
      </c>
      <c r="N199" s="51">
        <v>0</v>
      </c>
    </row>
    <row r="200" spans="1:17">
      <c r="A200" s="6">
        <v>46081</v>
      </c>
      <c r="B200" s="4">
        <v>0</v>
      </c>
      <c r="C200" s="4">
        <v>0</v>
      </c>
      <c r="D200" s="4">
        <v>45</v>
      </c>
      <c r="E200" s="4">
        <v>1</v>
      </c>
      <c r="F200" s="4">
        <v>50</v>
      </c>
      <c r="G200" s="10">
        <f t="shared" si="46"/>
        <v>0</v>
      </c>
      <c r="H200" s="4">
        <v>0</v>
      </c>
      <c r="I200" s="5">
        <f t="shared" si="47"/>
        <v>0</v>
      </c>
      <c r="J200" s="5">
        <f t="shared" si="48"/>
        <v>0</v>
      </c>
      <c r="K200">
        <v>0</v>
      </c>
      <c r="N200" s="51">
        <v>0</v>
      </c>
    </row>
    <row r="201" spans="1:17" ht="16" thickBot="1">
      <c r="A201" s="6">
        <v>46082</v>
      </c>
      <c r="B201" s="4">
        <v>0</v>
      </c>
      <c r="C201" s="4">
        <v>0</v>
      </c>
      <c r="D201" s="4">
        <v>45</v>
      </c>
      <c r="E201" s="4">
        <v>1</v>
      </c>
      <c r="F201" s="4">
        <v>50</v>
      </c>
      <c r="G201" s="10">
        <f t="shared" si="46"/>
        <v>0</v>
      </c>
      <c r="H201" s="4">
        <v>0</v>
      </c>
      <c r="I201" s="5">
        <f t="shared" si="47"/>
        <v>0</v>
      </c>
      <c r="J201" s="5">
        <f t="shared" si="48"/>
        <v>0</v>
      </c>
      <c r="K201">
        <v>0</v>
      </c>
      <c r="N201" s="51">
        <v>0</v>
      </c>
    </row>
    <row r="202" spans="1:17" s="86" customFormat="1" ht="20" thickBot="1">
      <c r="A202" s="91" t="s">
        <v>452</v>
      </c>
      <c r="B202" s="8">
        <f>SUM(B203:B209)</f>
        <v>28</v>
      </c>
      <c r="C202" s="8">
        <f>SUM(C203:C209)</f>
        <v>134</v>
      </c>
      <c r="D202" s="8">
        <f>SUM(D203)</f>
        <v>45</v>
      </c>
      <c r="E202" s="8">
        <f>SUM(E203:E209)</f>
        <v>4</v>
      </c>
      <c r="F202" s="8">
        <f>SUM(F203:F209)</f>
        <v>350</v>
      </c>
      <c r="G202" s="93">
        <f t="shared" si="46"/>
        <v>30.233333333333334</v>
      </c>
      <c r="H202" s="8">
        <f>SUM(H203:H209)</f>
        <v>200</v>
      </c>
      <c r="I202" s="9">
        <f>SUM(I203:I209)</f>
        <v>1360.5</v>
      </c>
      <c r="J202" s="14">
        <f>SUM(J203:J209)</f>
        <v>1160.5</v>
      </c>
      <c r="K202" s="8">
        <f>SUM(K203:K209)</f>
        <v>55</v>
      </c>
      <c r="L202" s="9">
        <v>0</v>
      </c>
      <c r="M202" s="96">
        <f>J202</f>
        <v>1160.5</v>
      </c>
      <c r="N202" s="102">
        <f>SUM(N203:N209)</f>
        <v>3025</v>
      </c>
      <c r="O202" s="98">
        <f>3028-N202</f>
        <v>3</v>
      </c>
    </row>
    <row r="203" spans="1:17">
      <c r="A203" s="80" t="s">
        <v>709</v>
      </c>
      <c r="B203" s="4">
        <v>5</v>
      </c>
      <c r="C203" s="4">
        <v>55</v>
      </c>
      <c r="D203" s="4">
        <v>45</v>
      </c>
      <c r="E203" s="4">
        <v>1</v>
      </c>
      <c r="F203" s="4">
        <v>50</v>
      </c>
      <c r="G203" s="10">
        <f t="shared" si="46"/>
        <v>5.916666666666667</v>
      </c>
      <c r="H203" s="4">
        <v>50</v>
      </c>
      <c r="I203" s="5">
        <f t="shared" ref="I203:I209" si="49">G203*D203</f>
        <v>266.25</v>
      </c>
      <c r="J203" s="5">
        <f t="shared" ref="J203:J209" si="50">I203-H203</f>
        <v>216.25</v>
      </c>
      <c r="K203">
        <v>13</v>
      </c>
      <c r="N203" s="51">
        <v>0</v>
      </c>
      <c r="O203" s="51"/>
    </row>
    <row r="204" spans="1:17">
      <c r="A204" s="80" t="s">
        <v>711</v>
      </c>
      <c r="B204" s="4">
        <v>7</v>
      </c>
      <c r="C204" s="4">
        <v>5</v>
      </c>
      <c r="D204" s="4">
        <v>45</v>
      </c>
      <c r="E204" s="4">
        <v>1</v>
      </c>
      <c r="F204" s="4">
        <v>50</v>
      </c>
      <c r="G204" s="10">
        <f t="shared" si="46"/>
        <v>7.083333333333333</v>
      </c>
      <c r="H204" s="4">
        <v>50</v>
      </c>
      <c r="I204" s="5">
        <f t="shared" si="49"/>
        <v>318.75</v>
      </c>
      <c r="J204" s="5">
        <f t="shared" si="50"/>
        <v>268.75</v>
      </c>
      <c r="K204">
        <v>15</v>
      </c>
      <c r="N204" s="51">
        <v>0</v>
      </c>
    </row>
    <row r="205" spans="1:17">
      <c r="A205" s="80" t="s">
        <v>698</v>
      </c>
      <c r="B205" s="4">
        <v>0</v>
      </c>
      <c r="C205" s="4">
        <v>0</v>
      </c>
      <c r="D205" s="4">
        <v>45</v>
      </c>
      <c r="E205" s="4">
        <v>0</v>
      </c>
      <c r="F205" s="4">
        <v>50</v>
      </c>
      <c r="G205" s="10">
        <f t="shared" si="46"/>
        <v>0</v>
      </c>
      <c r="H205" s="4">
        <v>0</v>
      </c>
      <c r="I205" s="5">
        <f t="shared" si="49"/>
        <v>0</v>
      </c>
      <c r="J205" s="5">
        <f t="shared" si="50"/>
        <v>0</v>
      </c>
      <c r="K205">
        <v>0</v>
      </c>
      <c r="N205" s="51">
        <v>700</v>
      </c>
      <c r="Q205" t="s">
        <v>64</v>
      </c>
    </row>
    <row r="206" spans="1:17">
      <c r="A206" s="80" t="s">
        <v>699</v>
      </c>
      <c r="B206" s="4">
        <v>9</v>
      </c>
      <c r="C206" s="4">
        <v>27</v>
      </c>
      <c r="D206" s="4">
        <v>45</v>
      </c>
      <c r="E206" s="4">
        <v>1</v>
      </c>
      <c r="F206" s="4">
        <v>50</v>
      </c>
      <c r="G206" s="10">
        <f t="shared" si="46"/>
        <v>9.4499999999999993</v>
      </c>
      <c r="H206" s="4">
        <v>50</v>
      </c>
      <c r="I206" s="5">
        <f t="shared" si="49"/>
        <v>425.24999999999994</v>
      </c>
      <c r="J206" s="5">
        <f t="shared" si="50"/>
        <v>375.24999999999994</v>
      </c>
      <c r="K206">
        <v>15</v>
      </c>
      <c r="N206" s="51">
        <v>0</v>
      </c>
    </row>
    <row r="207" spans="1:17">
      <c r="A207" s="80" t="s">
        <v>700</v>
      </c>
      <c r="B207" s="4">
        <v>7</v>
      </c>
      <c r="C207" s="4">
        <v>47</v>
      </c>
      <c r="D207" s="4">
        <v>45</v>
      </c>
      <c r="E207" s="4">
        <v>1</v>
      </c>
      <c r="F207" s="4">
        <v>50</v>
      </c>
      <c r="G207" s="10">
        <f t="shared" si="46"/>
        <v>7.7833333333333332</v>
      </c>
      <c r="H207" s="4">
        <v>50</v>
      </c>
      <c r="I207" s="5">
        <f t="shared" si="49"/>
        <v>350.25</v>
      </c>
      <c r="J207" s="5">
        <f t="shared" si="50"/>
        <v>300.25</v>
      </c>
      <c r="K207">
        <v>12</v>
      </c>
      <c r="N207" s="51">
        <v>375</v>
      </c>
    </row>
    <row r="208" spans="1:17">
      <c r="A208" s="80" t="s">
        <v>701</v>
      </c>
      <c r="B208" s="4">
        <v>0</v>
      </c>
      <c r="C208" s="4">
        <v>0</v>
      </c>
      <c r="D208" s="4">
        <v>45</v>
      </c>
      <c r="E208" s="4">
        <v>0</v>
      </c>
      <c r="F208" s="4">
        <v>50</v>
      </c>
      <c r="G208" s="10">
        <f t="shared" si="46"/>
        <v>0</v>
      </c>
      <c r="H208" s="4">
        <v>0</v>
      </c>
      <c r="I208" s="5">
        <f t="shared" si="49"/>
        <v>0</v>
      </c>
      <c r="J208" s="5">
        <f t="shared" si="50"/>
        <v>0</v>
      </c>
      <c r="K208">
        <v>0</v>
      </c>
      <c r="N208" s="51">
        <v>150</v>
      </c>
      <c r="P208" t="s">
        <v>280</v>
      </c>
    </row>
    <row r="209" spans="1:15">
      <c r="A209" s="80" t="s">
        <v>681</v>
      </c>
      <c r="B209" s="4">
        <v>0</v>
      </c>
      <c r="C209" s="4">
        <v>0</v>
      </c>
      <c r="D209" s="4">
        <v>45</v>
      </c>
      <c r="E209" s="4">
        <v>0</v>
      </c>
      <c r="F209" s="4">
        <v>50</v>
      </c>
      <c r="G209" s="10">
        <f t="shared" si="46"/>
        <v>0</v>
      </c>
      <c r="H209" s="4">
        <v>0</v>
      </c>
      <c r="I209" s="5">
        <f t="shared" si="49"/>
        <v>0</v>
      </c>
      <c r="J209" s="5">
        <f t="shared" si="50"/>
        <v>0</v>
      </c>
      <c r="K209">
        <v>0</v>
      </c>
      <c r="N209" s="51">
        <f>1600+200</f>
        <v>1800</v>
      </c>
    </row>
    <row r="210" spans="1:15" ht="33" customHeight="1" thickBot="1">
      <c r="A210" t="s">
        <v>17</v>
      </c>
      <c r="H210" s="121">
        <f>H3+H11+H19+H27+H34+H42+H50+H58+H66+H74+H82+H90+H98+H106+H114+H122+H130+H138+H146+H154+H162+H170+H178+H186+H194+H202</f>
        <v>7790.5999999999995</v>
      </c>
      <c r="I210" s="121">
        <f t="shared" ref="I210:O210" si="51">I3+I11+I19+I27+I34+I42+I50+I58+I66+I74+I82+I90+I98+I106+I114+I122+I130+I138+I146+I154+I162+I170+I178+I186+I194+I202</f>
        <v>45135.583333333336</v>
      </c>
      <c r="J210" s="121">
        <f t="shared" si="51"/>
        <v>37344.98333333333</v>
      </c>
      <c r="K210" s="122">
        <f t="shared" si="51"/>
        <v>2328</v>
      </c>
      <c r="L210" s="121">
        <f t="shared" si="51"/>
        <v>600</v>
      </c>
      <c r="M210" s="121">
        <f t="shared" si="51"/>
        <v>37944.983333333337</v>
      </c>
      <c r="N210" s="121">
        <f>N3+N11+N19+N27+N34+N42+N50+N58+N66+N74+N82+N90+N98+N106+N114+N122+N130+N138+N146+N154+N162+N170+N178+N186+N194+N202</f>
        <v>64891.5</v>
      </c>
      <c r="O210" s="121">
        <f t="shared" si="51"/>
        <v>5210.5</v>
      </c>
    </row>
    <row r="211" spans="1:15" ht="16" thickTop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8F8E-5CB7-B845-9824-E491AA5D8815}">
  <dimension ref="A1:Q213"/>
  <sheetViews>
    <sheetView workbookViewId="0">
      <pane xSplit="1" ySplit="1" topLeftCell="B204" activePane="bottomRight" state="frozen"/>
      <selection pane="topRight" activeCell="B1" sqref="B1"/>
      <selection pane="bottomLeft" activeCell="A2" sqref="A2"/>
      <selection pane="bottomRight" activeCell="N187" sqref="N187"/>
    </sheetView>
  </sheetViews>
  <sheetFormatPr baseColWidth="10" defaultColWidth="8.6640625" defaultRowHeight="15"/>
  <cols>
    <col min="1" max="1" width="21" customWidth="1"/>
    <col min="3" max="3" width="13.33203125" customWidth="1"/>
    <col min="4" max="4" width="17.6640625" customWidth="1"/>
    <col min="6" max="6" width="16.6640625" customWidth="1"/>
    <col min="7" max="7" width="19" customWidth="1"/>
    <col min="8" max="8" width="18" customWidth="1"/>
    <col min="9" max="9" width="20.5" customWidth="1"/>
    <col min="10" max="10" width="16" customWidth="1"/>
    <col min="11" max="12" width="11.6640625" bestFit="1" customWidth="1"/>
    <col min="13" max="13" width="17" bestFit="1" customWidth="1"/>
    <col min="14" max="14" width="15.33203125" bestFit="1" customWidth="1"/>
    <col min="15" max="15" width="22.6640625" bestFit="1" customWidth="1"/>
    <col min="16" max="16" width="175.5" customWidth="1"/>
  </cols>
  <sheetData>
    <row r="1" spans="1:16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6" ht="20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6" s="54" customFormat="1" ht="20" thickBot="1">
      <c r="A3" s="72" t="s">
        <v>10</v>
      </c>
      <c r="B3" s="44">
        <f>SUM(B4:B10)</f>
        <v>33</v>
      </c>
      <c r="C3" s="44">
        <f>SUM(C4:C10)</f>
        <v>132</v>
      </c>
      <c r="D3" s="44">
        <f>SUM(D4)</f>
        <v>45</v>
      </c>
      <c r="E3" s="44">
        <f>SUM(E4:E10)</f>
        <v>4</v>
      </c>
      <c r="F3" s="44">
        <f>SUM(F4:F10)</f>
        <v>200</v>
      </c>
      <c r="G3" s="67">
        <f t="shared" ref="G3" si="0">B3+C3/60</f>
        <v>35.200000000000003</v>
      </c>
      <c r="H3" s="44">
        <f>SUM(H4:H10)</f>
        <v>249.5</v>
      </c>
      <c r="I3" s="46">
        <f>SUM(I4:I10)</f>
        <v>1943.1666666666665</v>
      </c>
      <c r="J3" s="47">
        <f>SUM(J4:J10)</f>
        <v>1693.6666666666665</v>
      </c>
      <c r="K3" s="44">
        <f>SUM(K4:K10)</f>
        <v>112</v>
      </c>
      <c r="L3" s="46">
        <v>0</v>
      </c>
      <c r="M3" s="69">
        <f>J3+L3</f>
        <v>1693.6666666666665</v>
      </c>
      <c r="N3" s="52">
        <f>SUM(N4:N10)</f>
        <v>2630</v>
      </c>
      <c r="O3" s="90">
        <f>2631-N3</f>
        <v>1</v>
      </c>
      <c r="P3" s="148" t="s">
        <v>726</v>
      </c>
    </row>
    <row r="4" spans="1:16">
      <c r="A4" s="6">
        <v>46090</v>
      </c>
      <c r="B4" s="4">
        <v>0</v>
      </c>
      <c r="C4" s="4">
        <v>0</v>
      </c>
      <c r="D4" s="4">
        <v>45</v>
      </c>
      <c r="E4" s="4">
        <v>0</v>
      </c>
      <c r="F4" s="4">
        <v>0</v>
      </c>
      <c r="G4" s="10">
        <v>0</v>
      </c>
      <c r="H4" s="4">
        <v>0</v>
      </c>
      <c r="I4" s="5">
        <v>0</v>
      </c>
      <c r="J4" s="5">
        <f>I4-H4</f>
        <v>0</v>
      </c>
      <c r="K4">
        <v>0</v>
      </c>
      <c r="N4" s="51">
        <v>0</v>
      </c>
    </row>
    <row r="5" spans="1:16">
      <c r="A5" s="6">
        <v>46091</v>
      </c>
      <c r="B5" s="4">
        <v>8</v>
      </c>
      <c r="C5" s="4">
        <v>42</v>
      </c>
      <c r="D5" s="4">
        <v>55</v>
      </c>
      <c r="E5" s="4">
        <v>1</v>
      </c>
      <c r="F5" s="4">
        <v>50</v>
      </c>
      <c r="G5" s="10">
        <f t="shared" ref="G5:G10" si="1">B5+C5/60</f>
        <v>8.6999999999999993</v>
      </c>
      <c r="H5" s="4">
        <v>50</v>
      </c>
      <c r="I5" s="5">
        <f t="shared" ref="I5:I10" si="2">G5*D5</f>
        <v>478.49999999999994</v>
      </c>
      <c r="J5" s="5">
        <f>I5-H5</f>
        <v>428.49999999999994</v>
      </c>
      <c r="K5">
        <v>27</v>
      </c>
      <c r="N5" s="51">
        <v>560</v>
      </c>
    </row>
    <row r="6" spans="1:16">
      <c r="A6" s="6">
        <v>46092</v>
      </c>
      <c r="B6" s="4">
        <v>7</v>
      </c>
      <c r="C6" s="4">
        <v>39</v>
      </c>
      <c r="D6" s="4">
        <v>55</v>
      </c>
      <c r="E6" s="4">
        <v>1</v>
      </c>
      <c r="F6" s="4">
        <v>50</v>
      </c>
      <c r="G6" s="10">
        <f t="shared" si="1"/>
        <v>7.65</v>
      </c>
      <c r="H6" s="4">
        <f>50+49.5</f>
        <v>99.5</v>
      </c>
      <c r="I6" s="5">
        <f t="shared" si="2"/>
        <v>420.75</v>
      </c>
      <c r="J6" s="5">
        <f>I6-H6</f>
        <v>321.25</v>
      </c>
      <c r="K6">
        <v>27</v>
      </c>
      <c r="N6" s="51">
        <v>510</v>
      </c>
      <c r="P6" t="s">
        <v>727</v>
      </c>
    </row>
    <row r="7" spans="1:16">
      <c r="A7" s="80" t="s">
        <v>728</v>
      </c>
      <c r="B7" s="4">
        <v>9</v>
      </c>
      <c r="C7" s="4">
        <v>4</v>
      </c>
      <c r="D7" s="4">
        <v>45</v>
      </c>
      <c r="E7" s="4">
        <v>1</v>
      </c>
      <c r="F7" s="4">
        <v>50</v>
      </c>
      <c r="G7" s="10">
        <f t="shared" si="1"/>
        <v>9.0666666666666664</v>
      </c>
      <c r="H7" s="4">
        <v>50</v>
      </c>
      <c r="I7" s="5">
        <f t="shared" si="2"/>
        <v>408</v>
      </c>
      <c r="J7" s="5">
        <f t="shared" ref="J7:J10" si="3">I7-H7</f>
        <v>358</v>
      </c>
      <c r="K7">
        <v>22</v>
      </c>
      <c r="N7" s="51">
        <v>150</v>
      </c>
      <c r="P7" t="s">
        <v>729</v>
      </c>
    </row>
    <row r="8" spans="1:16">
      <c r="A8" s="80" t="s">
        <v>730</v>
      </c>
      <c r="B8" s="4">
        <v>9</v>
      </c>
      <c r="C8" s="4">
        <v>47</v>
      </c>
      <c r="D8" s="4">
        <v>65</v>
      </c>
      <c r="E8" s="4">
        <v>1</v>
      </c>
      <c r="F8" s="4">
        <v>50</v>
      </c>
      <c r="G8" s="10">
        <f t="shared" si="1"/>
        <v>9.7833333333333332</v>
      </c>
      <c r="H8" s="4">
        <v>50</v>
      </c>
      <c r="I8" s="5">
        <f t="shared" si="2"/>
        <v>635.91666666666663</v>
      </c>
      <c r="J8" s="5">
        <f t="shared" si="3"/>
        <v>585.91666666666663</v>
      </c>
      <c r="K8">
        <v>36</v>
      </c>
      <c r="N8" s="51">
        <v>0</v>
      </c>
    </row>
    <row r="9" spans="1:16">
      <c r="A9" s="80" t="s">
        <v>731</v>
      </c>
      <c r="B9" s="4">
        <v>0</v>
      </c>
      <c r="C9" s="4">
        <v>0</v>
      </c>
      <c r="D9" s="4">
        <v>45</v>
      </c>
      <c r="E9" s="4">
        <v>0</v>
      </c>
      <c r="F9" s="4">
        <v>0</v>
      </c>
      <c r="G9" s="10">
        <f t="shared" si="1"/>
        <v>0</v>
      </c>
      <c r="H9" s="4">
        <v>0</v>
      </c>
      <c r="I9" s="5">
        <f t="shared" si="2"/>
        <v>0</v>
      </c>
      <c r="J9" s="5">
        <f t="shared" si="3"/>
        <v>0</v>
      </c>
      <c r="K9">
        <v>0</v>
      </c>
      <c r="N9" s="51">
        <v>1410</v>
      </c>
    </row>
    <row r="10" spans="1:16" ht="16" thickBot="1">
      <c r="A10" s="80" t="s">
        <v>728</v>
      </c>
      <c r="B10" s="4">
        <v>0</v>
      </c>
      <c r="C10" s="4">
        <v>0</v>
      </c>
      <c r="D10" s="4">
        <v>45</v>
      </c>
      <c r="E10" s="4">
        <v>0</v>
      </c>
      <c r="F10" s="4">
        <v>0</v>
      </c>
      <c r="G10" s="10">
        <f t="shared" si="1"/>
        <v>0</v>
      </c>
      <c r="H10" s="4">
        <v>0</v>
      </c>
      <c r="I10" s="5">
        <f t="shared" si="2"/>
        <v>0</v>
      </c>
      <c r="J10" s="5">
        <f t="shared" si="3"/>
        <v>0</v>
      </c>
      <c r="K10">
        <v>0</v>
      </c>
      <c r="N10" s="51">
        <v>0</v>
      </c>
    </row>
    <row r="11" spans="1:16" s="86" customFormat="1" ht="20" thickBot="1">
      <c r="A11" s="91" t="s">
        <v>11</v>
      </c>
      <c r="B11" s="92">
        <f>SUM(B12:B18)</f>
        <v>55</v>
      </c>
      <c r="C11" s="92">
        <f>SUM(C12:C18)</f>
        <v>164</v>
      </c>
      <c r="D11" s="92">
        <f>SUM(D12)</f>
        <v>45</v>
      </c>
      <c r="E11" s="92">
        <f>SUM(E12:E18)</f>
        <v>6</v>
      </c>
      <c r="F11" s="92">
        <f>SUM(F12:F18)</f>
        <v>300</v>
      </c>
      <c r="G11" s="93">
        <f>B11+C11/60</f>
        <v>57.733333333333334</v>
      </c>
      <c r="H11" s="92">
        <f>SUM(H12:H18)</f>
        <v>300</v>
      </c>
      <c r="I11" s="94">
        <f>SUM(I12:I18)</f>
        <v>2794.6666666666665</v>
      </c>
      <c r="J11" s="95">
        <f>SUM(J12:J18)</f>
        <v>2494.6666666666665</v>
      </c>
      <c r="K11" s="8">
        <f>SUM(K12:K18)</f>
        <v>147</v>
      </c>
      <c r="L11" s="9">
        <v>0</v>
      </c>
      <c r="M11" s="96">
        <f>J11+L11</f>
        <v>2494.6666666666665</v>
      </c>
      <c r="N11" s="97">
        <f>SUM(N12:N18)</f>
        <v>4627</v>
      </c>
      <c r="O11" s="98">
        <f>4032-N11</f>
        <v>-595</v>
      </c>
      <c r="P11" s="149" t="s">
        <v>726</v>
      </c>
    </row>
    <row r="12" spans="1:16">
      <c r="A12" s="80" t="s">
        <v>732</v>
      </c>
      <c r="B12" s="4">
        <v>9</v>
      </c>
      <c r="C12" s="4">
        <v>44</v>
      </c>
      <c r="D12" s="4">
        <v>45</v>
      </c>
      <c r="E12" s="4">
        <v>1</v>
      </c>
      <c r="F12" s="4">
        <v>50</v>
      </c>
      <c r="G12" s="10">
        <f>B12+C12/60</f>
        <v>9.7333333333333325</v>
      </c>
      <c r="H12" s="4">
        <v>50</v>
      </c>
      <c r="I12" s="5">
        <f>G12*D12</f>
        <v>437.99999999999994</v>
      </c>
      <c r="J12" s="5">
        <f t="shared" ref="J12:J18" si="4">I12-H12</f>
        <v>387.99999999999994</v>
      </c>
      <c r="K12">
        <v>23</v>
      </c>
      <c r="M12" t="s">
        <v>26</v>
      </c>
      <c r="N12" s="83">
        <v>790</v>
      </c>
    </row>
    <row r="13" spans="1:16">
      <c r="A13" s="80" t="s">
        <v>733</v>
      </c>
      <c r="B13" s="4">
        <v>7</v>
      </c>
      <c r="C13" s="4">
        <v>58</v>
      </c>
      <c r="D13" s="4">
        <v>45</v>
      </c>
      <c r="E13" s="4">
        <v>1</v>
      </c>
      <c r="F13" s="4">
        <v>50</v>
      </c>
      <c r="G13" s="10">
        <f t="shared" ref="G13:G67" si="5">B13+C13/60</f>
        <v>7.9666666666666668</v>
      </c>
      <c r="H13" s="4">
        <v>50</v>
      </c>
      <c r="I13" s="5">
        <f>G13*D13</f>
        <v>358.5</v>
      </c>
      <c r="J13" s="5">
        <f t="shared" si="4"/>
        <v>308.5</v>
      </c>
      <c r="K13">
        <v>25</v>
      </c>
      <c r="N13" s="83">
        <v>476</v>
      </c>
    </row>
    <row r="14" spans="1:16">
      <c r="A14" s="80" t="s">
        <v>734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10">
        <f t="shared" si="5"/>
        <v>0</v>
      </c>
      <c r="H14" s="4">
        <v>0</v>
      </c>
      <c r="I14" s="5">
        <f t="shared" ref="I14:I18" si="6">G14*D14</f>
        <v>0</v>
      </c>
      <c r="J14" s="5">
        <f t="shared" si="4"/>
        <v>0</v>
      </c>
      <c r="K14">
        <v>0</v>
      </c>
      <c r="N14" s="83">
        <f>200+692</f>
        <v>892</v>
      </c>
      <c r="P14" t="s">
        <v>290</v>
      </c>
    </row>
    <row r="15" spans="1:16">
      <c r="A15" s="80" t="s">
        <v>728</v>
      </c>
      <c r="B15" s="4">
        <v>10</v>
      </c>
      <c r="C15" s="4">
        <v>0</v>
      </c>
      <c r="D15" s="4">
        <v>55</v>
      </c>
      <c r="E15" s="4">
        <v>1</v>
      </c>
      <c r="F15" s="4">
        <v>50</v>
      </c>
      <c r="G15" s="10">
        <f t="shared" si="5"/>
        <v>10</v>
      </c>
      <c r="H15" s="4">
        <v>50</v>
      </c>
      <c r="I15" s="5">
        <f t="shared" si="6"/>
        <v>550</v>
      </c>
      <c r="J15" s="5">
        <f t="shared" si="4"/>
        <v>500</v>
      </c>
      <c r="K15">
        <v>28</v>
      </c>
      <c r="N15" s="83">
        <f>473+150</f>
        <v>623</v>
      </c>
      <c r="P15" t="s">
        <v>430</v>
      </c>
    </row>
    <row r="16" spans="1:16">
      <c r="A16" s="80" t="s">
        <v>730</v>
      </c>
      <c r="B16" s="4">
        <v>10</v>
      </c>
      <c r="C16" s="4">
        <v>0</v>
      </c>
      <c r="D16" s="4">
        <v>45</v>
      </c>
      <c r="E16" s="4">
        <v>1</v>
      </c>
      <c r="F16" s="4">
        <v>50</v>
      </c>
      <c r="G16" s="10">
        <f t="shared" si="5"/>
        <v>10</v>
      </c>
      <c r="H16" s="4">
        <v>50</v>
      </c>
      <c r="I16" s="5">
        <f t="shared" si="6"/>
        <v>450</v>
      </c>
      <c r="J16" s="5">
        <f t="shared" si="4"/>
        <v>400</v>
      </c>
      <c r="K16">
        <v>23</v>
      </c>
      <c r="N16" s="83">
        <v>475</v>
      </c>
    </row>
    <row r="17" spans="1:16">
      <c r="A17" s="80" t="s">
        <v>731</v>
      </c>
      <c r="B17" s="4">
        <v>10</v>
      </c>
      <c r="C17" s="4">
        <v>22</v>
      </c>
      <c r="D17" s="4">
        <v>45</v>
      </c>
      <c r="E17" s="4">
        <v>1</v>
      </c>
      <c r="F17" s="4">
        <v>50</v>
      </c>
      <c r="G17" s="10">
        <f t="shared" si="5"/>
        <v>10.366666666666667</v>
      </c>
      <c r="H17" s="4">
        <v>50</v>
      </c>
      <c r="I17" s="5">
        <f t="shared" si="6"/>
        <v>466.5</v>
      </c>
      <c r="J17" s="5">
        <f t="shared" si="4"/>
        <v>416.5</v>
      </c>
      <c r="K17">
        <v>21</v>
      </c>
      <c r="N17" s="83">
        <v>578</v>
      </c>
    </row>
    <row r="18" spans="1:16" ht="16" thickBot="1">
      <c r="A18" s="80" t="s">
        <v>735</v>
      </c>
      <c r="B18" s="4">
        <v>9</v>
      </c>
      <c r="C18" s="4">
        <v>40</v>
      </c>
      <c r="D18" s="4">
        <v>55</v>
      </c>
      <c r="E18" s="4">
        <v>1</v>
      </c>
      <c r="F18" s="4">
        <v>50</v>
      </c>
      <c r="G18" s="10">
        <f t="shared" si="5"/>
        <v>9.6666666666666661</v>
      </c>
      <c r="H18" s="4">
        <v>50</v>
      </c>
      <c r="I18" s="5">
        <f t="shared" si="6"/>
        <v>531.66666666666663</v>
      </c>
      <c r="J18" s="5">
        <f t="shared" si="4"/>
        <v>481.66666666666663</v>
      </c>
      <c r="K18">
        <v>27</v>
      </c>
      <c r="N18" s="51">
        <v>793</v>
      </c>
    </row>
    <row r="19" spans="1:16" s="86" customFormat="1" ht="20" thickBot="1">
      <c r="A19" s="91" t="s">
        <v>352</v>
      </c>
      <c r="B19" s="8">
        <f>SUM(B20:B26)</f>
        <v>61</v>
      </c>
      <c r="C19" s="8">
        <f>SUM(C20:C26)</f>
        <v>167</v>
      </c>
      <c r="D19" s="8">
        <f>SUM(D20)</f>
        <v>45</v>
      </c>
      <c r="E19" s="8">
        <f>SUM(E20:E26)</f>
        <v>6</v>
      </c>
      <c r="F19" s="8">
        <f>SUM(F20:F26)</f>
        <v>300</v>
      </c>
      <c r="G19" s="93">
        <f t="shared" si="5"/>
        <v>63.783333333333331</v>
      </c>
      <c r="H19" s="8">
        <f>SUM(H20:H26)</f>
        <v>345</v>
      </c>
      <c r="I19" s="9">
        <f>SUM(I20:I26)</f>
        <v>3515.25</v>
      </c>
      <c r="J19" s="14">
        <f>SUM(J20:J26)</f>
        <v>3170.25</v>
      </c>
      <c r="K19" s="8">
        <f>SUM(K20:K26)</f>
        <v>174</v>
      </c>
      <c r="L19" s="9">
        <v>0</v>
      </c>
      <c r="M19" s="96">
        <f>J19+L19</f>
        <v>3170.25</v>
      </c>
      <c r="N19" s="99">
        <f>SUM(N20:N26)</f>
        <v>4267</v>
      </c>
      <c r="O19" s="98">
        <f>4267-N19</f>
        <v>0</v>
      </c>
      <c r="P19" s="149" t="s">
        <v>726</v>
      </c>
    </row>
    <row r="20" spans="1:16">
      <c r="A20" s="6">
        <v>46090</v>
      </c>
      <c r="B20" s="4">
        <v>0</v>
      </c>
      <c r="C20" s="4">
        <v>0</v>
      </c>
      <c r="D20" s="4">
        <v>45</v>
      </c>
      <c r="E20" s="4">
        <v>0</v>
      </c>
      <c r="F20" s="4">
        <v>0</v>
      </c>
      <c r="G20" s="10">
        <f>B20+C20/60</f>
        <v>0</v>
      </c>
      <c r="H20" s="4">
        <v>0</v>
      </c>
      <c r="I20" s="5">
        <f t="shared" ref="I20:I50" si="7">G20*D20</f>
        <v>0</v>
      </c>
      <c r="J20" s="5">
        <f t="shared" ref="J20:J26" si="8">I20-H20</f>
        <v>0</v>
      </c>
      <c r="K20">
        <v>0</v>
      </c>
      <c r="N20" s="51"/>
    </row>
    <row r="21" spans="1:16">
      <c r="A21" s="6">
        <v>46091</v>
      </c>
      <c r="B21" s="4">
        <v>11</v>
      </c>
      <c r="C21" s="4">
        <v>26</v>
      </c>
      <c r="D21" s="4">
        <v>65</v>
      </c>
      <c r="E21" s="4">
        <v>1</v>
      </c>
      <c r="F21" s="4">
        <v>50</v>
      </c>
      <c r="G21" s="10">
        <f t="shared" ref="G21:G26" si="9">B21+C21/60</f>
        <v>11.433333333333334</v>
      </c>
      <c r="H21" s="4">
        <v>50</v>
      </c>
      <c r="I21" s="5">
        <f t="shared" si="7"/>
        <v>743.16666666666663</v>
      </c>
      <c r="J21" s="5">
        <f t="shared" si="8"/>
        <v>693.16666666666663</v>
      </c>
      <c r="K21">
        <v>34</v>
      </c>
      <c r="N21" s="83">
        <v>450</v>
      </c>
    </row>
    <row r="22" spans="1:16">
      <c r="A22" s="6">
        <v>46092</v>
      </c>
      <c r="B22" s="4">
        <v>10</v>
      </c>
      <c r="C22" s="4">
        <v>16</v>
      </c>
      <c r="D22" s="4">
        <v>55</v>
      </c>
      <c r="E22" s="4">
        <v>1</v>
      </c>
      <c r="F22" s="4">
        <v>50</v>
      </c>
      <c r="G22" s="10">
        <f t="shared" si="9"/>
        <v>10.266666666666667</v>
      </c>
      <c r="H22" s="4">
        <v>50</v>
      </c>
      <c r="I22" s="5">
        <f t="shared" si="7"/>
        <v>564.66666666666674</v>
      </c>
      <c r="J22" s="5">
        <f t="shared" si="8"/>
        <v>514.66666666666674</v>
      </c>
      <c r="K22">
        <v>30</v>
      </c>
      <c r="N22" s="83">
        <f>600+200</f>
        <v>800</v>
      </c>
      <c r="P22" t="s">
        <v>736</v>
      </c>
    </row>
    <row r="23" spans="1:16">
      <c r="A23" s="6">
        <v>46093</v>
      </c>
      <c r="B23" s="4">
        <v>10</v>
      </c>
      <c r="C23" s="4">
        <v>57</v>
      </c>
      <c r="D23" s="4">
        <v>55</v>
      </c>
      <c r="E23" s="4">
        <v>1</v>
      </c>
      <c r="F23" s="4">
        <v>50</v>
      </c>
      <c r="G23" s="10">
        <f t="shared" si="9"/>
        <v>10.95</v>
      </c>
      <c r="H23" s="4">
        <v>50</v>
      </c>
      <c r="I23" s="5">
        <f t="shared" si="7"/>
        <v>602.25</v>
      </c>
      <c r="J23" s="5">
        <f t="shared" si="8"/>
        <v>552.25</v>
      </c>
      <c r="K23">
        <v>29</v>
      </c>
      <c r="N23" s="83">
        <v>500</v>
      </c>
    </row>
    <row r="24" spans="1:16">
      <c r="A24" s="6">
        <v>46094</v>
      </c>
      <c r="B24" s="4">
        <v>11</v>
      </c>
      <c r="C24" s="4">
        <v>1</v>
      </c>
      <c r="D24" s="4">
        <v>55</v>
      </c>
      <c r="E24" s="4">
        <v>1</v>
      </c>
      <c r="F24" s="4">
        <v>50</v>
      </c>
      <c r="G24" s="10">
        <f t="shared" si="9"/>
        <v>11.016666666666667</v>
      </c>
      <c r="H24" s="4">
        <f>50+45</f>
        <v>95</v>
      </c>
      <c r="I24" s="5">
        <f t="shared" si="7"/>
        <v>605.91666666666674</v>
      </c>
      <c r="J24" s="5">
        <f t="shared" si="8"/>
        <v>510.91666666666674</v>
      </c>
      <c r="K24">
        <v>29</v>
      </c>
      <c r="N24" s="83">
        <v>750</v>
      </c>
    </row>
    <row r="25" spans="1:16">
      <c r="A25" s="6">
        <v>46095</v>
      </c>
      <c r="B25" s="4">
        <v>10</v>
      </c>
      <c r="C25" s="4">
        <v>43</v>
      </c>
      <c r="D25" s="4">
        <v>45</v>
      </c>
      <c r="E25" s="4">
        <v>1</v>
      </c>
      <c r="F25" s="4">
        <v>50</v>
      </c>
      <c r="G25" s="10">
        <f t="shared" si="9"/>
        <v>10.716666666666667</v>
      </c>
      <c r="H25" s="4">
        <v>50</v>
      </c>
      <c r="I25" s="5">
        <f t="shared" si="7"/>
        <v>482.25</v>
      </c>
      <c r="J25" s="5">
        <f t="shared" si="8"/>
        <v>432.25</v>
      </c>
      <c r="K25">
        <v>22</v>
      </c>
      <c r="N25" s="83">
        <v>570</v>
      </c>
    </row>
    <row r="26" spans="1:16" ht="16" thickBot="1">
      <c r="A26" s="6">
        <v>46096</v>
      </c>
      <c r="B26" s="4">
        <v>9</v>
      </c>
      <c r="C26" s="4">
        <v>24</v>
      </c>
      <c r="D26" s="4">
        <v>55</v>
      </c>
      <c r="E26" s="4">
        <v>1</v>
      </c>
      <c r="F26" s="4">
        <v>50</v>
      </c>
      <c r="G26" s="10">
        <f t="shared" si="9"/>
        <v>9.4</v>
      </c>
      <c r="H26" s="4">
        <v>50</v>
      </c>
      <c r="I26" s="5">
        <f t="shared" si="7"/>
        <v>517</v>
      </c>
      <c r="J26" s="5">
        <f t="shared" si="8"/>
        <v>467</v>
      </c>
      <c r="K26">
        <v>30</v>
      </c>
      <c r="N26" s="83">
        <v>1197</v>
      </c>
    </row>
    <row r="27" spans="1:16" s="86" customFormat="1" ht="20" thickBot="1">
      <c r="A27" s="91" t="s">
        <v>15</v>
      </c>
      <c r="B27" s="8">
        <f>SUM(B28:B34)</f>
        <v>49</v>
      </c>
      <c r="C27" s="8">
        <f>SUM(C28:C34)</f>
        <v>187</v>
      </c>
      <c r="D27" s="8">
        <f>SUM(D28)</f>
        <v>55</v>
      </c>
      <c r="E27" s="8">
        <f>SUM(E28:E34)</f>
        <v>6</v>
      </c>
      <c r="F27" s="8">
        <f>SUM(F28:F34)</f>
        <v>300</v>
      </c>
      <c r="G27" s="93">
        <f>B27+C27/60</f>
        <v>52.116666666666667</v>
      </c>
      <c r="H27" s="8">
        <f>SUM(H28:H34)</f>
        <v>361.5</v>
      </c>
      <c r="I27" s="9">
        <f>SUM(I28:I34)</f>
        <v>2643.75</v>
      </c>
      <c r="J27" s="14">
        <f>SUM(J28:J34)</f>
        <v>2282.25</v>
      </c>
      <c r="K27" s="8">
        <f>SUM(K28:K34)</f>
        <v>136</v>
      </c>
      <c r="L27" s="9">
        <v>0</v>
      </c>
      <c r="M27" s="96">
        <f>J27+L27</f>
        <v>2282.25</v>
      </c>
      <c r="N27" s="99">
        <f>SUM(N28:N34)</f>
        <v>3433</v>
      </c>
      <c r="O27" s="98">
        <f>3589-N27</f>
        <v>156</v>
      </c>
    </row>
    <row r="28" spans="1:16">
      <c r="A28" s="80" t="str">
        <f t="shared" ref="A28:A34" si="10">A12</f>
        <v>9-10 Mar</v>
      </c>
      <c r="B28" s="4">
        <v>9</v>
      </c>
      <c r="C28" s="4">
        <v>36</v>
      </c>
      <c r="D28" s="4">
        <v>55</v>
      </c>
      <c r="E28" s="4">
        <v>1</v>
      </c>
      <c r="F28" s="4">
        <v>50</v>
      </c>
      <c r="G28" s="10">
        <f>B28+C28/60</f>
        <v>9.6</v>
      </c>
      <c r="H28" s="4">
        <v>50</v>
      </c>
      <c r="I28" s="5">
        <f>G28*D28</f>
        <v>528</v>
      </c>
      <c r="J28" s="5">
        <f>I28-H28</f>
        <v>478</v>
      </c>
      <c r="K28">
        <v>27</v>
      </c>
      <c r="N28" s="51">
        <v>100</v>
      </c>
      <c r="P28" t="s">
        <v>737</v>
      </c>
    </row>
    <row r="29" spans="1:16">
      <c r="A29" s="80" t="str">
        <f t="shared" si="10"/>
        <v>10-11 Mar</v>
      </c>
      <c r="B29" s="4">
        <v>8</v>
      </c>
      <c r="C29" s="4">
        <v>10</v>
      </c>
      <c r="D29" s="4">
        <v>45</v>
      </c>
      <c r="E29" s="4">
        <v>1</v>
      </c>
      <c r="F29" s="4">
        <v>50</v>
      </c>
      <c r="G29" s="10">
        <f t="shared" ref="G29:G33" si="11">B29+C29/60</f>
        <v>8.1666666666666661</v>
      </c>
      <c r="H29" s="4">
        <v>50</v>
      </c>
      <c r="I29" s="5">
        <f>G29*D29</f>
        <v>367.5</v>
      </c>
      <c r="J29" s="5">
        <f>I29-H29</f>
        <v>317.5</v>
      </c>
      <c r="K29">
        <v>18</v>
      </c>
      <c r="N29" s="51">
        <f>600+100</f>
        <v>700</v>
      </c>
      <c r="P29" t="s">
        <v>737</v>
      </c>
    </row>
    <row r="30" spans="1:16">
      <c r="A30" s="80" t="str">
        <f t="shared" si="10"/>
        <v>11-12 Mar</v>
      </c>
      <c r="B30" s="4">
        <v>7</v>
      </c>
      <c r="C30" s="4">
        <v>45</v>
      </c>
      <c r="D30" s="4">
        <v>45</v>
      </c>
      <c r="E30" s="4">
        <v>1</v>
      </c>
      <c r="F30" s="4">
        <v>50</v>
      </c>
      <c r="G30" s="10">
        <f t="shared" si="11"/>
        <v>7.75</v>
      </c>
      <c r="H30" s="4">
        <f>50+61.5</f>
        <v>111.5</v>
      </c>
      <c r="I30" s="5">
        <f t="shared" ref="I30:I33" si="12">G30*D30</f>
        <v>348.75</v>
      </c>
      <c r="J30" s="5">
        <f t="shared" ref="J30:J33" si="13">I30-H30</f>
        <v>237.25</v>
      </c>
      <c r="K30">
        <v>16</v>
      </c>
      <c r="N30" s="51">
        <v>410</v>
      </c>
    </row>
    <row r="31" spans="1:16">
      <c r="A31" s="80" t="str">
        <f t="shared" si="10"/>
        <v>12-13 Mar</v>
      </c>
      <c r="B31" s="4">
        <v>9</v>
      </c>
      <c r="C31" s="4">
        <v>47</v>
      </c>
      <c r="D31" s="4">
        <v>55</v>
      </c>
      <c r="E31" s="4">
        <v>1</v>
      </c>
      <c r="F31" s="4">
        <v>50</v>
      </c>
      <c r="G31" s="10">
        <f t="shared" si="11"/>
        <v>9.7833333333333332</v>
      </c>
      <c r="H31" s="4">
        <v>50</v>
      </c>
      <c r="I31" s="5">
        <f t="shared" si="12"/>
        <v>538.08333333333337</v>
      </c>
      <c r="J31" s="5">
        <f t="shared" si="13"/>
        <v>488.08333333333337</v>
      </c>
      <c r="K31">
        <v>28</v>
      </c>
      <c r="N31" s="51">
        <v>250</v>
      </c>
    </row>
    <row r="32" spans="1:16">
      <c r="A32" s="80" t="str">
        <f t="shared" si="10"/>
        <v>13-14 Mar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10">
        <f t="shared" si="11"/>
        <v>0</v>
      </c>
      <c r="H32" s="4">
        <v>0</v>
      </c>
      <c r="I32" s="5">
        <f t="shared" si="12"/>
        <v>0</v>
      </c>
      <c r="J32" s="5">
        <f t="shared" si="13"/>
        <v>0</v>
      </c>
      <c r="K32">
        <v>0</v>
      </c>
      <c r="N32" s="51">
        <v>380</v>
      </c>
    </row>
    <row r="33" spans="1:16">
      <c r="A33" s="80" t="str">
        <f t="shared" si="10"/>
        <v>14-15 Mar</v>
      </c>
      <c r="B33" s="4">
        <v>10</v>
      </c>
      <c r="C33" s="4">
        <v>28</v>
      </c>
      <c r="D33" s="4">
        <v>55</v>
      </c>
      <c r="E33" s="4">
        <v>1</v>
      </c>
      <c r="F33" s="4">
        <v>50</v>
      </c>
      <c r="G33" s="10">
        <f t="shared" si="11"/>
        <v>10.466666666666667</v>
      </c>
      <c r="H33" s="4">
        <v>50</v>
      </c>
      <c r="I33" s="5">
        <f t="shared" si="12"/>
        <v>575.66666666666663</v>
      </c>
      <c r="J33" s="5">
        <f t="shared" si="13"/>
        <v>525.66666666666663</v>
      </c>
      <c r="K33">
        <v>28</v>
      </c>
      <c r="N33" s="51">
        <f>650</f>
        <v>650</v>
      </c>
      <c r="P33" t="s">
        <v>738</v>
      </c>
    </row>
    <row r="34" spans="1:16" ht="16" thickBot="1">
      <c r="A34" s="80" t="str">
        <f t="shared" si="10"/>
        <v>15-16 Mar</v>
      </c>
      <c r="B34" s="4">
        <v>6</v>
      </c>
      <c r="C34" s="4">
        <v>21</v>
      </c>
      <c r="D34" s="4">
        <v>45</v>
      </c>
      <c r="E34" s="4">
        <v>1</v>
      </c>
      <c r="F34" s="4">
        <v>50</v>
      </c>
      <c r="G34" s="10">
        <f t="shared" ref="G34" si="14">B34+C34/60</f>
        <v>6.35</v>
      </c>
      <c r="H34" s="4">
        <v>50</v>
      </c>
      <c r="I34" s="5">
        <f t="shared" ref="I34" si="15">G34*D34</f>
        <v>285.75</v>
      </c>
      <c r="J34" s="5">
        <f t="shared" ref="J34" si="16">I34-H34</f>
        <v>235.75</v>
      </c>
      <c r="K34">
        <v>19</v>
      </c>
      <c r="N34" s="51">
        <f>343+300+300</f>
        <v>943</v>
      </c>
      <c r="P34" s="128" t="s">
        <v>739</v>
      </c>
    </row>
    <row r="35" spans="1:16" s="86" customFormat="1" ht="20" thickBot="1">
      <c r="A35" s="91" t="s">
        <v>18</v>
      </c>
      <c r="B35" s="8">
        <f>SUM(B36:B42)</f>
        <v>54</v>
      </c>
      <c r="C35" s="8">
        <f>SUM(C36:C42)</f>
        <v>183</v>
      </c>
      <c r="D35" s="8">
        <f>SUM(D36)</f>
        <v>65</v>
      </c>
      <c r="E35" s="8">
        <f>SUM(E36:E42)</f>
        <v>6</v>
      </c>
      <c r="F35" s="8">
        <f>SUM(F36:F42)</f>
        <v>300</v>
      </c>
      <c r="G35" s="93">
        <f t="shared" si="5"/>
        <v>57.05</v>
      </c>
      <c r="H35" s="8">
        <f>SUM(H36:H42)</f>
        <v>429.9</v>
      </c>
      <c r="I35" s="9">
        <f>SUM(I36:I42)</f>
        <v>3234.083333333333</v>
      </c>
      <c r="J35" s="14">
        <f>SUM(J36:J42)</f>
        <v>2804.1833333333329</v>
      </c>
      <c r="K35" s="8">
        <f>SUM(K36:K42)</f>
        <v>182</v>
      </c>
      <c r="L35" s="9">
        <v>0</v>
      </c>
      <c r="M35" s="96">
        <f>J35+L35</f>
        <v>2804.1833333333329</v>
      </c>
      <c r="N35" s="129">
        <f>SUM(N36:N42)</f>
        <v>5070</v>
      </c>
      <c r="O35" s="98">
        <f>5210-N35</f>
        <v>140</v>
      </c>
      <c r="P35" s="149" t="s">
        <v>726</v>
      </c>
    </row>
    <row r="36" spans="1:16" ht="19.25" customHeight="1">
      <c r="A36" s="145">
        <v>46090</v>
      </c>
      <c r="B36" s="4">
        <v>9</v>
      </c>
      <c r="C36" s="4">
        <v>38</v>
      </c>
      <c r="D36" s="4">
        <v>65</v>
      </c>
      <c r="E36" s="4">
        <v>1</v>
      </c>
      <c r="F36" s="4">
        <v>50</v>
      </c>
      <c r="G36" s="10">
        <f>B36+C36/60</f>
        <v>9.6333333333333329</v>
      </c>
      <c r="H36" s="4">
        <v>50</v>
      </c>
      <c r="I36" s="5">
        <f t="shared" ref="I36:I42" si="17">G36*D36</f>
        <v>626.16666666666663</v>
      </c>
      <c r="J36" s="5">
        <f t="shared" ref="J36:J42" si="18">I36-H36</f>
        <v>576.16666666666663</v>
      </c>
      <c r="K36">
        <v>34</v>
      </c>
      <c r="N36" s="119"/>
      <c r="O36" s="49"/>
      <c r="P36" t="s">
        <v>740</v>
      </c>
    </row>
    <row r="37" spans="1:16" ht="16.25" customHeight="1">
      <c r="A37" s="145">
        <v>46091</v>
      </c>
      <c r="B37" s="4">
        <v>9</v>
      </c>
      <c r="C37" s="4">
        <v>11</v>
      </c>
      <c r="D37" s="4">
        <v>55</v>
      </c>
      <c r="E37" s="4">
        <v>1</v>
      </c>
      <c r="F37" s="4">
        <v>50</v>
      </c>
      <c r="G37" s="10">
        <f t="shared" ref="G37:G41" si="19">B37+C37/60</f>
        <v>9.1833333333333336</v>
      </c>
      <c r="H37" s="4">
        <f>50+45</f>
        <v>95</v>
      </c>
      <c r="I37" s="5">
        <f t="shared" si="17"/>
        <v>505.08333333333337</v>
      </c>
      <c r="J37" s="5">
        <f t="shared" si="18"/>
        <v>410.08333333333337</v>
      </c>
      <c r="K37">
        <v>27</v>
      </c>
      <c r="N37" s="119">
        <v>1010</v>
      </c>
      <c r="O37" s="49"/>
      <c r="P37" s="128" t="s">
        <v>741</v>
      </c>
    </row>
    <row r="38" spans="1:16">
      <c r="A38" s="145">
        <v>46092</v>
      </c>
      <c r="B38" s="4">
        <v>9</v>
      </c>
      <c r="C38" s="4">
        <v>49</v>
      </c>
      <c r="D38" s="4">
        <v>55</v>
      </c>
      <c r="E38" s="4">
        <v>1</v>
      </c>
      <c r="F38" s="4">
        <v>50</v>
      </c>
      <c r="G38" s="10">
        <f t="shared" si="19"/>
        <v>9.8166666666666664</v>
      </c>
      <c r="H38" s="4">
        <v>50</v>
      </c>
      <c r="I38" s="5">
        <f t="shared" si="17"/>
        <v>539.91666666666663</v>
      </c>
      <c r="J38" s="5">
        <f t="shared" si="18"/>
        <v>489.91666666666663</v>
      </c>
      <c r="K38">
        <v>31</v>
      </c>
      <c r="N38" s="119">
        <v>830</v>
      </c>
    </row>
    <row r="39" spans="1:16">
      <c r="A39" s="145">
        <v>46093</v>
      </c>
      <c r="B39" s="4">
        <v>10</v>
      </c>
      <c r="C39" s="4">
        <v>13</v>
      </c>
      <c r="D39" s="4">
        <v>55</v>
      </c>
      <c r="E39" s="4">
        <v>1</v>
      </c>
      <c r="F39" s="4">
        <v>50</v>
      </c>
      <c r="G39" s="10">
        <f t="shared" si="19"/>
        <v>10.216666666666667</v>
      </c>
      <c r="H39" s="4">
        <v>50</v>
      </c>
      <c r="I39" s="5">
        <f t="shared" si="17"/>
        <v>561.91666666666663</v>
      </c>
      <c r="J39" s="5">
        <f t="shared" si="18"/>
        <v>511.91666666666663</v>
      </c>
      <c r="K39">
        <v>29</v>
      </c>
      <c r="N39" s="119">
        <v>850</v>
      </c>
    </row>
    <row r="40" spans="1:16">
      <c r="A40" s="145">
        <v>46094</v>
      </c>
      <c r="B40" s="4">
        <v>9</v>
      </c>
      <c r="C40" s="4">
        <v>21</v>
      </c>
      <c r="D40" s="4">
        <v>55</v>
      </c>
      <c r="E40" s="4">
        <v>1</v>
      </c>
      <c r="F40" s="4">
        <v>50</v>
      </c>
      <c r="G40" s="10">
        <f t="shared" si="19"/>
        <v>9.35</v>
      </c>
      <c r="H40" s="4">
        <v>50</v>
      </c>
      <c r="I40" s="5">
        <f t="shared" si="17"/>
        <v>514.25</v>
      </c>
      <c r="J40" s="5">
        <f t="shared" si="18"/>
        <v>464.25</v>
      </c>
      <c r="K40">
        <v>30</v>
      </c>
      <c r="N40" s="119">
        <v>700</v>
      </c>
    </row>
    <row r="41" spans="1:16">
      <c r="A41" s="145">
        <v>46095</v>
      </c>
      <c r="B41" s="4">
        <v>8</v>
      </c>
      <c r="C41" s="4">
        <v>51</v>
      </c>
      <c r="D41" s="4">
        <v>55</v>
      </c>
      <c r="E41" s="4">
        <v>1</v>
      </c>
      <c r="F41" s="4">
        <v>50</v>
      </c>
      <c r="G41" s="10">
        <f t="shared" si="19"/>
        <v>8.85</v>
      </c>
      <c r="H41" s="4">
        <f>50+84.9</f>
        <v>134.9</v>
      </c>
      <c r="I41" s="5">
        <f t="shared" si="17"/>
        <v>486.75</v>
      </c>
      <c r="J41" s="5">
        <f t="shared" si="18"/>
        <v>351.85</v>
      </c>
      <c r="K41">
        <v>31</v>
      </c>
      <c r="N41" s="119">
        <v>720</v>
      </c>
      <c r="P41" s="51"/>
    </row>
    <row r="42" spans="1:16" ht="16" thickBot="1">
      <c r="A42" s="145">
        <v>46096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10">
        <v>0</v>
      </c>
      <c r="H42" s="4">
        <v>0</v>
      </c>
      <c r="I42" s="5">
        <f t="shared" si="17"/>
        <v>0</v>
      </c>
      <c r="J42" s="5">
        <f t="shared" si="18"/>
        <v>0</v>
      </c>
      <c r="K42">
        <v>0</v>
      </c>
      <c r="L42" s="1"/>
      <c r="N42" s="119">
        <v>960</v>
      </c>
    </row>
    <row r="43" spans="1:16" s="86" customFormat="1" ht="20" thickBot="1">
      <c r="A43" s="91" t="s">
        <v>48</v>
      </c>
      <c r="B43" s="8">
        <f>SUM(B44:B50)</f>
        <v>3</v>
      </c>
      <c r="C43" s="8">
        <f>SUM(C44:C50)</f>
        <v>45</v>
      </c>
      <c r="D43" s="8">
        <f>SUM(D44)</f>
        <v>45</v>
      </c>
      <c r="E43" s="8">
        <f>SUM(E44:E50)</f>
        <v>1</v>
      </c>
      <c r="F43" s="8">
        <f>SUM(F44:F50)</f>
        <v>350</v>
      </c>
      <c r="G43" s="93">
        <f t="shared" si="5"/>
        <v>3.75</v>
      </c>
      <c r="H43" s="8">
        <f>SUM(H44:H50)</f>
        <v>50</v>
      </c>
      <c r="I43" s="100">
        <f>SUM(I44:I50)</f>
        <v>168.75</v>
      </c>
      <c r="J43" s="101">
        <f>SUM(J44:J50)</f>
        <v>118.75</v>
      </c>
      <c r="K43" s="8">
        <f>SUM(K44:K50)</f>
        <v>11</v>
      </c>
      <c r="L43" s="104">
        <v>0</v>
      </c>
      <c r="M43" s="96">
        <f>J43+L43</f>
        <v>118.75</v>
      </c>
      <c r="N43" s="99">
        <f>SUM(N44:N50)</f>
        <v>0</v>
      </c>
      <c r="O43" s="98">
        <f>366-N43</f>
        <v>366</v>
      </c>
    </row>
    <row r="44" spans="1:16">
      <c r="A44" s="145">
        <v>46090</v>
      </c>
      <c r="B44" s="4">
        <v>3</v>
      </c>
      <c r="C44" s="4">
        <v>45</v>
      </c>
      <c r="D44" s="4">
        <v>45</v>
      </c>
      <c r="E44" s="4">
        <v>1</v>
      </c>
      <c r="F44" s="4">
        <v>50</v>
      </c>
      <c r="G44" s="10">
        <f t="shared" si="5"/>
        <v>3.75</v>
      </c>
      <c r="H44" s="4">
        <v>50</v>
      </c>
      <c r="I44" s="5">
        <f t="shared" si="7"/>
        <v>168.75</v>
      </c>
      <c r="J44" s="5">
        <f>I44-H44</f>
        <v>118.75</v>
      </c>
      <c r="K44">
        <v>11</v>
      </c>
      <c r="N44" s="87">
        <v>0</v>
      </c>
    </row>
    <row r="45" spans="1:16">
      <c r="A45" s="145">
        <v>46091</v>
      </c>
      <c r="B45" s="4">
        <v>0</v>
      </c>
      <c r="C45" s="4">
        <v>0</v>
      </c>
      <c r="D45" s="4">
        <v>45</v>
      </c>
      <c r="E45" s="4">
        <v>0</v>
      </c>
      <c r="F45" s="4">
        <v>50</v>
      </c>
      <c r="G45" s="10">
        <f t="shared" si="5"/>
        <v>0</v>
      </c>
      <c r="H45" s="4">
        <v>0</v>
      </c>
      <c r="I45" s="5">
        <f t="shared" si="7"/>
        <v>0</v>
      </c>
      <c r="J45" s="5">
        <f t="shared" ref="J45:J50" si="20">I45-H45</f>
        <v>0</v>
      </c>
      <c r="K45">
        <v>0</v>
      </c>
      <c r="N45" s="81">
        <v>0</v>
      </c>
    </row>
    <row r="46" spans="1:16">
      <c r="A46" s="145">
        <v>46092</v>
      </c>
      <c r="B46" s="4">
        <v>0</v>
      </c>
      <c r="C46" s="4">
        <v>0</v>
      </c>
      <c r="D46" s="4">
        <v>45</v>
      </c>
      <c r="E46" s="4">
        <v>0</v>
      </c>
      <c r="F46" s="4">
        <v>50</v>
      </c>
      <c r="G46" s="10">
        <f t="shared" si="5"/>
        <v>0</v>
      </c>
      <c r="H46" s="4">
        <v>0</v>
      </c>
      <c r="I46" s="5">
        <f t="shared" si="7"/>
        <v>0</v>
      </c>
      <c r="J46" s="5">
        <f t="shared" si="20"/>
        <v>0</v>
      </c>
      <c r="K46">
        <v>0</v>
      </c>
      <c r="N46" s="81">
        <v>0</v>
      </c>
    </row>
    <row r="47" spans="1:16">
      <c r="A47" s="145">
        <v>46093</v>
      </c>
      <c r="B47" s="4">
        <v>0</v>
      </c>
      <c r="C47" s="4">
        <v>0</v>
      </c>
      <c r="D47" s="4">
        <v>45</v>
      </c>
      <c r="E47" s="4">
        <v>0</v>
      </c>
      <c r="F47" s="4">
        <v>50</v>
      </c>
      <c r="G47" s="10">
        <f t="shared" si="5"/>
        <v>0</v>
      </c>
      <c r="H47" s="4">
        <v>0</v>
      </c>
      <c r="I47" s="5">
        <f t="shared" si="7"/>
        <v>0</v>
      </c>
      <c r="J47" s="5">
        <f t="shared" si="20"/>
        <v>0</v>
      </c>
      <c r="K47">
        <v>0</v>
      </c>
      <c r="N47" s="118">
        <v>0</v>
      </c>
    </row>
    <row r="48" spans="1:16">
      <c r="A48" s="145">
        <v>46094</v>
      </c>
      <c r="B48" s="4">
        <v>0</v>
      </c>
      <c r="C48" s="4">
        <v>0</v>
      </c>
      <c r="D48" s="4">
        <v>45</v>
      </c>
      <c r="E48" s="4">
        <v>0</v>
      </c>
      <c r="F48" s="4">
        <v>50</v>
      </c>
      <c r="G48" s="10">
        <f t="shared" si="5"/>
        <v>0</v>
      </c>
      <c r="H48" s="4">
        <v>0</v>
      </c>
      <c r="I48" s="5">
        <f t="shared" si="7"/>
        <v>0</v>
      </c>
      <c r="J48" s="5">
        <f t="shared" si="20"/>
        <v>0</v>
      </c>
      <c r="K48">
        <v>0</v>
      </c>
      <c r="N48" s="118">
        <v>0</v>
      </c>
    </row>
    <row r="49" spans="1:17">
      <c r="A49" s="145">
        <v>46095</v>
      </c>
      <c r="B49" s="4">
        <v>0</v>
      </c>
      <c r="C49" s="4">
        <v>0</v>
      </c>
      <c r="D49" s="4">
        <v>45</v>
      </c>
      <c r="E49" s="4">
        <v>0</v>
      </c>
      <c r="F49" s="4">
        <v>50</v>
      </c>
      <c r="G49" s="10">
        <f t="shared" si="5"/>
        <v>0</v>
      </c>
      <c r="H49" s="4">
        <v>0</v>
      </c>
      <c r="I49" s="5">
        <f t="shared" si="7"/>
        <v>0</v>
      </c>
      <c r="J49" s="5">
        <f t="shared" si="20"/>
        <v>0</v>
      </c>
      <c r="K49">
        <v>0</v>
      </c>
      <c r="N49" s="118">
        <v>0</v>
      </c>
    </row>
    <row r="50" spans="1:17" ht="16" thickBot="1">
      <c r="A50" s="145">
        <v>46096</v>
      </c>
      <c r="B50" s="4">
        <v>0</v>
      </c>
      <c r="C50" s="4">
        <v>0</v>
      </c>
      <c r="D50" s="4">
        <v>45</v>
      </c>
      <c r="E50" s="4">
        <v>0</v>
      </c>
      <c r="F50" s="4">
        <v>50</v>
      </c>
      <c r="G50" s="10">
        <f t="shared" si="5"/>
        <v>0</v>
      </c>
      <c r="H50" s="4">
        <v>0</v>
      </c>
      <c r="I50" s="5">
        <f t="shared" si="7"/>
        <v>0</v>
      </c>
      <c r="J50" s="5">
        <f t="shared" si="20"/>
        <v>0</v>
      </c>
      <c r="K50">
        <v>0</v>
      </c>
      <c r="N50" s="118">
        <v>0</v>
      </c>
    </row>
    <row r="51" spans="1:17" s="86" customFormat="1" ht="20" thickBot="1">
      <c r="A51" s="91" t="s">
        <v>50</v>
      </c>
      <c r="B51" s="8">
        <f>SUM(B52:B58)</f>
        <v>54</v>
      </c>
      <c r="C51" s="8">
        <f>SUM(C52:C58)</f>
        <v>234</v>
      </c>
      <c r="D51" s="8">
        <f>SUM(D52)</f>
        <v>65</v>
      </c>
      <c r="E51" s="8">
        <f>SUM(E52:E58)</f>
        <v>6</v>
      </c>
      <c r="F51" s="8">
        <f>SUM(F52:F58)</f>
        <v>300</v>
      </c>
      <c r="G51" s="93">
        <f t="shared" si="5"/>
        <v>57.9</v>
      </c>
      <c r="H51" s="8">
        <f>SUM(H52:H58)</f>
        <v>300</v>
      </c>
      <c r="I51" s="9">
        <f>SUM(I52:I58)</f>
        <v>3763.5000000000005</v>
      </c>
      <c r="J51" s="14">
        <f>SUM(J52:J58)</f>
        <v>3463.5000000000005</v>
      </c>
      <c r="K51" s="8">
        <f>SUM(K52:K58)</f>
        <v>257</v>
      </c>
      <c r="L51" s="9">
        <v>300</v>
      </c>
      <c r="M51" s="96">
        <f>J51+L51</f>
        <v>3763.5000000000005</v>
      </c>
      <c r="N51" s="102">
        <f>SUM(N52:N58)</f>
        <v>6773</v>
      </c>
      <c r="O51" s="98">
        <f>6821-N51</f>
        <v>48</v>
      </c>
      <c r="P51" s="149" t="s">
        <v>726</v>
      </c>
    </row>
    <row r="52" spans="1:17" ht="19">
      <c r="A52" s="145">
        <v>46090</v>
      </c>
      <c r="B52" s="4">
        <v>9</v>
      </c>
      <c r="C52" s="4">
        <v>58</v>
      </c>
      <c r="D52" s="4">
        <v>65</v>
      </c>
      <c r="E52" s="4">
        <v>1</v>
      </c>
      <c r="F52" s="4">
        <v>50</v>
      </c>
      <c r="G52" s="10">
        <f>B52+C52/60</f>
        <v>9.9666666666666668</v>
      </c>
      <c r="H52" s="4">
        <v>50</v>
      </c>
      <c r="I52" s="5">
        <f>G52*D52</f>
        <v>647.83333333333337</v>
      </c>
      <c r="J52" s="5">
        <f>I52-H52</f>
        <v>597.83333333333337</v>
      </c>
      <c r="K52">
        <v>47</v>
      </c>
      <c r="N52" s="51">
        <v>1290</v>
      </c>
      <c r="O52" s="49"/>
      <c r="P52" t="s">
        <v>740</v>
      </c>
    </row>
    <row r="53" spans="1:17">
      <c r="A53" s="145">
        <v>46091</v>
      </c>
      <c r="B53" s="4">
        <v>10</v>
      </c>
      <c r="C53" s="4">
        <v>5</v>
      </c>
      <c r="D53" s="4">
        <v>65</v>
      </c>
      <c r="E53" s="4">
        <v>1</v>
      </c>
      <c r="F53" s="4">
        <v>50</v>
      </c>
      <c r="G53" s="10">
        <f t="shared" ref="G53:G58" si="21">B53+C53/60</f>
        <v>10.083333333333334</v>
      </c>
      <c r="H53" s="4">
        <v>50</v>
      </c>
      <c r="I53" s="5">
        <f t="shared" ref="I53" si="22">G53*D53</f>
        <v>655.41666666666674</v>
      </c>
      <c r="J53" s="5">
        <f>I53-H53</f>
        <v>605.41666666666674</v>
      </c>
      <c r="K53">
        <v>44</v>
      </c>
      <c r="N53" s="51">
        <f>1083+310</f>
        <v>1393</v>
      </c>
    </row>
    <row r="54" spans="1:17">
      <c r="A54" s="145">
        <v>46092</v>
      </c>
      <c r="B54" s="4">
        <v>9</v>
      </c>
      <c r="C54" s="4">
        <v>31</v>
      </c>
      <c r="D54" s="4">
        <v>65</v>
      </c>
      <c r="E54" s="4">
        <v>1</v>
      </c>
      <c r="F54" s="4">
        <v>50</v>
      </c>
      <c r="G54" s="10">
        <f t="shared" si="21"/>
        <v>9.5166666666666675</v>
      </c>
      <c r="H54" s="4">
        <v>50</v>
      </c>
      <c r="I54" s="5">
        <f>G54*D54</f>
        <v>618.58333333333337</v>
      </c>
      <c r="J54" s="5">
        <f>I54-H54</f>
        <v>568.58333333333337</v>
      </c>
      <c r="K54">
        <v>40</v>
      </c>
      <c r="N54" s="51">
        <v>950</v>
      </c>
    </row>
    <row r="55" spans="1:17">
      <c r="A55" s="145">
        <v>46093</v>
      </c>
      <c r="B55" s="4">
        <v>9</v>
      </c>
      <c r="C55" s="4">
        <v>54</v>
      </c>
      <c r="D55" s="4">
        <v>65</v>
      </c>
      <c r="E55" s="4">
        <v>1</v>
      </c>
      <c r="F55" s="4">
        <v>50</v>
      </c>
      <c r="G55" s="10">
        <f t="shared" si="21"/>
        <v>9.9</v>
      </c>
      <c r="H55" s="4">
        <v>50</v>
      </c>
      <c r="I55" s="5">
        <f t="shared" ref="I55:I58" si="23">G55*D55</f>
        <v>643.5</v>
      </c>
      <c r="J55" s="5">
        <f t="shared" ref="J55:J58" si="24">I55-H55</f>
        <v>593.5</v>
      </c>
      <c r="K55">
        <v>38</v>
      </c>
      <c r="N55" s="51">
        <v>980</v>
      </c>
    </row>
    <row r="56" spans="1:17">
      <c r="A56" s="145">
        <v>46094</v>
      </c>
      <c r="B56" s="4">
        <v>0</v>
      </c>
      <c r="C56" s="4">
        <v>0</v>
      </c>
      <c r="D56" s="4">
        <v>45</v>
      </c>
      <c r="E56" s="4">
        <v>0</v>
      </c>
      <c r="F56" s="4">
        <v>0</v>
      </c>
      <c r="G56" s="10">
        <f t="shared" si="21"/>
        <v>0</v>
      </c>
      <c r="H56" s="4">
        <v>0</v>
      </c>
      <c r="I56" s="5">
        <f t="shared" si="23"/>
        <v>0</v>
      </c>
      <c r="J56" s="5">
        <f t="shared" si="24"/>
        <v>0</v>
      </c>
      <c r="K56">
        <v>0</v>
      </c>
      <c r="N56" s="51">
        <v>0</v>
      </c>
    </row>
    <row r="57" spans="1:17">
      <c r="A57" s="145">
        <v>46095</v>
      </c>
      <c r="B57" s="4">
        <v>8</v>
      </c>
      <c r="C57" s="4">
        <v>55</v>
      </c>
      <c r="D57" s="4">
        <v>65</v>
      </c>
      <c r="E57" s="4">
        <v>1</v>
      </c>
      <c r="F57" s="4">
        <v>50</v>
      </c>
      <c r="G57" s="10">
        <f t="shared" si="21"/>
        <v>8.9166666666666661</v>
      </c>
      <c r="H57" s="4">
        <v>50</v>
      </c>
      <c r="I57" s="5">
        <f t="shared" si="23"/>
        <v>579.58333333333326</v>
      </c>
      <c r="J57" s="5">
        <f t="shared" si="24"/>
        <v>529.58333333333326</v>
      </c>
      <c r="K57">
        <v>42</v>
      </c>
      <c r="N57" s="51">
        <v>958</v>
      </c>
    </row>
    <row r="58" spans="1:17" ht="16" thickBot="1">
      <c r="A58" s="145">
        <v>46096</v>
      </c>
      <c r="B58" s="4">
        <v>9</v>
      </c>
      <c r="C58" s="4">
        <v>31</v>
      </c>
      <c r="D58" s="4">
        <v>65</v>
      </c>
      <c r="E58" s="4">
        <v>1</v>
      </c>
      <c r="F58" s="4">
        <v>50</v>
      </c>
      <c r="G58" s="10">
        <f t="shared" si="21"/>
        <v>9.5166666666666675</v>
      </c>
      <c r="H58" s="4">
        <v>50</v>
      </c>
      <c r="I58" s="5">
        <f t="shared" si="23"/>
        <v>618.58333333333337</v>
      </c>
      <c r="J58" s="5">
        <f t="shared" si="24"/>
        <v>568.58333333333337</v>
      </c>
      <c r="K58">
        <v>46</v>
      </c>
      <c r="N58" s="51">
        <f>1102+100</f>
        <v>1202</v>
      </c>
      <c r="P58" t="s">
        <v>737</v>
      </c>
    </row>
    <row r="59" spans="1:17" s="86" customFormat="1" ht="20" thickBot="1">
      <c r="A59" s="91" t="s">
        <v>218</v>
      </c>
      <c r="B59" s="8">
        <f>SUM(B60:B66)</f>
        <v>55</v>
      </c>
      <c r="C59" s="8">
        <f>SUM(C60:C66)</f>
        <v>131</v>
      </c>
      <c r="D59" s="8">
        <f>SUM(D60)</f>
        <v>65</v>
      </c>
      <c r="E59" s="8">
        <f>SUM(E60:E66)</f>
        <v>7</v>
      </c>
      <c r="F59" s="8">
        <f>SUM(F60:F66)</f>
        <v>300</v>
      </c>
      <c r="G59" s="93">
        <f t="shared" si="5"/>
        <v>57.18333333333333</v>
      </c>
      <c r="H59" s="8">
        <f>SUM(H60:H66)</f>
        <v>300</v>
      </c>
      <c r="I59" s="9">
        <f>SUM(I60:I66)</f>
        <v>3548.916666666667</v>
      </c>
      <c r="J59" s="14">
        <f>SUM(J60:J66)</f>
        <v>3248.916666666667</v>
      </c>
      <c r="K59" s="8">
        <f>SUM(K60:K66)</f>
        <v>198</v>
      </c>
      <c r="L59" s="9">
        <v>0</v>
      </c>
      <c r="M59" s="96">
        <f>J59</f>
        <v>3248.916666666667</v>
      </c>
      <c r="N59" s="129">
        <f>SUM(N60:N66)</f>
        <v>6240</v>
      </c>
      <c r="O59" s="98">
        <f>6240-N59</f>
        <v>0</v>
      </c>
    </row>
    <row r="60" spans="1:17">
      <c r="A60" s="80" t="s">
        <v>732</v>
      </c>
      <c r="B60" s="4">
        <v>10</v>
      </c>
      <c r="C60" s="4">
        <v>23</v>
      </c>
      <c r="D60" s="4">
        <v>65</v>
      </c>
      <c r="E60" s="4">
        <v>1</v>
      </c>
      <c r="F60" s="4">
        <v>50</v>
      </c>
      <c r="G60" s="10">
        <f t="shared" si="5"/>
        <v>10.383333333333333</v>
      </c>
      <c r="H60" s="4">
        <v>50</v>
      </c>
      <c r="I60" s="5">
        <f t="shared" ref="I60:I66" si="25">G60*D60</f>
        <v>674.91666666666663</v>
      </c>
      <c r="J60" s="5">
        <f t="shared" ref="J60:J62" si="26">I60-H60</f>
        <v>624.91666666666663</v>
      </c>
      <c r="K60">
        <v>34</v>
      </c>
      <c r="N60" s="51">
        <v>700</v>
      </c>
      <c r="O60" s="51"/>
      <c r="P60" t="s">
        <v>742</v>
      </c>
    </row>
    <row r="61" spans="1:17">
      <c r="A61" s="80" t="s">
        <v>733</v>
      </c>
      <c r="B61" s="4">
        <v>10</v>
      </c>
      <c r="C61" s="4">
        <v>5</v>
      </c>
      <c r="D61" s="4">
        <v>65</v>
      </c>
      <c r="E61" s="4">
        <v>1</v>
      </c>
      <c r="F61" s="4">
        <v>50</v>
      </c>
      <c r="G61" s="10">
        <f t="shared" si="5"/>
        <v>10.083333333333334</v>
      </c>
      <c r="H61" s="4">
        <v>50</v>
      </c>
      <c r="I61" s="5">
        <f t="shared" si="25"/>
        <v>655.41666666666674</v>
      </c>
      <c r="J61" s="5">
        <f t="shared" si="26"/>
        <v>605.41666666666674</v>
      </c>
      <c r="K61">
        <v>34</v>
      </c>
      <c r="N61" s="51">
        <v>1000</v>
      </c>
    </row>
    <row r="62" spans="1:17">
      <c r="A62" s="80" t="s">
        <v>734</v>
      </c>
      <c r="B62" s="4">
        <v>8</v>
      </c>
      <c r="C62" s="4">
        <v>45</v>
      </c>
      <c r="D62" s="4">
        <v>55</v>
      </c>
      <c r="E62" s="4">
        <v>1</v>
      </c>
      <c r="F62" s="4">
        <v>50</v>
      </c>
      <c r="G62" s="10">
        <f t="shared" si="5"/>
        <v>8.75</v>
      </c>
      <c r="H62" s="4">
        <v>50</v>
      </c>
      <c r="I62" s="5">
        <f t="shared" si="25"/>
        <v>481.25</v>
      </c>
      <c r="J62" s="5">
        <f t="shared" si="26"/>
        <v>431.25</v>
      </c>
      <c r="K62">
        <v>29</v>
      </c>
      <c r="N62" s="51">
        <f>700+200</f>
        <v>900</v>
      </c>
      <c r="P62" t="s">
        <v>743</v>
      </c>
      <c r="Q62" t="s">
        <v>64</v>
      </c>
    </row>
    <row r="63" spans="1:17">
      <c r="A63" s="80" t="s">
        <v>728</v>
      </c>
      <c r="B63" s="4">
        <v>8</v>
      </c>
      <c r="C63" s="4">
        <v>3</v>
      </c>
      <c r="D63" s="4">
        <v>55</v>
      </c>
      <c r="E63" s="4">
        <v>1</v>
      </c>
      <c r="F63" s="4">
        <v>50</v>
      </c>
      <c r="G63" s="10">
        <f t="shared" si="5"/>
        <v>8.0500000000000007</v>
      </c>
      <c r="H63" s="4">
        <v>50</v>
      </c>
      <c r="I63" s="5">
        <f t="shared" si="25"/>
        <v>442.75000000000006</v>
      </c>
      <c r="J63" s="5">
        <f>I63-H63</f>
        <v>392.75000000000006</v>
      </c>
      <c r="K63">
        <v>28</v>
      </c>
      <c r="N63" s="51">
        <v>560</v>
      </c>
    </row>
    <row r="64" spans="1:17">
      <c r="A64" s="80" t="s">
        <v>730</v>
      </c>
      <c r="B64" s="4">
        <v>11</v>
      </c>
      <c r="C64" s="4">
        <v>3</v>
      </c>
      <c r="D64" s="4">
        <v>65</v>
      </c>
      <c r="E64" s="4">
        <v>1</v>
      </c>
      <c r="F64" s="4">
        <v>50</v>
      </c>
      <c r="G64" s="10">
        <f t="shared" si="5"/>
        <v>11.05</v>
      </c>
      <c r="H64" s="4">
        <v>50</v>
      </c>
      <c r="I64" s="5">
        <f t="shared" si="25"/>
        <v>718.25</v>
      </c>
      <c r="J64" s="5">
        <f>I64-H64</f>
        <v>668.25</v>
      </c>
      <c r="K64">
        <v>41</v>
      </c>
      <c r="N64" s="51">
        <v>800</v>
      </c>
      <c r="Q64" t="s">
        <v>64</v>
      </c>
    </row>
    <row r="65" spans="1:17">
      <c r="A65" s="80" t="s">
        <v>731</v>
      </c>
      <c r="B65" s="4">
        <v>8</v>
      </c>
      <c r="C65" s="4">
        <v>52</v>
      </c>
      <c r="D65" s="4">
        <v>65</v>
      </c>
      <c r="E65" s="4">
        <v>1</v>
      </c>
      <c r="F65" s="4">
        <v>50</v>
      </c>
      <c r="G65" s="10">
        <f t="shared" si="5"/>
        <v>8.8666666666666671</v>
      </c>
      <c r="H65" s="4">
        <v>50</v>
      </c>
      <c r="I65" s="5">
        <f t="shared" si="25"/>
        <v>576.33333333333337</v>
      </c>
      <c r="J65" s="5">
        <f>I65-H65</f>
        <v>526.33333333333337</v>
      </c>
      <c r="K65">
        <v>32</v>
      </c>
      <c r="N65" s="51">
        <v>600</v>
      </c>
    </row>
    <row r="66" spans="1:17" ht="16" thickBot="1">
      <c r="A66" s="80" t="s">
        <v>735</v>
      </c>
      <c r="B66" s="4">
        <v>0</v>
      </c>
      <c r="C66" s="4">
        <v>0</v>
      </c>
      <c r="D66" s="4">
        <v>0</v>
      </c>
      <c r="E66" s="4">
        <v>1</v>
      </c>
      <c r="F66" s="4">
        <v>0</v>
      </c>
      <c r="G66" s="10">
        <f t="shared" si="5"/>
        <v>0</v>
      </c>
      <c r="H66" s="4">
        <v>0</v>
      </c>
      <c r="I66" s="5">
        <f t="shared" si="25"/>
        <v>0</v>
      </c>
      <c r="J66" s="5">
        <v>0</v>
      </c>
      <c r="K66">
        <v>0</v>
      </c>
      <c r="N66" s="51">
        <f>910+770</f>
        <v>1680</v>
      </c>
    </row>
    <row r="67" spans="1:17" s="86" customFormat="1" ht="20" thickBot="1">
      <c r="A67" s="91" t="s">
        <v>398</v>
      </c>
      <c r="B67" s="8">
        <f>SUM(B68:B74)</f>
        <v>38</v>
      </c>
      <c r="C67" s="8">
        <f>SUM(C68:C74)</f>
        <v>165</v>
      </c>
      <c r="D67" s="8">
        <f>SUM(D68)</f>
        <v>45</v>
      </c>
      <c r="E67" s="8">
        <f>SUM(E68:E74)</f>
        <v>6</v>
      </c>
      <c r="F67" s="8">
        <f>SUM(F68:F74)</f>
        <v>350</v>
      </c>
      <c r="G67" s="93">
        <f t="shared" si="5"/>
        <v>40.75</v>
      </c>
      <c r="H67" s="8">
        <f>SUM(H68:H74)</f>
        <v>250</v>
      </c>
      <c r="I67" s="9">
        <f>SUM(I68:I74)</f>
        <v>2030.75</v>
      </c>
      <c r="J67" s="9">
        <f>SUM(J68:J74)</f>
        <v>1780.75</v>
      </c>
      <c r="K67" s="8">
        <f>SUM(K68:K74)</f>
        <v>121</v>
      </c>
      <c r="L67" s="9">
        <v>0</v>
      </c>
      <c r="M67" s="96">
        <f>J67</f>
        <v>1780.75</v>
      </c>
      <c r="N67" s="102">
        <f>SUM(N68:N74)</f>
        <v>3029</v>
      </c>
      <c r="O67" s="98">
        <f>3129-N67</f>
        <v>100</v>
      </c>
    </row>
    <row r="68" spans="1:17">
      <c r="A68" s="80" t="s">
        <v>732</v>
      </c>
      <c r="B68" s="4">
        <v>4</v>
      </c>
      <c r="C68" s="4">
        <v>36</v>
      </c>
      <c r="D68" s="4">
        <v>45</v>
      </c>
      <c r="E68" s="4">
        <v>1</v>
      </c>
      <c r="F68" s="4">
        <v>50</v>
      </c>
      <c r="G68" s="10">
        <f>B68+C68/60</f>
        <v>4.5999999999999996</v>
      </c>
      <c r="H68" s="4">
        <v>50</v>
      </c>
      <c r="I68" s="5">
        <f t="shared" ref="I68:I74" si="27">G68*D68</f>
        <v>206.99999999999997</v>
      </c>
      <c r="J68" s="5">
        <f>I68-H68</f>
        <v>156.99999999999997</v>
      </c>
      <c r="K68">
        <v>25</v>
      </c>
      <c r="N68" s="119">
        <v>0</v>
      </c>
      <c r="O68" s="51"/>
      <c r="P68" t="s">
        <v>744</v>
      </c>
    </row>
    <row r="69" spans="1:17">
      <c r="A69" s="80" t="s">
        <v>733</v>
      </c>
      <c r="B69" s="4">
        <v>0</v>
      </c>
      <c r="C69" s="4">
        <v>0</v>
      </c>
      <c r="D69" s="4">
        <v>45</v>
      </c>
      <c r="E69" s="4">
        <v>0</v>
      </c>
      <c r="F69" s="4">
        <v>50</v>
      </c>
      <c r="G69" s="10">
        <f t="shared" ref="G69:G71" si="28">B69+C69/60</f>
        <v>0</v>
      </c>
      <c r="H69" s="4">
        <v>0</v>
      </c>
      <c r="I69" s="5">
        <f t="shared" si="27"/>
        <v>0</v>
      </c>
      <c r="J69" s="5">
        <f t="shared" ref="J69:J71" si="29">I69-H69</f>
        <v>0</v>
      </c>
      <c r="K69">
        <v>0</v>
      </c>
      <c r="N69" s="119">
        <v>518</v>
      </c>
    </row>
    <row r="70" spans="1:17">
      <c r="A70" s="80" t="s">
        <v>734</v>
      </c>
      <c r="B70" s="4">
        <v>8</v>
      </c>
      <c r="C70" s="4">
        <v>18</v>
      </c>
      <c r="D70" s="4">
        <v>45</v>
      </c>
      <c r="E70" s="4">
        <v>1</v>
      </c>
      <c r="F70" s="4">
        <v>50</v>
      </c>
      <c r="G70" s="10">
        <f t="shared" si="28"/>
        <v>8.3000000000000007</v>
      </c>
      <c r="H70" s="4">
        <v>50</v>
      </c>
      <c r="I70" s="5">
        <f t="shared" si="27"/>
        <v>373.50000000000006</v>
      </c>
      <c r="J70" s="5">
        <f t="shared" si="29"/>
        <v>323.50000000000006</v>
      </c>
      <c r="K70">
        <v>22</v>
      </c>
      <c r="N70" s="119">
        <v>500</v>
      </c>
      <c r="Q70" t="s">
        <v>64</v>
      </c>
    </row>
    <row r="71" spans="1:17">
      <c r="A71" s="80" t="s">
        <v>728</v>
      </c>
      <c r="B71" s="4">
        <v>8</v>
      </c>
      <c r="C71" s="4">
        <v>52</v>
      </c>
      <c r="D71" s="4">
        <v>45</v>
      </c>
      <c r="E71" s="4">
        <v>1</v>
      </c>
      <c r="F71" s="4">
        <v>50</v>
      </c>
      <c r="G71" s="10">
        <f t="shared" si="28"/>
        <v>8.8666666666666671</v>
      </c>
      <c r="H71" s="4">
        <v>50</v>
      </c>
      <c r="I71" s="5">
        <f t="shared" si="27"/>
        <v>399</v>
      </c>
      <c r="J71" s="5">
        <f t="shared" si="29"/>
        <v>349</v>
      </c>
      <c r="K71">
        <v>22</v>
      </c>
      <c r="N71" s="119">
        <v>585</v>
      </c>
    </row>
    <row r="72" spans="1:17">
      <c r="A72" s="80" t="s">
        <v>730</v>
      </c>
      <c r="B72" s="4">
        <v>9</v>
      </c>
      <c r="C72" s="4">
        <v>51</v>
      </c>
      <c r="D72" s="4">
        <v>65</v>
      </c>
      <c r="E72" s="4">
        <v>1</v>
      </c>
      <c r="F72" s="4">
        <v>50</v>
      </c>
      <c r="G72" s="10">
        <f>B72+C72/60</f>
        <v>9.85</v>
      </c>
      <c r="H72" s="4">
        <v>50</v>
      </c>
      <c r="I72" s="5">
        <f t="shared" si="27"/>
        <v>640.25</v>
      </c>
      <c r="J72" s="5">
        <f>I72-H72</f>
        <v>590.25</v>
      </c>
      <c r="K72">
        <v>33</v>
      </c>
      <c r="N72" s="119">
        <f>830+100</f>
        <v>930</v>
      </c>
      <c r="P72" t="s">
        <v>745</v>
      </c>
    </row>
    <row r="73" spans="1:17">
      <c r="A73" s="80" t="s">
        <v>731</v>
      </c>
      <c r="B73" s="4">
        <v>9</v>
      </c>
      <c r="C73" s="4">
        <v>8</v>
      </c>
      <c r="D73" s="4">
        <v>45</v>
      </c>
      <c r="E73" s="4">
        <v>1</v>
      </c>
      <c r="F73" s="4">
        <v>50</v>
      </c>
      <c r="G73" s="10">
        <f>B73+C73/60</f>
        <v>9.1333333333333329</v>
      </c>
      <c r="H73" s="4">
        <v>50</v>
      </c>
      <c r="I73" s="5">
        <f t="shared" si="27"/>
        <v>411</v>
      </c>
      <c r="J73" s="5">
        <f t="shared" ref="J73:J74" si="30">I73-H73</f>
        <v>361</v>
      </c>
      <c r="K73">
        <v>19</v>
      </c>
      <c r="N73" s="119">
        <f>236+200</f>
        <v>436</v>
      </c>
      <c r="P73" t="s">
        <v>736</v>
      </c>
    </row>
    <row r="74" spans="1:17" ht="16" thickBot="1">
      <c r="A74" s="80" t="s">
        <v>735</v>
      </c>
      <c r="B74" s="4">
        <v>0</v>
      </c>
      <c r="C74" s="4">
        <v>0</v>
      </c>
      <c r="D74" s="4">
        <v>0</v>
      </c>
      <c r="E74" s="4">
        <v>1</v>
      </c>
      <c r="F74" s="4">
        <v>50</v>
      </c>
      <c r="G74" s="10">
        <v>0</v>
      </c>
      <c r="H74" s="4">
        <v>0</v>
      </c>
      <c r="I74" s="5">
        <f t="shared" si="27"/>
        <v>0</v>
      </c>
      <c r="J74" s="5">
        <f t="shared" si="30"/>
        <v>0</v>
      </c>
      <c r="K74">
        <v>0</v>
      </c>
      <c r="N74" s="119">
        <v>60</v>
      </c>
    </row>
    <row r="75" spans="1:17" s="86" customFormat="1" ht="20" thickBot="1">
      <c r="A75" s="91" t="s">
        <v>74</v>
      </c>
      <c r="B75" s="8">
        <f>SUM(B76:B82)</f>
        <v>53</v>
      </c>
      <c r="C75" s="8">
        <f>SUM(C76:C82)</f>
        <v>201</v>
      </c>
      <c r="D75" s="8">
        <f>SUM(D76)</f>
        <v>45</v>
      </c>
      <c r="E75" s="8">
        <f>SUM(E76:E82)</f>
        <v>6</v>
      </c>
      <c r="F75" s="8">
        <f>SUM(F76:F82)</f>
        <v>300</v>
      </c>
      <c r="G75" s="93">
        <f t="shared" ref="G75" si="31">B75+C75/60</f>
        <v>56.35</v>
      </c>
      <c r="H75" s="8">
        <f>SUM(H76:H82)</f>
        <v>749.4</v>
      </c>
      <c r="I75" s="9">
        <f>SUM(I76:I82)</f>
        <v>2535.75</v>
      </c>
      <c r="J75" s="14">
        <f>SUM(J76:J82)</f>
        <v>1786.3500000000001</v>
      </c>
      <c r="K75" s="8">
        <f>SUM(K76:K82)</f>
        <v>140</v>
      </c>
      <c r="L75" s="9">
        <v>0</v>
      </c>
      <c r="M75" s="96">
        <f>J75</f>
        <v>1786.3500000000001</v>
      </c>
      <c r="N75" s="102">
        <f>SUM(N76:N82)</f>
        <v>2783</v>
      </c>
      <c r="O75" s="98">
        <f>2789-N75</f>
        <v>6</v>
      </c>
      <c r="P75" s="149" t="s">
        <v>726</v>
      </c>
    </row>
    <row r="76" spans="1:17">
      <c r="A76" s="145">
        <v>46090</v>
      </c>
      <c r="B76" s="4">
        <v>8</v>
      </c>
      <c r="C76" s="4">
        <v>46</v>
      </c>
      <c r="D76" s="4">
        <v>45</v>
      </c>
      <c r="E76" s="4">
        <v>1</v>
      </c>
      <c r="F76" s="4">
        <v>50</v>
      </c>
      <c r="G76" s="10">
        <f>B76+C76/60</f>
        <v>8.7666666666666675</v>
      </c>
      <c r="H76" s="4">
        <f>50+49.5</f>
        <v>99.5</v>
      </c>
      <c r="I76" s="5">
        <f t="shared" ref="I76:I81" si="32">G76*D76</f>
        <v>394.50000000000006</v>
      </c>
      <c r="J76" s="5">
        <f>I76-H76</f>
        <v>295.00000000000006</v>
      </c>
      <c r="K76">
        <v>23</v>
      </c>
      <c r="N76" s="83">
        <v>600</v>
      </c>
      <c r="O76" s="51"/>
    </row>
    <row r="77" spans="1:17">
      <c r="A77" s="145">
        <v>46091</v>
      </c>
      <c r="B77" s="4">
        <v>9</v>
      </c>
      <c r="C77" s="4">
        <v>53</v>
      </c>
      <c r="D77" s="4">
        <v>45</v>
      </c>
      <c r="E77" s="4">
        <v>1</v>
      </c>
      <c r="F77" s="4">
        <v>50</v>
      </c>
      <c r="G77" s="10">
        <f t="shared" ref="G77:G79" si="33">B77+C77/60</f>
        <v>9.8833333333333329</v>
      </c>
      <c r="H77" s="4">
        <f>50+97.5</f>
        <v>147.5</v>
      </c>
      <c r="I77" s="5">
        <f t="shared" si="32"/>
        <v>444.75</v>
      </c>
      <c r="J77" s="5">
        <f>I77-H77</f>
        <v>297.25</v>
      </c>
      <c r="K77">
        <v>22</v>
      </c>
      <c r="N77" s="83">
        <v>390</v>
      </c>
    </row>
    <row r="78" spans="1:17">
      <c r="A78" s="145">
        <v>46092</v>
      </c>
      <c r="B78" s="4">
        <v>10</v>
      </c>
      <c r="C78" s="4">
        <v>3</v>
      </c>
      <c r="D78" s="4">
        <v>45</v>
      </c>
      <c r="E78" s="4">
        <v>1</v>
      </c>
      <c r="F78" s="4">
        <v>50</v>
      </c>
      <c r="G78" s="10">
        <f t="shared" si="33"/>
        <v>10.050000000000001</v>
      </c>
      <c r="H78" s="4">
        <v>50</v>
      </c>
      <c r="I78" s="5">
        <f t="shared" si="32"/>
        <v>452.25000000000006</v>
      </c>
      <c r="J78" s="5">
        <f t="shared" ref="J78:J82" si="34">I78-H78</f>
        <v>402.25000000000006</v>
      </c>
      <c r="K78">
        <v>24</v>
      </c>
      <c r="N78" s="119">
        <v>0</v>
      </c>
      <c r="Q78" t="s">
        <v>64</v>
      </c>
    </row>
    <row r="79" spans="1:17">
      <c r="A79" s="145">
        <v>46093</v>
      </c>
      <c r="B79" s="4">
        <v>9</v>
      </c>
      <c r="C79" s="4">
        <v>11</v>
      </c>
      <c r="D79" s="4">
        <v>45</v>
      </c>
      <c r="E79" s="4">
        <v>1</v>
      </c>
      <c r="F79" s="4">
        <v>50</v>
      </c>
      <c r="G79" s="10">
        <f t="shared" si="33"/>
        <v>9.1833333333333336</v>
      </c>
      <c r="H79" s="4">
        <f>50+150.3</f>
        <v>200.3</v>
      </c>
      <c r="I79" s="5">
        <f t="shared" si="32"/>
        <v>413.25</v>
      </c>
      <c r="J79" s="5">
        <f t="shared" si="34"/>
        <v>212.95</v>
      </c>
      <c r="K79">
        <v>22</v>
      </c>
      <c r="N79" s="119">
        <v>400</v>
      </c>
      <c r="P79" s="128" t="s">
        <v>746</v>
      </c>
    </row>
    <row r="80" spans="1:17">
      <c r="A80" s="145">
        <v>46094</v>
      </c>
      <c r="B80" s="4">
        <v>9</v>
      </c>
      <c r="C80" s="4">
        <v>35</v>
      </c>
      <c r="D80" s="4">
        <v>45</v>
      </c>
      <c r="E80" s="4">
        <v>1</v>
      </c>
      <c r="F80" s="4">
        <v>50</v>
      </c>
      <c r="G80" s="10">
        <f>B80+C80/60</f>
        <v>9.5833333333333339</v>
      </c>
      <c r="H80" s="4">
        <f>50+152.1</f>
        <v>202.1</v>
      </c>
      <c r="I80" s="5">
        <f t="shared" si="32"/>
        <v>431.25</v>
      </c>
      <c r="J80" s="5">
        <f t="shared" si="34"/>
        <v>229.15</v>
      </c>
      <c r="K80">
        <v>23</v>
      </c>
      <c r="N80" s="119">
        <v>490</v>
      </c>
      <c r="P80" s="128" t="s">
        <v>747</v>
      </c>
    </row>
    <row r="81" spans="1:17">
      <c r="A81" s="145">
        <v>46095</v>
      </c>
      <c r="B81" s="4">
        <v>8</v>
      </c>
      <c r="C81" s="4">
        <v>53</v>
      </c>
      <c r="D81" s="4">
        <v>45</v>
      </c>
      <c r="E81" s="4">
        <v>1</v>
      </c>
      <c r="F81" s="4">
        <v>50</v>
      </c>
      <c r="G81" s="10">
        <f>B81+C81/60</f>
        <v>8.8833333333333329</v>
      </c>
      <c r="H81" s="4">
        <v>50</v>
      </c>
      <c r="I81" s="5">
        <f t="shared" si="32"/>
        <v>399.75</v>
      </c>
      <c r="J81" s="5">
        <f t="shared" si="34"/>
        <v>349.75</v>
      </c>
      <c r="K81">
        <v>26</v>
      </c>
      <c r="N81" s="119">
        <v>543</v>
      </c>
    </row>
    <row r="82" spans="1:17" ht="16" thickBot="1">
      <c r="A82" s="145">
        <v>46096</v>
      </c>
      <c r="B82" s="4">
        <v>0</v>
      </c>
      <c r="C82" s="4">
        <v>0</v>
      </c>
      <c r="D82" s="4">
        <v>45</v>
      </c>
      <c r="E82" s="4">
        <v>0</v>
      </c>
      <c r="F82" s="4">
        <v>0</v>
      </c>
      <c r="G82" s="10">
        <v>0</v>
      </c>
      <c r="H82" s="4">
        <v>0</v>
      </c>
      <c r="I82" s="5">
        <v>0</v>
      </c>
      <c r="J82" s="5">
        <f t="shared" si="34"/>
        <v>0</v>
      </c>
      <c r="K82">
        <v>0</v>
      </c>
      <c r="N82" s="119">
        <v>360</v>
      </c>
    </row>
    <row r="83" spans="1:17" ht="20" hidden="1" thickBot="1">
      <c r="A83" s="91" t="s">
        <v>76</v>
      </c>
      <c r="B83" s="8">
        <f>SUM(B84:B90)</f>
        <v>0</v>
      </c>
      <c r="C83" s="8">
        <f>SUM(C84:C90)</f>
        <v>0</v>
      </c>
      <c r="D83" s="8">
        <f>SUM(D84)</f>
        <v>45</v>
      </c>
      <c r="E83" s="8">
        <f>SUM(E84:E90)</f>
        <v>7</v>
      </c>
      <c r="F83" s="8">
        <f>SUM(F84:F90)</f>
        <v>350</v>
      </c>
      <c r="G83" s="93">
        <f t="shared" ref="G83:G107" si="35">B83+C83/60</f>
        <v>0</v>
      </c>
      <c r="H83" s="8">
        <f>SUM(H84:H90)</f>
        <v>0</v>
      </c>
      <c r="I83" s="9">
        <f>SUM(I84:I90)</f>
        <v>0</v>
      </c>
      <c r="J83" s="14">
        <f>SUM(J84:J90)</f>
        <v>0</v>
      </c>
      <c r="K83" s="8">
        <f>SUM(K84:K90)</f>
        <v>0</v>
      </c>
      <c r="L83" s="9">
        <v>0</v>
      </c>
      <c r="M83" s="96">
        <f>J83</f>
        <v>0</v>
      </c>
      <c r="N83" s="102">
        <f>SUM(N84:N90)</f>
        <v>0</v>
      </c>
      <c r="O83" s="98">
        <f>-N83</f>
        <v>0</v>
      </c>
      <c r="P83" s="86"/>
      <c r="Q83" s="86"/>
    </row>
    <row r="84" spans="1:17" hidden="1">
      <c r="A84" s="145">
        <v>46090</v>
      </c>
      <c r="B84" s="4">
        <v>0</v>
      </c>
      <c r="C84" s="4">
        <v>0</v>
      </c>
      <c r="D84" s="4">
        <v>45</v>
      </c>
      <c r="E84" s="4">
        <v>1</v>
      </c>
      <c r="F84" s="4">
        <v>50</v>
      </c>
      <c r="G84" s="10">
        <f t="shared" si="35"/>
        <v>0</v>
      </c>
      <c r="H84" s="7">
        <v>0</v>
      </c>
      <c r="I84" s="5">
        <f t="shared" ref="I84:I90" si="36">G84*D84</f>
        <v>0</v>
      </c>
      <c r="J84" s="5">
        <f t="shared" ref="J84:J90" si="37">I84-H84</f>
        <v>0</v>
      </c>
      <c r="K84">
        <v>0</v>
      </c>
      <c r="N84" s="119">
        <v>0</v>
      </c>
      <c r="O84" s="51"/>
      <c r="P84" s="115"/>
    </row>
    <row r="85" spans="1:17" hidden="1">
      <c r="A85" s="145">
        <v>46091</v>
      </c>
      <c r="B85" s="4">
        <v>0</v>
      </c>
      <c r="C85" s="4">
        <v>0</v>
      </c>
      <c r="D85" s="4">
        <v>65</v>
      </c>
      <c r="E85" s="4">
        <v>1</v>
      </c>
      <c r="F85" s="4">
        <v>50</v>
      </c>
      <c r="G85" s="10">
        <f>B85+C85/60</f>
        <v>0</v>
      </c>
      <c r="H85" s="7">
        <v>0</v>
      </c>
      <c r="I85" s="5">
        <f t="shared" si="36"/>
        <v>0</v>
      </c>
      <c r="J85" s="5">
        <f t="shared" si="37"/>
        <v>0</v>
      </c>
      <c r="K85">
        <v>0</v>
      </c>
      <c r="N85" s="119">
        <v>0</v>
      </c>
    </row>
    <row r="86" spans="1:17" hidden="1">
      <c r="A86" s="145">
        <v>46092</v>
      </c>
      <c r="B86" s="4">
        <v>0</v>
      </c>
      <c r="C86" s="4">
        <v>0</v>
      </c>
      <c r="D86" s="4">
        <v>65</v>
      </c>
      <c r="E86" s="4">
        <v>1</v>
      </c>
      <c r="F86" s="4">
        <v>50</v>
      </c>
      <c r="G86" s="10">
        <f t="shared" si="35"/>
        <v>0</v>
      </c>
      <c r="H86" s="7">
        <v>0</v>
      </c>
      <c r="I86" s="5">
        <f t="shared" si="36"/>
        <v>0</v>
      </c>
      <c r="J86" s="5">
        <f t="shared" si="37"/>
        <v>0</v>
      </c>
      <c r="K86">
        <v>0</v>
      </c>
      <c r="N86" s="119">
        <v>0</v>
      </c>
      <c r="Q86" t="s">
        <v>64</v>
      </c>
    </row>
    <row r="87" spans="1:17" hidden="1">
      <c r="A87" s="145">
        <v>46093</v>
      </c>
      <c r="B87" s="4">
        <v>0</v>
      </c>
      <c r="C87" s="4">
        <v>0</v>
      </c>
      <c r="D87" s="4">
        <v>45</v>
      </c>
      <c r="E87" s="4">
        <v>1</v>
      </c>
      <c r="F87" s="4">
        <v>50</v>
      </c>
      <c r="G87" s="10">
        <f t="shared" si="35"/>
        <v>0</v>
      </c>
      <c r="H87" s="7">
        <v>0</v>
      </c>
      <c r="I87" s="5">
        <f t="shared" si="36"/>
        <v>0</v>
      </c>
      <c r="J87" s="5">
        <f t="shared" si="37"/>
        <v>0</v>
      </c>
      <c r="K87">
        <v>0</v>
      </c>
      <c r="N87" s="119">
        <v>0</v>
      </c>
    </row>
    <row r="88" spans="1:17" hidden="1">
      <c r="A88" s="145">
        <v>46094</v>
      </c>
      <c r="B88" s="4">
        <v>0</v>
      </c>
      <c r="C88" s="4">
        <v>0</v>
      </c>
      <c r="D88" s="4">
        <v>45</v>
      </c>
      <c r="E88" s="4">
        <v>1</v>
      </c>
      <c r="F88" s="4">
        <v>50</v>
      </c>
      <c r="G88" s="10">
        <f t="shared" si="35"/>
        <v>0</v>
      </c>
      <c r="H88" s="7">
        <v>0</v>
      </c>
      <c r="I88" s="5">
        <f t="shared" si="36"/>
        <v>0</v>
      </c>
      <c r="J88" s="5">
        <f t="shared" si="37"/>
        <v>0</v>
      </c>
      <c r="K88">
        <v>0</v>
      </c>
      <c r="N88" s="119">
        <v>0</v>
      </c>
    </row>
    <row r="89" spans="1:17" hidden="1">
      <c r="A89" s="145">
        <v>46095</v>
      </c>
      <c r="B89" s="4">
        <v>0</v>
      </c>
      <c r="C89" s="4">
        <v>0</v>
      </c>
      <c r="D89" s="4">
        <v>45</v>
      </c>
      <c r="E89" s="4">
        <v>1</v>
      </c>
      <c r="F89" s="4">
        <v>50</v>
      </c>
      <c r="G89" s="10">
        <f t="shared" si="35"/>
        <v>0</v>
      </c>
      <c r="H89" s="4">
        <v>0</v>
      </c>
      <c r="I89" s="5">
        <f t="shared" si="36"/>
        <v>0</v>
      </c>
      <c r="J89" s="5">
        <f t="shared" si="37"/>
        <v>0</v>
      </c>
      <c r="K89">
        <v>0</v>
      </c>
      <c r="N89" s="119">
        <v>0</v>
      </c>
    </row>
    <row r="90" spans="1:17" ht="16" hidden="1" thickBot="1">
      <c r="A90" s="145">
        <v>46096</v>
      </c>
      <c r="B90" s="4">
        <v>0</v>
      </c>
      <c r="C90" s="4">
        <v>0</v>
      </c>
      <c r="D90" s="4">
        <v>45</v>
      </c>
      <c r="E90" s="4">
        <v>1</v>
      </c>
      <c r="F90" s="4">
        <v>50</v>
      </c>
      <c r="G90" s="10">
        <f t="shared" si="35"/>
        <v>0</v>
      </c>
      <c r="H90" s="4">
        <v>0</v>
      </c>
      <c r="I90" s="5">
        <f t="shared" si="36"/>
        <v>0</v>
      </c>
      <c r="J90" s="5">
        <f t="shared" si="37"/>
        <v>0</v>
      </c>
      <c r="K90">
        <v>0</v>
      </c>
      <c r="N90" s="119">
        <v>0</v>
      </c>
    </row>
    <row r="91" spans="1:17" ht="20" hidden="1" thickBot="1">
      <c r="A91" s="91" t="s">
        <v>78</v>
      </c>
      <c r="B91" s="8">
        <f>SUM(B92:B98)</f>
        <v>0</v>
      </c>
      <c r="C91" s="8">
        <f>SUM(C92:C98)</f>
        <v>0</v>
      </c>
      <c r="D91" s="8">
        <v>45</v>
      </c>
      <c r="E91" s="8">
        <f>SUM(E92:E98)</f>
        <v>7</v>
      </c>
      <c r="F91" s="8">
        <f>SUM(F92:F98)</f>
        <v>350</v>
      </c>
      <c r="G91" s="93">
        <f t="shared" si="35"/>
        <v>0</v>
      </c>
      <c r="H91" s="8">
        <f>SUM(H92:H98)</f>
        <v>0</v>
      </c>
      <c r="I91" s="9">
        <f>SUM(I92:I98)</f>
        <v>0</v>
      </c>
      <c r="J91" s="14">
        <f>SUM(J92:J98)</f>
        <v>0</v>
      </c>
      <c r="K91" s="8">
        <f>SUM(K92:K98)</f>
        <v>0</v>
      </c>
      <c r="L91" s="9">
        <v>0</v>
      </c>
      <c r="M91" s="96">
        <f>J91</f>
        <v>0</v>
      </c>
      <c r="N91" s="102">
        <f>SUM(N92:N98)</f>
        <v>0</v>
      </c>
      <c r="O91" s="98">
        <f>-N91</f>
        <v>0</v>
      </c>
      <c r="P91" s="86"/>
      <c r="Q91" s="86"/>
    </row>
    <row r="92" spans="1:17" hidden="1">
      <c r="A92" s="145">
        <v>46090</v>
      </c>
      <c r="B92" s="4">
        <v>0</v>
      </c>
      <c r="C92" s="4">
        <v>0</v>
      </c>
      <c r="D92" s="4">
        <v>45</v>
      </c>
      <c r="E92" s="4">
        <v>1</v>
      </c>
      <c r="F92" s="4">
        <v>50</v>
      </c>
      <c r="G92" s="10">
        <f t="shared" si="35"/>
        <v>0</v>
      </c>
      <c r="H92" s="4">
        <v>0</v>
      </c>
      <c r="I92" s="5">
        <f t="shared" ref="I92:I98" si="38">G92*D92</f>
        <v>0</v>
      </c>
      <c r="J92" s="5">
        <f t="shared" ref="J92:J98" si="39">I92-H92</f>
        <v>0</v>
      </c>
      <c r="K92">
        <v>0</v>
      </c>
      <c r="N92" s="119">
        <v>0</v>
      </c>
      <c r="O92" s="51"/>
    </row>
    <row r="93" spans="1:17" hidden="1">
      <c r="A93" s="145">
        <v>46091</v>
      </c>
      <c r="B93" s="4">
        <v>0</v>
      </c>
      <c r="C93" s="4">
        <v>0</v>
      </c>
      <c r="D93" s="4">
        <v>45</v>
      </c>
      <c r="E93" s="4">
        <v>1</v>
      </c>
      <c r="F93" s="4">
        <v>50</v>
      </c>
      <c r="G93" s="10">
        <f t="shared" si="35"/>
        <v>0</v>
      </c>
      <c r="H93" s="4">
        <v>0</v>
      </c>
      <c r="I93" s="5">
        <f t="shared" si="38"/>
        <v>0</v>
      </c>
      <c r="J93" s="5">
        <f t="shared" si="39"/>
        <v>0</v>
      </c>
      <c r="K93">
        <v>0</v>
      </c>
      <c r="N93" s="119">
        <v>0</v>
      </c>
    </row>
    <row r="94" spans="1:17" hidden="1">
      <c r="A94" s="145">
        <v>46092</v>
      </c>
      <c r="B94" s="4">
        <v>0</v>
      </c>
      <c r="C94" s="4">
        <v>0</v>
      </c>
      <c r="D94" s="4">
        <v>45</v>
      </c>
      <c r="E94" s="4">
        <v>1</v>
      </c>
      <c r="F94" s="4">
        <v>50</v>
      </c>
      <c r="G94" s="10">
        <f t="shared" si="35"/>
        <v>0</v>
      </c>
      <c r="H94" s="4">
        <v>0</v>
      </c>
      <c r="I94" s="5">
        <f t="shared" si="38"/>
        <v>0</v>
      </c>
      <c r="J94" s="5">
        <f t="shared" si="39"/>
        <v>0</v>
      </c>
      <c r="K94">
        <v>0</v>
      </c>
      <c r="N94" s="119">
        <v>0</v>
      </c>
      <c r="Q94" t="s">
        <v>64</v>
      </c>
    </row>
    <row r="95" spans="1:17" hidden="1">
      <c r="A95" s="145">
        <v>46093</v>
      </c>
      <c r="B95" s="4">
        <v>0</v>
      </c>
      <c r="C95" s="4">
        <v>0</v>
      </c>
      <c r="D95" s="4">
        <v>45</v>
      </c>
      <c r="E95" s="4">
        <v>1</v>
      </c>
      <c r="F95" s="4">
        <v>50</v>
      </c>
      <c r="G95" s="10">
        <f t="shared" si="35"/>
        <v>0</v>
      </c>
      <c r="H95" s="4">
        <v>0</v>
      </c>
      <c r="I95" s="5">
        <f t="shared" si="38"/>
        <v>0</v>
      </c>
      <c r="J95" s="5">
        <f t="shared" si="39"/>
        <v>0</v>
      </c>
      <c r="K95">
        <v>0</v>
      </c>
      <c r="N95" s="119">
        <v>0</v>
      </c>
    </row>
    <row r="96" spans="1:17" hidden="1">
      <c r="A96" s="145">
        <v>46094</v>
      </c>
      <c r="B96" s="4">
        <v>0</v>
      </c>
      <c r="C96" s="4">
        <v>0</v>
      </c>
      <c r="D96" s="4">
        <v>45</v>
      </c>
      <c r="E96" s="4">
        <v>1</v>
      </c>
      <c r="F96" s="4">
        <v>50</v>
      </c>
      <c r="G96" s="10">
        <f t="shared" si="35"/>
        <v>0</v>
      </c>
      <c r="H96" s="4">
        <v>0</v>
      </c>
      <c r="I96" s="5">
        <f t="shared" si="38"/>
        <v>0</v>
      </c>
      <c r="J96" s="5">
        <f t="shared" si="39"/>
        <v>0</v>
      </c>
      <c r="K96">
        <v>0</v>
      </c>
      <c r="N96" s="119">
        <v>0</v>
      </c>
    </row>
    <row r="97" spans="1:17" hidden="1">
      <c r="A97" s="145">
        <v>46095</v>
      </c>
      <c r="B97" s="4">
        <v>0</v>
      </c>
      <c r="C97" s="4">
        <v>0</v>
      </c>
      <c r="D97" s="4">
        <v>45</v>
      </c>
      <c r="E97" s="4">
        <v>1</v>
      </c>
      <c r="F97" s="4">
        <v>50</v>
      </c>
      <c r="G97" s="10">
        <f t="shared" si="35"/>
        <v>0</v>
      </c>
      <c r="H97" s="4">
        <v>0</v>
      </c>
      <c r="I97" s="5">
        <f t="shared" si="38"/>
        <v>0</v>
      </c>
      <c r="J97" s="5">
        <f t="shared" si="39"/>
        <v>0</v>
      </c>
      <c r="K97">
        <v>0</v>
      </c>
      <c r="N97" s="119">
        <v>0</v>
      </c>
    </row>
    <row r="98" spans="1:17" ht="16" hidden="1" thickBot="1">
      <c r="A98" s="145">
        <v>46096</v>
      </c>
      <c r="B98" s="4">
        <v>0</v>
      </c>
      <c r="C98" s="4">
        <v>0</v>
      </c>
      <c r="D98" s="4">
        <v>45</v>
      </c>
      <c r="E98" s="4">
        <v>1</v>
      </c>
      <c r="F98" s="4">
        <v>50</v>
      </c>
      <c r="G98" s="10">
        <f t="shared" si="35"/>
        <v>0</v>
      </c>
      <c r="H98" s="4">
        <v>0</v>
      </c>
      <c r="I98" s="5">
        <f t="shared" si="38"/>
        <v>0</v>
      </c>
      <c r="J98" s="5">
        <f t="shared" si="39"/>
        <v>0</v>
      </c>
      <c r="K98">
        <v>0</v>
      </c>
      <c r="N98" s="119">
        <v>0</v>
      </c>
    </row>
    <row r="99" spans="1:17" s="86" customFormat="1" ht="20" thickBot="1">
      <c r="A99" s="91" t="s">
        <v>81</v>
      </c>
      <c r="B99" s="8">
        <f>SUM(B100:B106)</f>
        <v>69</v>
      </c>
      <c r="C99" s="8">
        <f>SUM(C100:C106)</f>
        <v>200</v>
      </c>
      <c r="D99" s="8">
        <v>45</v>
      </c>
      <c r="E99" s="8">
        <f>SUM(E100:E106)</f>
        <v>7</v>
      </c>
      <c r="F99" s="8">
        <f>SUM(F100:F106)</f>
        <v>350</v>
      </c>
      <c r="G99" s="93">
        <f t="shared" si="35"/>
        <v>72.333333333333329</v>
      </c>
      <c r="H99" s="8">
        <f>SUM(H100:H106)</f>
        <v>350</v>
      </c>
      <c r="I99" s="14">
        <f>SUM(I100:I106)</f>
        <v>4020.666666666667</v>
      </c>
      <c r="J99" s="14">
        <f>SUM(J100:J106)</f>
        <v>3670.666666666667</v>
      </c>
      <c r="K99" s="8">
        <f>SUM(K100:K106)</f>
        <v>196</v>
      </c>
      <c r="L99" s="9">
        <v>0</v>
      </c>
      <c r="M99" s="96">
        <f>J99</f>
        <v>3670.666666666667</v>
      </c>
      <c r="N99" s="129">
        <f>SUM(N100:N106)</f>
        <v>4782</v>
      </c>
      <c r="O99" s="98">
        <f>4782-N99</f>
        <v>0</v>
      </c>
      <c r="P99" s="149" t="s">
        <v>726</v>
      </c>
    </row>
    <row r="100" spans="1:17">
      <c r="A100" s="145">
        <v>46090</v>
      </c>
      <c r="B100" s="4">
        <v>10</v>
      </c>
      <c r="C100" s="4">
        <v>49</v>
      </c>
      <c r="D100" s="4">
        <v>65</v>
      </c>
      <c r="E100" s="4">
        <v>1</v>
      </c>
      <c r="F100" s="4">
        <v>50</v>
      </c>
      <c r="G100" s="10">
        <f t="shared" si="35"/>
        <v>10.816666666666666</v>
      </c>
      <c r="H100" s="4">
        <v>50</v>
      </c>
      <c r="I100" s="5">
        <f t="shared" ref="I100:I106" si="40">G100*D100</f>
        <v>703.08333333333337</v>
      </c>
      <c r="J100" s="5">
        <f t="shared" ref="J100:J106" si="41">I100-H100</f>
        <v>653.08333333333337</v>
      </c>
      <c r="K100">
        <v>32</v>
      </c>
      <c r="N100" s="119">
        <v>900</v>
      </c>
      <c r="O100" s="51"/>
    </row>
    <row r="101" spans="1:17">
      <c r="A101" s="145">
        <v>46091</v>
      </c>
      <c r="B101" s="4">
        <v>11</v>
      </c>
      <c r="C101" s="4">
        <v>0</v>
      </c>
      <c r="D101" s="4">
        <v>65</v>
      </c>
      <c r="E101" s="4">
        <v>1</v>
      </c>
      <c r="F101" s="4">
        <v>50</v>
      </c>
      <c r="G101" s="10">
        <f t="shared" si="35"/>
        <v>11</v>
      </c>
      <c r="H101" s="4">
        <v>50</v>
      </c>
      <c r="I101" s="5">
        <f t="shared" si="40"/>
        <v>715</v>
      </c>
      <c r="J101" s="5">
        <f t="shared" si="41"/>
        <v>665</v>
      </c>
      <c r="K101">
        <v>33</v>
      </c>
      <c r="N101" s="119">
        <v>720</v>
      </c>
    </row>
    <row r="102" spans="1:17">
      <c r="A102" s="145">
        <v>46092</v>
      </c>
      <c r="B102" s="4">
        <v>10</v>
      </c>
      <c r="C102" s="4">
        <v>34</v>
      </c>
      <c r="D102" s="4">
        <v>45</v>
      </c>
      <c r="E102" s="4">
        <v>1</v>
      </c>
      <c r="F102" s="4">
        <v>50</v>
      </c>
      <c r="G102" s="10">
        <f t="shared" si="35"/>
        <v>10.566666666666666</v>
      </c>
      <c r="H102" s="4">
        <v>50</v>
      </c>
      <c r="I102" s="5">
        <f t="shared" si="40"/>
        <v>475.5</v>
      </c>
      <c r="J102" s="5">
        <f t="shared" si="41"/>
        <v>425.5</v>
      </c>
      <c r="K102">
        <v>22</v>
      </c>
      <c r="N102" s="119">
        <v>479</v>
      </c>
      <c r="Q102" t="s">
        <v>64</v>
      </c>
    </row>
    <row r="103" spans="1:17">
      <c r="A103" s="145">
        <v>46093</v>
      </c>
      <c r="B103" s="4">
        <v>6</v>
      </c>
      <c r="C103" s="4">
        <v>55</v>
      </c>
      <c r="D103" s="4">
        <v>45</v>
      </c>
      <c r="E103" s="4">
        <v>1</v>
      </c>
      <c r="F103" s="4">
        <v>50</v>
      </c>
      <c r="G103" s="10">
        <f t="shared" si="35"/>
        <v>6.916666666666667</v>
      </c>
      <c r="H103" s="4">
        <v>50</v>
      </c>
      <c r="I103" s="5">
        <f t="shared" si="40"/>
        <v>311.25</v>
      </c>
      <c r="J103" s="5">
        <f t="shared" si="41"/>
        <v>261.25</v>
      </c>
      <c r="K103">
        <v>22</v>
      </c>
      <c r="N103" s="119">
        <f>200+224</f>
        <v>424</v>
      </c>
      <c r="P103" s="128" t="s">
        <v>748</v>
      </c>
    </row>
    <row r="104" spans="1:17">
      <c r="A104" s="145">
        <v>46094</v>
      </c>
      <c r="B104" s="4">
        <v>11</v>
      </c>
      <c r="C104" s="4">
        <v>4</v>
      </c>
      <c r="D104" s="4">
        <v>45</v>
      </c>
      <c r="E104" s="4">
        <v>1</v>
      </c>
      <c r="F104" s="4">
        <v>50</v>
      </c>
      <c r="G104" s="10">
        <f t="shared" si="35"/>
        <v>11.066666666666666</v>
      </c>
      <c r="H104" s="4">
        <v>50</v>
      </c>
      <c r="I104" s="5">
        <f t="shared" si="40"/>
        <v>498</v>
      </c>
      <c r="J104" s="5">
        <f t="shared" si="41"/>
        <v>448</v>
      </c>
      <c r="K104">
        <v>26</v>
      </c>
      <c r="N104" s="119">
        <f>500+200</f>
        <v>700</v>
      </c>
      <c r="P104" t="s">
        <v>290</v>
      </c>
    </row>
    <row r="105" spans="1:17">
      <c r="A105" s="145">
        <v>46095</v>
      </c>
      <c r="B105" s="4">
        <v>11</v>
      </c>
      <c r="C105" s="4">
        <v>0</v>
      </c>
      <c r="D105" s="4">
        <v>55</v>
      </c>
      <c r="E105" s="4">
        <v>1</v>
      </c>
      <c r="F105" s="4">
        <v>50</v>
      </c>
      <c r="G105" s="10">
        <f t="shared" si="35"/>
        <v>11</v>
      </c>
      <c r="H105" s="4">
        <v>50</v>
      </c>
      <c r="I105" s="5">
        <f t="shared" si="40"/>
        <v>605</v>
      </c>
      <c r="J105" s="5">
        <f t="shared" si="41"/>
        <v>555</v>
      </c>
      <c r="K105">
        <v>29</v>
      </c>
      <c r="N105" s="119">
        <v>730</v>
      </c>
    </row>
    <row r="106" spans="1:17" ht="16" thickBot="1">
      <c r="A106" s="145">
        <v>46096</v>
      </c>
      <c r="B106" s="4">
        <v>10</v>
      </c>
      <c r="C106" s="4">
        <v>58</v>
      </c>
      <c r="D106" s="4">
        <v>65</v>
      </c>
      <c r="E106" s="4">
        <v>1</v>
      </c>
      <c r="F106" s="4">
        <v>50</v>
      </c>
      <c r="G106" s="10">
        <f t="shared" si="35"/>
        <v>10.966666666666667</v>
      </c>
      <c r="H106" s="4">
        <v>50</v>
      </c>
      <c r="I106" s="5">
        <f t="shared" si="40"/>
        <v>712.83333333333337</v>
      </c>
      <c r="J106" s="5">
        <f t="shared" si="41"/>
        <v>662.83333333333337</v>
      </c>
      <c r="K106">
        <v>32</v>
      </c>
      <c r="N106" s="119">
        <v>829</v>
      </c>
    </row>
    <row r="107" spans="1:17" s="86" customFormat="1" ht="20" hidden="1" thickBot="1">
      <c r="A107" s="91" t="s">
        <v>90</v>
      </c>
      <c r="B107" s="8">
        <f>SUM(B108:B113)</f>
        <v>0</v>
      </c>
      <c r="C107" s="8">
        <f>SUM(C108:C113)</f>
        <v>0</v>
      </c>
      <c r="D107" s="8">
        <f>SUM(D108)</f>
        <v>45</v>
      </c>
      <c r="E107" s="8">
        <f>SUM(E108:E113)</f>
        <v>6</v>
      </c>
      <c r="F107" s="8">
        <f>SUM(F108:F113)</f>
        <v>300</v>
      </c>
      <c r="G107" s="93">
        <f t="shared" si="35"/>
        <v>0</v>
      </c>
      <c r="H107" s="8">
        <f>SUM(H108:H113)</f>
        <v>0</v>
      </c>
      <c r="I107" s="9">
        <f>SUM(I108:I113)</f>
        <v>0</v>
      </c>
      <c r="J107" s="14">
        <f>SUM(J108:J113)</f>
        <v>0</v>
      </c>
      <c r="K107" s="8">
        <f>SUM(K108:K113)</f>
        <v>0</v>
      </c>
      <c r="L107" s="9">
        <v>0</v>
      </c>
      <c r="M107" s="96">
        <f>J107</f>
        <v>0</v>
      </c>
      <c r="N107" s="102">
        <f>SUM(N108:N111)</f>
        <v>0</v>
      </c>
      <c r="O107" s="98">
        <v>0</v>
      </c>
    </row>
    <row r="108" spans="1:17" hidden="1">
      <c r="A108" s="145">
        <v>46090</v>
      </c>
      <c r="B108" s="4">
        <v>0</v>
      </c>
      <c r="C108" s="4">
        <v>0</v>
      </c>
      <c r="D108" s="4">
        <v>45</v>
      </c>
      <c r="E108" s="4">
        <v>1</v>
      </c>
      <c r="F108" s="4">
        <v>50</v>
      </c>
      <c r="G108" s="10">
        <f>B108+C108/60</f>
        <v>0</v>
      </c>
      <c r="H108" s="4">
        <v>0</v>
      </c>
      <c r="I108" s="5">
        <f t="shared" ref="I108:I113" si="42">G108*D108</f>
        <v>0</v>
      </c>
      <c r="J108" s="5">
        <f>I108-H108</f>
        <v>0</v>
      </c>
      <c r="K108">
        <v>0</v>
      </c>
      <c r="N108" s="119">
        <v>0</v>
      </c>
      <c r="O108" s="51"/>
    </row>
    <row r="109" spans="1:17" hidden="1">
      <c r="A109" s="145">
        <v>46091</v>
      </c>
      <c r="B109" s="4">
        <v>0</v>
      </c>
      <c r="C109" s="4">
        <v>0</v>
      </c>
      <c r="D109" s="4">
        <v>55</v>
      </c>
      <c r="E109" s="4">
        <v>1</v>
      </c>
      <c r="F109" s="4">
        <v>50</v>
      </c>
      <c r="G109" s="10">
        <f t="shared" ref="G109:G115" si="43">B109+C109/60</f>
        <v>0</v>
      </c>
      <c r="H109" s="4">
        <v>0</v>
      </c>
      <c r="I109" s="5">
        <f t="shared" si="42"/>
        <v>0</v>
      </c>
      <c r="J109" s="5">
        <f>I109-H109</f>
        <v>0</v>
      </c>
      <c r="K109">
        <v>0</v>
      </c>
      <c r="N109" s="119">
        <v>0</v>
      </c>
    </row>
    <row r="110" spans="1:17" hidden="1">
      <c r="A110" s="145">
        <v>46092</v>
      </c>
      <c r="B110" s="4">
        <v>0</v>
      </c>
      <c r="C110" s="4">
        <v>0</v>
      </c>
      <c r="D110" s="4">
        <v>55</v>
      </c>
      <c r="E110" s="4">
        <v>1</v>
      </c>
      <c r="F110" s="4">
        <v>50</v>
      </c>
      <c r="G110" s="10">
        <f t="shared" si="43"/>
        <v>0</v>
      </c>
      <c r="H110" s="4">
        <v>0</v>
      </c>
      <c r="I110" s="5">
        <f t="shared" si="42"/>
        <v>0</v>
      </c>
      <c r="J110" s="5">
        <f t="shared" ref="J110:J114" si="44">I110-H110</f>
        <v>0</v>
      </c>
      <c r="K110">
        <v>0</v>
      </c>
      <c r="N110" s="83">
        <v>0</v>
      </c>
      <c r="Q110" t="s">
        <v>64</v>
      </c>
    </row>
    <row r="111" spans="1:17" hidden="1">
      <c r="A111" s="145">
        <v>46093</v>
      </c>
      <c r="B111" s="4">
        <v>0</v>
      </c>
      <c r="C111" s="4">
        <v>0</v>
      </c>
      <c r="D111" s="4">
        <v>45</v>
      </c>
      <c r="E111" s="4">
        <v>1</v>
      </c>
      <c r="F111" s="4">
        <v>50</v>
      </c>
      <c r="G111" s="10">
        <f t="shared" si="43"/>
        <v>0</v>
      </c>
      <c r="H111" s="4">
        <v>0</v>
      </c>
      <c r="I111" s="5">
        <f t="shared" si="42"/>
        <v>0</v>
      </c>
      <c r="J111" s="5">
        <f t="shared" si="44"/>
        <v>0</v>
      </c>
      <c r="K111">
        <v>0</v>
      </c>
      <c r="N111" s="119">
        <v>0</v>
      </c>
    </row>
    <row r="112" spans="1:17" hidden="1">
      <c r="A112" s="145">
        <v>46094</v>
      </c>
      <c r="B112" s="4">
        <v>0</v>
      </c>
      <c r="C112" s="4">
        <v>0</v>
      </c>
      <c r="D112" s="4">
        <v>45</v>
      </c>
      <c r="E112" s="4">
        <v>1</v>
      </c>
      <c r="F112" s="4">
        <v>50</v>
      </c>
      <c r="G112" s="10">
        <f t="shared" si="43"/>
        <v>0</v>
      </c>
      <c r="H112" s="4">
        <v>0</v>
      </c>
      <c r="I112" s="5">
        <f t="shared" si="42"/>
        <v>0</v>
      </c>
      <c r="J112" s="5">
        <f t="shared" si="44"/>
        <v>0</v>
      </c>
      <c r="K112">
        <v>0</v>
      </c>
      <c r="N112" s="119">
        <v>0</v>
      </c>
    </row>
    <row r="113" spans="1:17" hidden="1">
      <c r="A113" s="145">
        <v>46095</v>
      </c>
      <c r="B113" s="4">
        <v>0</v>
      </c>
      <c r="C113" s="4">
        <v>0</v>
      </c>
      <c r="D113" s="4">
        <v>45</v>
      </c>
      <c r="E113" s="4">
        <v>1</v>
      </c>
      <c r="F113" s="4">
        <v>50</v>
      </c>
      <c r="G113" s="10">
        <f t="shared" si="43"/>
        <v>0</v>
      </c>
      <c r="H113" s="4">
        <v>0</v>
      </c>
      <c r="I113" s="5">
        <f t="shared" si="42"/>
        <v>0</v>
      </c>
      <c r="J113" s="5">
        <f t="shared" si="44"/>
        <v>0</v>
      </c>
      <c r="K113">
        <v>0</v>
      </c>
      <c r="N113" s="119">
        <v>0</v>
      </c>
    </row>
    <row r="114" spans="1:17" ht="16" hidden="1" thickBot="1">
      <c r="A114" s="145">
        <v>46096</v>
      </c>
      <c r="B114" s="4">
        <v>0</v>
      </c>
      <c r="C114" s="4">
        <v>0</v>
      </c>
      <c r="D114" s="4">
        <v>45</v>
      </c>
      <c r="E114" s="4">
        <v>1</v>
      </c>
      <c r="F114" s="4">
        <v>50</v>
      </c>
      <c r="G114" s="10">
        <f t="shared" si="43"/>
        <v>0</v>
      </c>
      <c r="H114" s="4">
        <v>0</v>
      </c>
      <c r="I114" s="5">
        <f>G114*D114</f>
        <v>0</v>
      </c>
      <c r="J114" s="5">
        <f t="shared" si="44"/>
        <v>0</v>
      </c>
      <c r="K114">
        <v>0</v>
      </c>
      <c r="N114" s="119">
        <v>0</v>
      </c>
    </row>
    <row r="115" spans="1:17" s="86" customFormat="1" ht="20" thickBot="1">
      <c r="A115" s="91" t="s">
        <v>749</v>
      </c>
      <c r="B115" s="8">
        <f>SUM(B116:B122)</f>
        <v>43</v>
      </c>
      <c r="C115" s="8">
        <f>SUM(C116:C122)</f>
        <v>221</v>
      </c>
      <c r="D115" s="8">
        <f>SUM(D116)</f>
        <v>45</v>
      </c>
      <c r="E115" s="8">
        <f>SUM(E116:E122)</f>
        <v>5</v>
      </c>
      <c r="F115" s="8">
        <f>SUM(F116:F121)</f>
        <v>250</v>
      </c>
      <c r="G115" s="93">
        <f t="shared" si="43"/>
        <v>46.68333333333333</v>
      </c>
      <c r="H115" s="8">
        <f>SUM(H116:H122)</f>
        <v>250</v>
      </c>
      <c r="I115" s="9">
        <f>SUM(I116:I122)</f>
        <v>2100.75</v>
      </c>
      <c r="J115" s="14">
        <f>SUM(J116:J122)</f>
        <v>1850.75</v>
      </c>
      <c r="K115" s="8">
        <f>SUM(K116:K122)</f>
        <v>104</v>
      </c>
      <c r="L115" s="9">
        <v>0</v>
      </c>
      <c r="M115" s="96">
        <f>J115</f>
        <v>1850.75</v>
      </c>
      <c r="N115" s="102">
        <f>SUM(N116:N122)</f>
        <v>2821</v>
      </c>
      <c r="O115" s="98">
        <f>2821-N115</f>
        <v>0</v>
      </c>
    </row>
    <row r="116" spans="1:17">
      <c r="A116" s="145">
        <v>46090</v>
      </c>
      <c r="B116" s="4">
        <v>0</v>
      </c>
      <c r="C116" s="4">
        <v>0</v>
      </c>
      <c r="D116" s="4">
        <v>45</v>
      </c>
      <c r="E116" s="4">
        <v>0</v>
      </c>
      <c r="F116" s="4">
        <v>0</v>
      </c>
      <c r="G116" s="10">
        <f>B116+C116/60</f>
        <v>0</v>
      </c>
      <c r="H116" s="4">
        <v>0</v>
      </c>
      <c r="I116" s="5">
        <f t="shared" ref="I116:I122" si="45">G116*D116</f>
        <v>0</v>
      </c>
      <c r="J116" s="5">
        <f t="shared" ref="J116:J121" si="46">I116-H116</f>
        <v>0</v>
      </c>
      <c r="K116">
        <v>0</v>
      </c>
      <c r="N116" s="119"/>
      <c r="O116" s="51"/>
    </row>
    <row r="117" spans="1:17">
      <c r="A117" s="145">
        <v>46091</v>
      </c>
      <c r="B117" s="4">
        <v>9</v>
      </c>
      <c r="C117" s="4">
        <v>59</v>
      </c>
      <c r="D117" s="4">
        <v>45</v>
      </c>
      <c r="E117" s="4">
        <v>1</v>
      </c>
      <c r="F117" s="4">
        <v>50</v>
      </c>
      <c r="G117" s="10">
        <f t="shared" ref="G117:G147" si="47">B117+C117/60</f>
        <v>9.9833333333333325</v>
      </c>
      <c r="H117" s="4">
        <v>50</v>
      </c>
      <c r="I117" s="5">
        <f t="shared" si="45"/>
        <v>449.24999999999994</v>
      </c>
      <c r="J117" s="5">
        <f t="shared" si="46"/>
        <v>399.24999999999994</v>
      </c>
      <c r="K117">
        <v>23</v>
      </c>
      <c r="N117" s="119">
        <f>490+100</f>
        <v>590</v>
      </c>
      <c r="P117" t="s">
        <v>660</v>
      </c>
    </row>
    <row r="118" spans="1:17">
      <c r="A118" s="145">
        <v>46092</v>
      </c>
      <c r="B118" s="4">
        <v>9</v>
      </c>
      <c r="C118" s="4">
        <v>20</v>
      </c>
      <c r="D118" s="4">
        <v>45</v>
      </c>
      <c r="E118" s="4">
        <v>1</v>
      </c>
      <c r="F118" s="4">
        <v>50</v>
      </c>
      <c r="G118" s="10">
        <f t="shared" si="47"/>
        <v>9.3333333333333339</v>
      </c>
      <c r="H118" s="4">
        <v>50</v>
      </c>
      <c r="I118" s="5">
        <f t="shared" si="45"/>
        <v>420</v>
      </c>
      <c r="J118" s="5">
        <f t="shared" si="46"/>
        <v>370</v>
      </c>
      <c r="K118">
        <v>19</v>
      </c>
      <c r="N118" s="119">
        <v>335</v>
      </c>
      <c r="Q118" t="s">
        <v>64</v>
      </c>
    </row>
    <row r="119" spans="1:17">
      <c r="A119" s="145">
        <v>46093</v>
      </c>
      <c r="B119" s="4">
        <v>9</v>
      </c>
      <c r="C119" s="4">
        <v>47</v>
      </c>
      <c r="D119" s="4">
        <v>45</v>
      </c>
      <c r="E119" s="4">
        <v>1</v>
      </c>
      <c r="F119" s="4">
        <v>50</v>
      </c>
      <c r="G119" s="10">
        <f t="shared" si="47"/>
        <v>9.7833333333333332</v>
      </c>
      <c r="H119" s="4">
        <v>50</v>
      </c>
      <c r="I119" s="5">
        <f t="shared" si="45"/>
        <v>440.25</v>
      </c>
      <c r="J119" s="5">
        <f t="shared" si="46"/>
        <v>390.25</v>
      </c>
      <c r="K119">
        <v>21</v>
      </c>
      <c r="N119" s="119">
        <f>554+200</f>
        <v>754</v>
      </c>
      <c r="P119" t="s">
        <v>743</v>
      </c>
    </row>
    <row r="120" spans="1:17">
      <c r="A120" s="145">
        <v>46094</v>
      </c>
      <c r="B120" s="4">
        <v>10</v>
      </c>
      <c r="C120" s="4">
        <v>57</v>
      </c>
      <c r="D120" s="4">
        <v>45</v>
      </c>
      <c r="E120" s="4">
        <v>1</v>
      </c>
      <c r="F120" s="4">
        <v>50</v>
      </c>
      <c r="G120" s="10">
        <f t="shared" si="47"/>
        <v>10.95</v>
      </c>
      <c r="H120" s="4">
        <v>50</v>
      </c>
      <c r="I120" s="5">
        <f t="shared" si="45"/>
        <v>492.74999999999994</v>
      </c>
      <c r="J120" s="5">
        <f t="shared" si="46"/>
        <v>442.74999999999994</v>
      </c>
      <c r="K120">
        <v>26</v>
      </c>
      <c r="N120" s="119">
        <f>290+200</f>
        <v>490</v>
      </c>
      <c r="P120" t="s">
        <v>743</v>
      </c>
    </row>
    <row r="121" spans="1:17">
      <c r="A121" s="145">
        <v>46095</v>
      </c>
      <c r="B121" s="4">
        <v>6</v>
      </c>
      <c r="C121" s="4">
        <v>38</v>
      </c>
      <c r="D121" s="4">
        <v>45</v>
      </c>
      <c r="E121" s="4">
        <v>1</v>
      </c>
      <c r="F121" s="4">
        <v>50</v>
      </c>
      <c r="G121" s="10">
        <f t="shared" si="47"/>
        <v>6.6333333333333329</v>
      </c>
      <c r="H121" s="4">
        <v>50</v>
      </c>
      <c r="I121" s="5">
        <f t="shared" si="45"/>
        <v>298.5</v>
      </c>
      <c r="J121" s="5">
        <f t="shared" si="46"/>
        <v>248.5</v>
      </c>
      <c r="K121">
        <v>15</v>
      </c>
      <c r="N121" s="119">
        <f>60+100</f>
        <v>160</v>
      </c>
      <c r="P121" s="128" t="s">
        <v>750</v>
      </c>
    </row>
    <row r="122" spans="1:17" ht="16" thickBot="1">
      <c r="A122" s="145">
        <v>46096</v>
      </c>
      <c r="B122" s="4">
        <v>0</v>
      </c>
      <c r="C122" s="4">
        <v>0</v>
      </c>
      <c r="D122" s="4">
        <v>45</v>
      </c>
      <c r="E122" s="4">
        <v>0</v>
      </c>
      <c r="F122" s="4">
        <v>0</v>
      </c>
      <c r="G122" s="10">
        <f t="shared" si="47"/>
        <v>0</v>
      </c>
      <c r="H122" s="4">
        <v>0</v>
      </c>
      <c r="I122" s="5">
        <f t="shared" si="45"/>
        <v>0</v>
      </c>
      <c r="J122" s="5">
        <f t="shared" ref="J122" si="48">I122-H122</f>
        <v>0</v>
      </c>
      <c r="K122">
        <v>0</v>
      </c>
      <c r="N122" s="119">
        <f>92+400</f>
        <v>492</v>
      </c>
    </row>
    <row r="123" spans="1:17" s="86" customFormat="1" ht="20" thickBot="1">
      <c r="A123" s="91" t="s">
        <v>751</v>
      </c>
      <c r="B123" s="8">
        <f>SUM(B124:B130)</f>
        <v>18</v>
      </c>
      <c r="C123" s="8">
        <f t="shared" ref="C123" si="49">SUM(C124:C130)</f>
        <v>97</v>
      </c>
      <c r="D123" s="126">
        <f>SUM(D124)</f>
        <v>45</v>
      </c>
      <c r="E123" s="126">
        <f t="shared" ref="E123:F123" si="50">SUM(E124:E130)</f>
        <v>7</v>
      </c>
      <c r="F123" s="126">
        <f t="shared" si="50"/>
        <v>350</v>
      </c>
      <c r="G123" s="123">
        <f t="shared" si="47"/>
        <v>19.616666666666667</v>
      </c>
      <c r="H123" s="8">
        <f>SUM(H124:H130)</f>
        <v>100</v>
      </c>
      <c r="I123" s="14">
        <f>SUM(I124:I130)</f>
        <v>990.91666666666674</v>
      </c>
      <c r="J123" s="14">
        <f>SUM(J124:J130)</f>
        <v>890.91666666666674</v>
      </c>
      <c r="K123" s="8">
        <f>SUM(K124:K130)</f>
        <v>52</v>
      </c>
      <c r="L123" s="9">
        <v>0</v>
      </c>
      <c r="M123" s="96">
        <f>J123</f>
        <v>890.91666666666674</v>
      </c>
      <c r="N123" s="102">
        <f>SUM(N124:N130)</f>
        <v>1160</v>
      </c>
      <c r="O123" s="98">
        <f>1213-N123</f>
        <v>53</v>
      </c>
    </row>
    <row r="124" spans="1:17">
      <c r="A124" s="145">
        <v>46090</v>
      </c>
      <c r="B124" s="4">
        <v>0</v>
      </c>
      <c r="C124" s="4">
        <v>0</v>
      </c>
      <c r="D124" s="4">
        <v>45</v>
      </c>
      <c r="E124" s="4">
        <v>1</v>
      </c>
      <c r="F124" s="4">
        <v>50</v>
      </c>
      <c r="G124" s="10">
        <f>B124+C124/60</f>
        <v>0</v>
      </c>
      <c r="H124" s="4">
        <v>0</v>
      </c>
      <c r="I124" s="5">
        <f t="shared" ref="I124:I130" si="51">G124*D124</f>
        <v>0</v>
      </c>
      <c r="J124" s="5">
        <f t="shared" ref="J124:J130" si="52">I124-H124</f>
        <v>0</v>
      </c>
      <c r="K124">
        <v>0</v>
      </c>
      <c r="N124" s="119">
        <v>0</v>
      </c>
      <c r="O124" s="51"/>
    </row>
    <row r="125" spans="1:17">
      <c r="A125" s="145">
        <v>46091</v>
      </c>
      <c r="B125" s="4">
        <v>0</v>
      </c>
      <c r="C125" s="4">
        <v>0</v>
      </c>
      <c r="D125" s="4">
        <v>45</v>
      </c>
      <c r="E125" s="4">
        <v>1</v>
      </c>
      <c r="F125" s="4">
        <v>50</v>
      </c>
      <c r="G125" s="10">
        <f t="shared" si="47"/>
        <v>0</v>
      </c>
      <c r="H125" s="4">
        <v>0</v>
      </c>
      <c r="I125" s="5">
        <f t="shared" si="51"/>
        <v>0</v>
      </c>
      <c r="J125" s="5">
        <f t="shared" si="52"/>
        <v>0</v>
      </c>
      <c r="K125">
        <v>0</v>
      </c>
      <c r="N125" s="119">
        <v>0</v>
      </c>
    </row>
    <row r="126" spans="1:17">
      <c r="A126" s="145">
        <v>46092</v>
      </c>
      <c r="B126" s="4">
        <v>0</v>
      </c>
      <c r="C126" s="4">
        <v>0</v>
      </c>
      <c r="D126" s="4">
        <v>45</v>
      </c>
      <c r="E126" s="4">
        <v>1</v>
      </c>
      <c r="F126" s="4">
        <v>50</v>
      </c>
      <c r="G126" s="10">
        <f t="shared" si="47"/>
        <v>0</v>
      </c>
      <c r="H126" s="4">
        <v>0</v>
      </c>
      <c r="I126" s="5">
        <f t="shared" si="51"/>
        <v>0</v>
      </c>
      <c r="J126" s="5">
        <f t="shared" si="52"/>
        <v>0</v>
      </c>
      <c r="K126">
        <v>0</v>
      </c>
      <c r="N126" s="119">
        <v>0</v>
      </c>
      <c r="Q126" t="s">
        <v>64</v>
      </c>
    </row>
    <row r="127" spans="1:17">
      <c r="A127" s="145">
        <v>46093</v>
      </c>
      <c r="B127" s="4">
        <v>0</v>
      </c>
      <c r="C127" s="4">
        <v>0</v>
      </c>
      <c r="D127" s="4">
        <v>45</v>
      </c>
      <c r="E127" s="4">
        <v>1</v>
      </c>
      <c r="F127" s="4">
        <v>50</v>
      </c>
      <c r="G127" s="10">
        <f t="shared" si="47"/>
        <v>0</v>
      </c>
      <c r="H127" s="4">
        <v>0</v>
      </c>
      <c r="I127" s="5">
        <f t="shared" si="51"/>
        <v>0</v>
      </c>
      <c r="J127" s="5">
        <f t="shared" si="52"/>
        <v>0</v>
      </c>
      <c r="K127">
        <v>0</v>
      </c>
      <c r="N127" s="119">
        <v>0</v>
      </c>
    </row>
    <row r="128" spans="1:17">
      <c r="A128" s="145">
        <v>46094</v>
      </c>
      <c r="B128" s="4">
        <v>0</v>
      </c>
      <c r="C128" s="4">
        <v>0</v>
      </c>
      <c r="D128" s="4">
        <v>45</v>
      </c>
      <c r="E128" s="4">
        <v>1</v>
      </c>
      <c r="F128" s="4">
        <v>50</v>
      </c>
      <c r="G128" s="10">
        <f t="shared" si="47"/>
        <v>0</v>
      </c>
      <c r="H128" s="4">
        <v>0</v>
      </c>
      <c r="I128" s="5">
        <f t="shared" si="51"/>
        <v>0</v>
      </c>
      <c r="J128" s="5">
        <f t="shared" si="52"/>
        <v>0</v>
      </c>
      <c r="K128">
        <v>0</v>
      </c>
      <c r="N128" s="119">
        <v>0</v>
      </c>
    </row>
    <row r="129" spans="1:17">
      <c r="A129" s="145">
        <v>46095</v>
      </c>
      <c r="B129" s="4">
        <v>8</v>
      </c>
      <c r="C129" s="4">
        <v>48</v>
      </c>
      <c r="D129" s="4">
        <v>45</v>
      </c>
      <c r="E129" s="4">
        <v>1</v>
      </c>
      <c r="F129" s="4">
        <v>50</v>
      </c>
      <c r="G129" s="10">
        <f t="shared" si="47"/>
        <v>8.8000000000000007</v>
      </c>
      <c r="H129" s="4">
        <v>50</v>
      </c>
      <c r="I129" s="5">
        <f t="shared" si="51"/>
        <v>396.00000000000006</v>
      </c>
      <c r="J129" s="5">
        <f t="shared" si="52"/>
        <v>346.00000000000006</v>
      </c>
      <c r="K129">
        <v>22</v>
      </c>
      <c r="N129" s="119">
        <v>210</v>
      </c>
    </row>
    <row r="130" spans="1:17" ht="16" thickBot="1">
      <c r="A130" s="145">
        <v>46096</v>
      </c>
      <c r="B130" s="4">
        <v>10</v>
      </c>
      <c r="C130" s="4">
        <v>49</v>
      </c>
      <c r="D130" s="4">
        <v>55</v>
      </c>
      <c r="E130" s="4">
        <v>1</v>
      </c>
      <c r="F130" s="4">
        <v>50</v>
      </c>
      <c r="G130" s="10">
        <f t="shared" si="47"/>
        <v>10.816666666666666</v>
      </c>
      <c r="H130" s="4">
        <v>50</v>
      </c>
      <c r="I130" s="5">
        <f t="shared" si="51"/>
        <v>594.91666666666663</v>
      </c>
      <c r="J130" s="5">
        <f t="shared" si="52"/>
        <v>544.91666666666663</v>
      </c>
      <c r="K130">
        <v>30</v>
      </c>
      <c r="N130" s="83">
        <f>750+200</f>
        <v>950</v>
      </c>
      <c r="P130" t="s">
        <v>49</v>
      </c>
    </row>
    <row r="131" spans="1:17" s="86" customFormat="1" ht="20" hidden="1" thickBot="1">
      <c r="A131" s="91" t="s">
        <v>255</v>
      </c>
      <c r="B131" s="8">
        <f>SUM(B132:B138)</f>
        <v>0</v>
      </c>
      <c r="C131" s="8">
        <f t="shared" ref="C131" si="53">SUM(C132:C138)</f>
        <v>0</v>
      </c>
      <c r="D131" s="126">
        <f>SUM(D132)</f>
        <v>45</v>
      </c>
      <c r="E131" s="126">
        <f t="shared" ref="E131:F131" si="54">SUM(E132:E138)</f>
        <v>7</v>
      </c>
      <c r="F131" s="126">
        <f t="shared" si="54"/>
        <v>350</v>
      </c>
      <c r="G131" s="123">
        <f t="shared" si="47"/>
        <v>0</v>
      </c>
      <c r="H131" s="8">
        <f>SUM(H132:H138)</f>
        <v>0</v>
      </c>
      <c r="I131" s="14">
        <f>SUM(I132:I138)</f>
        <v>0</v>
      </c>
      <c r="J131" s="14">
        <f>SUM(J132:J138)</f>
        <v>0</v>
      </c>
      <c r="K131" s="8"/>
      <c r="L131" s="9">
        <v>0</v>
      </c>
      <c r="M131" s="96">
        <f>J131</f>
        <v>0</v>
      </c>
      <c r="N131" s="102">
        <f>SUM(N133:N138)</f>
        <v>0</v>
      </c>
      <c r="O131" s="98"/>
    </row>
    <row r="132" spans="1:17" hidden="1">
      <c r="A132" s="145">
        <v>46090</v>
      </c>
      <c r="B132" s="4">
        <v>0</v>
      </c>
      <c r="C132" s="4">
        <v>0</v>
      </c>
      <c r="D132" s="4">
        <v>45</v>
      </c>
      <c r="E132" s="4">
        <v>1</v>
      </c>
      <c r="F132" s="4">
        <v>50</v>
      </c>
      <c r="G132" s="10">
        <f t="shared" si="47"/>
        <v>0</v>
      </c>
      <c r="H132" s="4">
        <v>0</v>
      </c>
      <c r="I132" s="5">
        <f>G132*D132</f>
        <v>0</v>
      </c>
      <c r="J132" s="5">
        <f t="shared" ref="J132:J138" si="55">I132-H132</f>
        <v>0</v>
      </c>
      <c r="K132">
        <v>0</v>
      </c>
      <c r="N132" s="134">
        <v>0</v>
      </c>
      <c r="O132" s="51"/>
    </row>
    <row r="133" spans="1:17" hidden="1">
      <c r="A133" s="145">
        <v>46091</v>
      </c>
      <c r="B133" s="4">
        <v>0</v>
      </c>
      <c r="C133" s="4">
        <v>0</v>
      </c>
      <c r="D133" s="4">
        <v>55</v>
      </c>
      <c r="E133" s="4">
        <v>1</v>
      </c>
      <c r="F133" s="4">
        <v>50</v>
      </c>
      <c r="G133" s="10">
        <f t="shared" si="47"/>
        <v>0</v>
      </c>
      <c r="H133" s="4">
        <v>0</v>
      </c>
      <c r="I133" s="5">
        <f>G133*D133</f>
        <v>0</v>
      </c>
      <c r="J133" s="5">
        <f>I133-H133</f>
        <v>0</v>
      </c>
      <c r="K133">
        <v>0</v>
      </c>
      <c r="N133" s="83">
        <v>0</v>
      </c>
    </row>
    <row r="134" spans="1:17" hidden="1">
      <c r="A134" s="145">
        <v>46092</v>
      </c>
      <c r="B134" s="4">
        <v>0</v>
      </c>
      <c r="C134" s="4">
        <v>0</v>
      </c>
      <c r="D134" s="4">
        <v>45</v>
      </c>
      <c r="E134" s="4">
        <v>1</v>
      </c>
      <c r="F134" s="4">
        <v>50</v>
      </c>
      <c r="G134" s="10">
        <f t="shared" si="47"/>
        <v>0</v>
      </c>
      <c r="H134" s="4">
        <v>0</v>
      </c>
      <c r="I134" s="5">
        <v>0</v>
      </c>
      <c r="J134" s="5">
        <f>I134-H134</f>
        <v>0</v>
      </c>
      <c r="K134">
        <v>0</v>
      </c>
      <c r="N134" s="83">
        <v>0</v>
      </c>
      <c r="Q134" t="s">
        <v>64</v>
      </c>
    </row>
    <row r="135" spans="1:17" hidden="1">
      <c r="A135" s="145">
        <v>46093</v>
      </c>
      <c r="B135" s="4">
        <v>0</v>
      </c>
      <c r="C135" s="4">
        <v>0</v>
      </c>
      <c r="D135" s="4">
        <v>45</v>
      </c>
      <c r="E135" s="4">
        <v>1</v>
      </c>
      <c r="F135" s="4">
        <v>50</v>
      </c>
      <c r="G135" s="10">
        <f t="shared" si="47"/>
        <v>0</v>
      </c>
      <c r="H135" s="4">
        <v>0</v>
      </c>
      <c r="I135" s="5">
        <f>G135*D135</f>
        <v>0</v>
      </c>
      <c r="J135" s="5"/>
      <c r="K135">
        <v>0</v>
      </c>
      <c r="N135" s="83">
        <v>0</v>
      </c>
    </row>
    <row r="136" spans="1:17" hidden="1">
      <c r="A136" s="145">
        <v>46094</v>
      </c>
      <c r="B136" s="4">
        <v>0</v>
      </c>
      <c r="C136" s="4">
        <v>0</v>
      </c>
      <c r="D136" s="4">
        <v>45</v>
      </c>
      <c r="E136" s="4">
        <v>1</v>
      </c>
      <c r="F136" s="4">
        <v>50</v>
      </c>
      <c r="G136" s="10">
        <f t="shared" si="47"/>
        <v>0</v>
      </c>
      <c r="H136" s="4">
        <v>0</v>
      </c>
      <c r="I136" s="5">
        <f>G136*D136</f>
        <v>0</v>
      </c>
      <c r="J136" s="5">
        <f t="shared" si="55"/>
        <v>0</v>
      </c>
      <c r="K136">
        <v>0</v>
      </c>
      <c r="N136" s="119">
        <v>0</v>
      </c>
    </row>
    <row r="137" spans="1:17" hidden="1">
      <c r="A137" s="145">
        <v>46095</v>
      </c>
      <c r="B137" s="4">
        <v>0</v>
      </c>
      <c r="C137" s="4">
        <v>0</v>
      </c>
      <c r="D137" s="4">
        <v>45</v>
      </c>
      <c r="E137" s="4">
        <v>1</v>
      </c>
      <c r="F137" s="4">
        <v>50</v>
      </c>
      <c r="G137" s="10">
        <f t="shared" si="47"/>
        <v>0</v>
      </c>
      <c r="H137" s="4">
        <v>0</v>
      </c>
      <c r="I137" s="5">
        <f>G137*D137</f>
        <v>0</v>
      </c>
      <c r="J137" s="5">
        <f t="shared" si="55"/>
        <v>0</v>
      </c>
      <c r="K137">
        <v>0</v>
      </c>
      <c r="N137" s="119">
        <v>0</v>
      </c>
    </row>
    <row r="138" spans="1:17" ht="16" hidden="1" thickBot="1">
      <c r="A138" s="145">
        <v>46096</v>
      </c>
      <c r="B138" s="4">
        <v>0</v>
      </c>
      <c r="C138" s="4">
        <v>0</v>
      </c>
      <c r="D138" s="4">
        <v>45</v>
      </c>
      <c r="E138" s="4">
        <v>1</v>
      </c>
      <c r="F138" s="4">
        <v>50</v>
      </c>
      <c r="G138" s="10">
        <f t="shared" si="47"/>
        <v>0</v>
      </c>
      <c r="H138" s="4">
        <v>0</v>
      </c>
      <c r="I138" s="5">
        <f>G138*D138</f>
        <v>0</v>
      </c>
      <c r="J138" s="5">
        <f t="shared" si="55"/>
        <v>0</v>
      </c>
      <c r="K138">
        <v>0</v>
      </c>
      <c r="N138" s="119">
        <v>0</v>
      </c>
    </row>
    <row r="139" spans="1:17" s="86" customFormat="1" ht="20" thickBot="1">
      <c r="A139" s="91" t="s">
        <v>752</v>
      </c>
      <c r="B139" s="8">
        <f>SUM(B140:B146)</f>
        <v>34</v>
      </c>
      <c r="C139" s="8">
        <f t="shared" ref="C139" si="56">SUM(C140:C146)</f>
        <v>144</v>
      </c>
      <c r="D139" s="126">
        <f>SUM(D140)</f>
        <v>45</v>
      </c>
      <c r="E139" s="126">
        <f t="shared" ref="E139:F139" si="57">SUM(E140:E146)</f>
        <v>5</v>
      </c>
      <c r="F139" s="126">
        <f t="shared" si="57"/>
        <v>250</v>
      </c>
      <c r="G139" s="123">
        <f t="shared" si="47"/>
        <v>36.4</v>
      </c>
      <c r="H139" s="8">
        <f>SUM(H140:H146)</f>
        <v>250</v>
      </c>
      <c r="I139" s="14">
        <f>SUM(I140:I146)</f>
        <v>1638</v>
      </c>
      <c r="J139" s="14">
        <f>SUM(J140:J146)</f>
        <v>1388</v>
      </c>
      <c r="K139" s="8">
        <f>SUM(K140:K146)</f>
        <v>70</v>
      </c>
      <c r="L139" s="9">
        <v>0</v>
      </c>
      <c r="M139" s="96">
        <f>J139</f>
        <v>1388</v>
      </c>
      <c r="N139" s="102">
        <f>SUM(N140:N146)</f>
        <v>1332</v>
      </c>
      <c r="O139" s="98">
        <f>1787-N139</f>
        <v>455</v>
      </c>
    </row>
    <row r="140" spans="1:17">
      <c r="A140" s="145">
        <v>46090</v>
      </c>
      <c r="B140" s="4">
        <v>3</v>
      </c>
      <c r="C140" s="4">
        <v>21</v>
      </c>
      <c r="D140" s="4">
        <v>45</v>
      </c>
      <c r="E140" s="4">
        <v>1</v>
      </c>
      <c r="F140" s="4">
        <v>50</v>
      </c>
      <c r="G140" s="10">
        <f t="shared" si="47"/>
        <v>3.35</v>
      </c>
      <c r="H140" s="4">
        <v>50</v>
      </c>
      <c r="I140" s="5">
        <f t="shared" ref="I140:I146" si="58">G140*D140</f>
        <v>150.75</v>
      </c>
      <c r="J140" s="5">
        <f t="shared" ref="J140:J146" si="59">I140-H140</f>
        <v>100.75</v>
      </c>
      <c r="K140">
        <v>9</v>
      </c>
      <c r="N140" s="51">
        <v>0</v>
      </c>
      <c r="O140" s="51"/>
    </row>
    <row r="141" spans="1:17">
      <c r="A141" s="145">
        <v>46091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10">
        <f t="shared" si="47"/>
        <v>0</v>
      </c>
      <c r="H141" s="4">
        <v>0</v>
      </c>
      <c r="I141" s="5">
        <f t="shared" si="58"/>
        <v>0</v>
      </c>
      <c r="J141" s="5">
        <f t="shared" si="59"/>
        <v>0</v>
      </c>
      <c r="K141">
        <v>0</v>
      </c>
      <c r="N141" s="51">
        <v>0</v>
      </c>
    </row>
    <row r="142" spans="1:17">
      <c r="A142" s="145">
        <v>46092</v>
      </c>
      <c r="B142" s="4">
        <v>5</v>
      </c>
      <c r="C142" s="4">
        <v>46</v>
      </c>
      <c r="D142" s="4">
        <v>45</v>
      </c>
      <c r="E142" s="4">
        <v>1</v>
      </c>
      <c r="F142" s="4">
        <v>50</v>
      </c>
      <c r="G142" s="10">
        <f t="shared" si="47"/>
        <v>5.7666666666666666</v>
      </c>
      <c r="H142" s="4">
        <v>50</v>
      </c>
      <c r="I142" s="5">
        <f t="shared" si="58"/>
        <v>259.5</v>
      </c>
      <c r="J142" s="5">
        <f t="shared" si="59"/>
        <v>209.5</v>
      </c>
      <c r="K142">
        <v>0</v>
      </c>
      <c r="N142" s="147">
        <v>290</v>
      </c>
      <c r="Q142" t="s">
        <v>64</v>
      </c>
    </row>
    <row r="143" spans="1:17">
      <c r="A143" s="145">
        <v>46093</v>
      </c>
      <c r="B143" s="4">
        <v>10</v>
      </c>
      <c r="C143" s="4">
        <v>14</v>
      </c>
      <c r="D143" s="4">
        <v>45</v>
      </c>
      <c r="E143" s="4">
        <v>1</v>
      </c>
      <c r="F143" s="4">
        <v>50</v>
      </c>
      <c r="G143" s="10">
        <f t="shared" si="47"/>
        <v>10.233333333333333</v>
      </c>
      <c r="H143" s="4">
        <v>50</v>
      </c>
      <c r="I143" s="5">
        <f>G143*D143</f>
        <v>460.49999999999994</v>
      </c>
      <c r="J143" s="5">
        <f t="shared" si="59"/>
        <v>410.49999999999994</v>
      </c>
      <c r="K143">
        <v>23</v>
      </c>
      <c r="N143" s="147">
        <v>417</v>
      </c>
    </row>
    <row r="144" spans="1:17">
      <c r="A144" s="145">
        <v>46094</v>
      </c>
      <c r="B144" s="4">
        <v>8</v>
      </c>
      <c r="C144" s="4">
        <v>23</v>
      </c>
      <c r="D144" s="4">
        <v>45</v>
      </c>
      <c r="E144" s="4">
        <v>1</v>
      </c>
      <c r="F144" s="4">
        <v>50</v>
      </c>
      <c r="G144" s="10">
        <f t="shared" si="47"/>
        <v>8.3833333333333329</v>
      </c>
      <c r="H144" s="4">
        <v>50</v>
      </c>
      <c r="I144" s="5">
        <f t="shared" si="58"/>
        <v>377.25</v>
      </c>
      <c r="J144" s="5">
        <f t="shared" si="59"/>
        <v>327.25</v>
      </c>
      <c r="K144">
        <v>19</v>
      </c>
      <c r="N144" s="147">
        <v>260</v>
      </c>
    </row>
    <row r="145" spans="1:17">
      <c r="A145" s="145">
        <v>46095</v>
      </c>
      <c r="B145" s="4">
        <v>8</v>
      </c>
      <c r="C145" s="4">
        <v>40</v>
      </c>
      <c r="D145" s="4">
        <v>45</v>
      </c>
      <c r="E145" s="4">
        <v>1</v>
      </c>
      <c r="F145" s="4">
        <v>50</v>
      </c>
      <c r="G145" s="10">
        <f t="shared" si="47"/>
        <v>8.6666666666666661</v>
      </c>
      <c r="H145" s="4">
        <v>50</v>
      </c>
      <c r="I145" s="5">
        <f t="shared" si="58"/>
        <v>390</v>
      </c>
      <c r="J145" s="5">
        <f t="shared" si="59"/>
        <v>340</v>
      </c>
      <c r="K145">
        <v>19</v>
      </c>
      <c r="N145" s="147">
        <v>365</v>
      </c>
    </row>
    <row r="146" spans="1:17" ht="16" thickBot="1">
      <c r="A146" s="145">
        <v>46096</v>
      </c>
      <c r="B146" s="4">
        <v>0</v>
      </c>
      <c r="C146" s="4">
        <v>0</v>
      </c>
      <c r="D146" s="4">
        <v>45</v>
      </c>
      <c r="E146" s="4">
        <v>0</v>
      </c>
      <c r="F146" s="4">
        <v>0</v>
      </c>
      <c r="G146" s="10">
        <f t="shared" si="47"/>
        <v>0</v>
      </c>
      <c r="H146" s="4">
        <v>0</v>
      </c>
      <c r="I146" s="5">
        <f t="shared" si="58"/>
        <v>0</v>
      </c>
      <c r="J146" s="5">
        <f t="shared" si="59"/>
        <v>0</v>
      </c>
      <c r="K146">
        <v>0</v>
      </c>
      <c r="N146" s="51">
        <v>0</v>
      </c>
    </row>
    <row r="147" spans="1:17" s="86" customFormat="1" ht="20" thickBot="1">
      <c r="A147" s="91" t="s">
        <v>334</v>
      </c>
      <c r="B147" s="8">
        <f>SUM(B148:B154)</f>
        <v>48</v>
      </c>
      <c r="C147" s="8">
        <f>SUM(C148:C154)</f>
        <v>100</v>
      </c>
      <c r="D147" s="8">
        <f>SUM(D148)</f>
        <v>45</v>
      </c>
      <c r="E147" s="8">
        <f>SUM(E148:E154)</f>
        <v>6</v>
      </c>
      <c r="F147" s="8">
        <f>SUM(F148:F154)</f>
        <v>300</v>
      </c>
      <c r="G147" s="93">
        <f t="shared" si="47"/>
        <v>49.666666666666664</v>
      </c>
      <c r="H147" s="8">
        <f>SUM(H148:H154)</f>
        <v>789.30000000000007</v>
      </c>
      <c r="I147" s="9">
        <f>SUM(I148:I154)</f>
        <v>2235</v>
      </c>
      <c r="J147" s="14">
        <f>SUM(J148:J154)</f>
        <v>1445.6999999999998</v>
      </c>
      <c r="K147" s="8">
        <f>SUM(K148:K154)</f>
        <v>118</v>
      </c>
      <c r="L147" s="9">
        <v>0</v>
      </c>
      <c r="M147" s="96">
        <f>J147</f>
        <v>1445.6999999999998</v>
      </c>
      <c r="N147" s="102">
        <f>SUM(N148:N154)</f>
        <v>3660</v>
      </c>
      <c r="O147" s="98">
        <f>3705-N147</f>
        <v>45</v>
      </c>
    </row>
    <row r="148" spans="1:17">
      <c r="A148" s="145">
        <v>46090</v>
      </c>
      <c r="B148" s="4">
        <v>0</v>
      </c>
      <c r="C148" s="4">
        <v>0</v>
      </c>
      <c r="D148" s="4">
        <v>45</v>
      </c>
      <c r="E148" s="4">
        <v>0</v>
      </c>
      <c r="F148" s="4">
        <v>0</v>
      </c>
      <c r="G148" s="10">
        <f>B148+C148/60</f>
        <v>0</v>
      </c>
      <c r="H148" s="4">
        <v>0</v>
      </c>
      <c r="I148" s="5">
        <f t="shared" ref="I148" si="60">G148*D148</f>
        <v>0</v>
      </c>
      <c r="J148" s="5">
        <f>I148-H148</f>
        <v>0</v>
      </c>
      <c r="K148">
        <v>0</v>
      </c>
      <c r="N148" s="119">
        <v>0</v>
      </c>
      <c r="O148" s="51"/>
    </row>
    <row r="149" spans="1:17">
      <c r="A149" s="145">
        <v>46091</v>
      </c>
      <c r="B149" s="4">
        <v>8</v>
      </c>
      <c r="C149" s="4">
        <v>17</v>
      </c>
      <c r="D149" s="4">
        <v>45</v>
      </c>
      <c r="E149" s="4">
        <v>1</v>
      </c>
      <c r="F149" s="4">
        <v>50</v>
      </c>
      <c r="G149" s="10">
        <f t="shared" ref="G149:G162" si="61">B149+C149/60</f>
        <v>8.2833333333333332</v>
      </c>
      <c r="H149" s="4">
        <f>50+126.9</f>
        <v>176.9</v>
      </c>
      <c r="I149" s="5">
        <f t="shared" ref="I149:I162" si="62">G149*D149</f>
        <v>372.75</v>
      </c>
      <c r="J149" s="5">
        <f>I149-H149</f>
        <v>195.85</v>
      </c>
      <c r="K149">
        <v>19</v>
      </c>
      <c r="N149" s="83">
        <v>420</v>
      </c>
    </row>
    <row r="150" spans="1:17">
      <c r="A150" s="145">
        <v>46092</v>
      </c>
      <c r="B150" s="4">
        <v>8</v>
      </c>
      <c r="C150" s="4">
        <v>5</v>
      </c>
      <c r="D150" s="4">
        <v>45</v>
      </c>
      <c r="E150" s="4">
        <v>1</v>
      </c>
      <c r="F150" s="4">
        <v>50</v>
      </c>
      <c r="G150" s="10">
        <f t="shared" si="61"/>
        <v>8.0833333333333339</v>
      </c>
      <c r="H150" s="4">
        <v>50</v>
      </c>
      <c r="I150" s="5">
        <f t="shared" si="62"/>
        <v>363.75</v>
      </c>
      <c r="J150" s="5">
        <f t="shared" ref="J150:J154" si="63">I150-H150</f>
        <v>313.75</v>
      </c>
      <c r="K150">
        <v>20</v>
      </c>
      <c r="N150" s="83">
        <v>460</v>
      </c>
      <c r="Q150" t="s">
        <v>64</v>
      </c>
    </row>
    <row r="151" spans="1:17">
      <c r="A151" s="145">
        <v>46093</v>
      </c>
      <c r="B151" s="4">
        <v>8</v>
      </c>
      <c r="C151" s="4">
        <v>10</v>
      </c>
      <c r="D151" s="4">
        <v>45</v>
      </c>
      <c r="E151" s="4">
        <v>1</v>
      </c>
      <c r="F151" s="4">
        <v>50</v>
      </c>
      <c r="G151" s="10">
        <f t="shared" si="61"/>
        <v>8.1666666666666661</v>
      </c>
      <c r="H151" s="4">
        <f>50+88.5</f>
        <v>138.5</v>
      </c>
      <c r="I151" s="5">
        <f t="shared" si="62"/>
        <v>367.5</v>
      </c>
      <c r="J151" s="5">
        <f t="shared" si="63"/>
        <v>229</v>
      </c>
      <c r="K151">
        <v>18</v>
      </c>
      <c r="N151" s="147">
        <v>550</v>
      </c>
    </row>
    <row r="152" spans="1:17">
      <c r="A152" s="145">
        <v>46094</v>
      </c>
      <c r="B152" s="4">
        <v>7</v>
      </c>
      <c r="C152" s="4">
        <v>32</v>
      </c>
      <c r="D152" s="4">
        <v>45</v>
      </c>
      <c r="E152" s="4">
        <v>1</v>
      </c>
      <c r="F152" s="4">
        <v>50</v>
      </c>
      <c r="G152" s="10">
        <f t="shared" si="61"/>
        <v>7.5333333333333332</v>
      </c>
      <c r="H152" s="4">
        <f>50+198.3</f>
        <v>248.3</v>
      </c>
      <c r="I152" s="5">
        <f t="shared" si="62"/>
        <v>339</v>
      </c>
      <c r="J152" s="5">
        <f t="shared" si="63"/>
        <v>90.699999999999989</v>
      </c>
      <c r="K152">
        <v>15</v>
      </c>
      <c r="N152" s="147">
        <v>120</v>
      </c>
    </row>
    <row r="153" spans="1:17">
      <c r="A153" s="145">
        <v>46095</v>
      </c>
      <c r="B153" s="4">
        <v>8</v>
      </c>
      <c r="C153" s="4">
        <v>24</v>
      </c>
      <c r="D153" s="4">
        <v>45</v>
      </c>
      <c r="E153" s="4">
        <v>1</v>
      </c>
      <c r="F153" s="4">
        <v>50</v>
      </c>
      <c r="G153" s="10">
        <f t="shared" si="61"/>
        <v>8.4</v>
      </c>
      <c r="H153" s="4">
        <v>50</v>
      </c>
      <c r="I153" s="5">
        <f t="shared" si="62"/>
        <v>378</v>
      </c>
      <c r="J153" s="5">
        <f t="shared" si="63"/>
        <v>328</v>
      </c>
      <c r="K153">
        <v>22</v>
      </c>
      <c r="N153" s="147">
        <v>770</v>
      </c>
    </row>
    <row r="154" spans="1:17" ht="16" thickBot="1">
      <c r="A154" s="145">
        <v>46096</v>
      </c>
      <c r="B154" s="4">
        <v>9</v>
      </c>
      <c r="C154" s="4">
        <v>12</v>
      </c>
      <c r="D154" s="7">
        <v>45</v>
      </c>
      <c r="E154" s="7">
        <v>1</v>
      </c>
      <c r="F154" s="7">
        <v>50</v>
      </c>
      <c r="G154" s="10">
        <f t="shared" si="61"/>
        <v>9.1999999999999993</v>
      </c>
      <c r="H154" s="4">
        <f>50+75.6</f>
        <v>125.6</v>
      </c>
      <c r="I154" s="5">
        <f t="shared" si="62"/>
        <v>413.99999999999994</v>
      </c>
      <c r="J154" s="5">
        <f t="shared" si="63"/>
        <v>288.39999999999998</v>
      </c>
      <c r="K154">
        <v>24</v>
      </c>
      <c r="N154" s="147">
        <f>735+605</f>
        <v>1340</v>
      </c>
    </row>
    <row r="155" spans="1:17" s="86" customFormat="1" ht="20" thickBot="1">
      <c r="A155" s="91" t="s">
        <v>337</v>
      </c>
      <c r="B155" s="8">
        <f>SUM(B156:B162)</f>
        <v>41</v>
      </c>
      <c r="C155" s="8">
        <f>SUM(C156:C162)</f>
        <v>104</v>
      </c>
      <c r="D155" s="126">
        <f>SUM(D156)</f>
        <v>45</v>
      </c>
      <c r="E155" s="126">
        <f>SUM(E156:E162)</f>
        <v>5</v>
      </c>
      <c r="F155" s="126">
        <f>SUM(F156:F162)</f>
        <v>250</v>
      </c>
      <c r="G155" s="123">
        <f t="shared" si="61"/>
        <v>42.733333333333334</v>
      </c>
      <c r="H155" s="8">
        <f>SUM(H156:H162)</f>
        <v>490</v>
      </c>
      <c r="I155" s="9">
        <f>SUM(I156:I162)</f>
        <v>1923</v>
      </c>
      <c r="J155" s="14">
        <f>SUM(J156:J162)</f>
        <v>1433</v>
      </c>
      <c r="K155" s="8">
        <f>SUM(K156:K162)</f>
        <v>90</v>
      </c>
      <c r="L155" s="9">
        <v>0</v>
      </c>
      <c r="M155" s="96">
        <f>J155</f>
        <v>1433</v>
      </c>
      <c r="N155" s="102">
        <f>SUM(N156:N162)</f>
        <v>3498</v>
      </c>
      <c r="O155" s="98">
        <f>3498-N155</f>
        <v>0</v>
      </c>
      <c r="P155" s="149" t="s">
        <v>726</v>
      </c>
    </row>
    <row r="156" spans="1:17">
      <c r="A156" s="145">
        <v>46090</v>
      </c>
      <c r="B156" s="7">
        <v>9</v>
      </c>
      <c r="C156" s="7">
        <v>42</v>
      </c>
      <c r="D156" s="4">
        <v>45</v>
      </c>
      <c r="E156" s="4">
        <v>1</v>
      </c>
      <c r="F156" s="4">
        <v>50</v>
      </c>
      <c r="G156" s="10">
        <f t="shared" si="61"/>
        <v>9.6999999999999993</v>
      </c>
      <c r="H156" s="4">
        <v>50</v>
      </c>
      <c r="I156" s="5">
        <f t="shared" si="62"/>
        <v>436.49999999999994</v>
      </c>
      <c r="J156" s="5">
        <f t="shared" ref="J156:J162" si="64">I156-H156</f>
        <v>386.49999999999994</v>
      </c>
      <c r="K156">
        <v>26</v>
      </c>
      <c r="N156" s="119">
        <v>796</v>
      </c>
      <c r="O156" s="51"/>
    </row>
    <row r="157" spans="1:17">
      <c r="A157" s="145">
        <v>46091</v>
      </c>
      <c r="B157" s="4">
        <v>10</v>
      </c>
      <c r="C157" s="4">
        <v>28</v>
      </c>
      <c r="D157" s="4">
        <v>45</v>
      </c>
      <c r="E157" s="4">
        <v>1</v>
      </c>
      <c r="F157" s="4">
        <v>50</v>
      </c>
      <c r="G157" s="10">
        <f t="shared" si="61"/>
        <v>10.466666666666667</v>
      </c>
      <c r="H157" s="4">
        <v>50</v>
      </c>
      <c r="I157" s="5">
        <f t="shared" si="62"/>
        <v>471</v>
      </c>
      <c r="J157" s="5">
        <f t="shared" si="64"/>
        <v>421</v>
      </c>
      <c r="K157">
        <v>20</v>
      </c>
      <c r="N157" s="147">
        <f>209.5+150+348</f>
        <v>707.5</v>
      </c>
      <c r="P157" t="s">
        <v>553</v>
      </c>
    </row>
    <row r="158" spans="1:17">
      <c r="A158" s="146" t="s">
        <v>753</v>
      </c>
      <c r="B158" s="4">
        <v>9</v>
      </c>
      <c r="C158" s="4">
        <v>9</v>
      </c>
      <c r="D158" s="4">
        <v>45</v>
      </c>
      <c r="E158" s="4">
        <v>1</v>
      </c>
      <c r="F158" s="4">
        <v>50</v>
      </c>
      <c r="G158" s="10">
        <f t="shared" si="61"/>
        <v>9.15</v>
      </c>
      <c r="H158" s="4">
        <f>50+140.1</f>
        <v>190.1</v>
      </c>
      <c r="I158" s="5">
        <f t="shared" si="62"/>
        <v>411.75</v>
      </c>
      <c r="J158" s="5">
        <f t="shared" si="64"/>
        <v>221.65</v>
      </c>
      <c r="K158">
        <v>19</v>
      </c>
      <c r="N158" s="147">
        <v>769</v>
      </c>
      <c r="P158" s="128" t="s">
        <v>754</v>
      </c>
      <c r="Q158" t="s">
        <v>64</v>
      </c>
    </row>
    <row r="159" spans="1:17">
      <c r="A159" s="146" t="s">
        <v>755</v>
      </c>
      <c r="B159" s="4">
        <v>10</v>
      </c>
      <c r="C159" s="4">
        <v>7</v>
      </c>
      <c r="D159" s="4">
        <v>45</v>
      </c>
      <c r="E159" s="4">
        <v>1</v>
      </c>
      <c r="F159" s="4">
        <v>50</v>
      </c>
      <c r="G159" s="10">
        <f t="shared" si="61"/>
        <v>10.116666666666667</v>
      </c>
      <c r="H159" s="4">
        <f>50+99.9</f>
        <v>149.9</v>
      </c>
      <c r="I159" s="5">
        <f t="shared" si="62"/>
        <v>455.25</v>
      </c>
      <c r="J159" s="5">
        <f t="shared" si="64"/>
        <v>305.35000000000002</v>
      </c>
      <c r="K159">
        <v>18</v>
      </c>
      <c r="N159" s="147">
        <v>752</v>
      </c>
    </row>
    <row r="160" spans="1:17">
      <c r="A160" s="145">
        <v>46094</v>
      </c>
      <c r="B160" s="4">
        <v>3</v>
      </c>
      <c r="C160" s="4">
        <v>18</v>
      </c>
      <c r="D160" s="4">
        <v>45</v>
      </c>
      <c r="E160" s="4">
        <v>1</v>
      </c>
      <c r="F160" s="4">
        <v>50</v>
      </c>
      <c r="G160" s="10">
        <f t="shared" si="61"/>
        <v>3.3</v>
      </c>
      <c r="H160" s="4">
        <v>50</v>
      </c>
      <c r="I160" s="5">
        <f t="shared" si="62"/>
        <v>148.5</v>
      </c>
      <c r="J160" s="5">
        <f t="shared" si="64"/>
        <v>98.5</v>
      </c>
      <c r="K160">
        <v>7</v>
      </c>
      <c r="N160" s="119">
        <v>0</v>
      </c>
    </row>
    <row r="161" spans="1:17">
      <c r="A161" s="145">
        <v>46095</v>
      </c>
      <c r="B161" s="4">
        <v>0</v>
      </c>
      <c r="C161" s="4">
        <v>0</v>
      </c>
      <c r="D161" s="4">
        <v>45</v>
      </c>
      <c r="E161" s="4">
        <v>0</v>
      </c>
      <c r="F161" s="4">
        <v>0</v>
      </c>
      <c r="G161" s="10">
        <f t="shared" si="61"/>
        <v>0</v>
      </c>
      <c r="H161" s="4">
        <v>0</v>
      </c>
      <c r="I161" s="5">
        <f t="shared" si="62"/>
        <v>0</v>
      </c>
      <c r="J161" s="5">
        <f t="shared" si="64"/>
        <v>0</v>
      </c>
      <c r="K161">
        <v>0</v>
      </c>
      <c r="N161" s="119">
        <v>310</v>
      </c>
    </row>
    <row r="162" spans="1:17" ht="16" thickBot="1">
      <c r="A162" s="145">
        <v>46096</v>
      </c>
      <c r="B162" s="4">
        <v>0</v>
      </c>
      <c r="C162" s="4">
        <v>0</v>
      </c>
      <c r="D162" s="4">
        <v>45</v>
      </c>
      <c r="E162" s="4">
        <v>0</v>
      </c>
      <c r="F162" s="4">
        <v>0</v>
      </c>
      <c r="G162" s="10">
        <f t="shared" si="61"/>
        <v>0</v>
      </c>
      <c r="H162" s="4">
        <v>0</v>
      </c>
      <c r="I162" s="5">
        <f t="shared" si="62"/>
        <v>0</v>
      </c>
      <c r="J162" s="5">
        <f t="shared" si="64"/>
        <v>0</v>
      </c>
      <c r="K162">
        <v>0</v>
      </c>
      <c r="N162" s="119">
        <v>163.5</v>
      </c>
    </row>
    <row r="163" spans="1:17" ht="20" hidden="1" thickBot="1">
      <c r="A163" s="91" t="s">
        <v>87</v>
      </c>
      <c r="B163" s="8">
        <f>SUM(B164:B170)</f>
        <v>0</v>
      </c>
      <c r="C163" s="8">
        <f>SUM(C164:C170)</f>
        <v>0</v>
      </c>
      <c r="D163" s="8">
        <v>45</v>
      </c>
      <c r="E163" s="8">
        <f>SUM(E164:E170)</f>
        <v>7</v>
      </c>
      <c r="F163" s="8">
        <f>SUM(F164:F170)</f>
        <v>350</v>
      </c>
      <c r="G163" s="93">
        <f t="shared" ref="G163:G177" si="65">B163+C163/60</f>
        <v>0</v>
      </c>
      <c r="H163" s="8">
        <f>SUM(H164:H170)</f>
        <v>0</v>
      </c>
      <c r="I163" s="9">
        <f>SUM(I164:I170)</f>
        <v>0</v>
      </c>
      <c r="J163" s="14">
        <f>SUM(J164:J170)</f>
        <v>0</v>
      </c>
      <c r="K163" s="8">
        <f>SUM(K164:K170)</f>
        <v>0</v>
      </c>
      <c r="L163" s="9">
        <v>0</v>
      </c>
      <c r="M163" s="96">
        <f>J163</f>
        <v>0</v>
      </c>
      <c r="N163" s="102">
        <f>SUM(N164:N170)</f>
        <v>0</v>
      </c>
      <c r="O163" s="98">
        <f>-N163</f>
        <v>0</v>
      </c>
      <c r="P163" s="86"/>
      <c r="Q163" s="86"/>
    </row>
    <row r="164" spans="1:17" hidden="1">
      <c r="A164" s="146" t="s">
        <v>756</v>
      </c>
      <c r="B164" s="4">
        <v>0</v>
      </c>
      <c r="C164" s="4">
        <v>0</v>
      </c>
      <c r="D164" s="4">
        <v>65</v>
      </c>
      <c r="E164" s="4">
        <v>1</v>
      </c>
      <c r="F164" s="4">
        <v>50</v>
      </c>
      <c r="G164" s="10">
        <f t="shared" si="65"/>
        <v>0</v>
      </c>
      <c r="H164" s="4">
        <v>0</v>
      </c>
      <c r="I164" s="5">
        <f t="shared" ref="I164:I170" si="66">G164*D164</f>
        <v>0</v>
      </c>
      <c r="J164" s="5">
        <f t="shared" ref="J164:J170" si="67">I164-H164</f>
        <v>0</v>
      </c>
      <c r="K164">
        <v>0</v>
      </c>
      <c r="N164" s="119">
        <v>0</v>
      </c>
      <c r="O164" s="51"/>
    </row>
    <row r="165" spans="1:17" hidden="1">
      <c r="A165" s="146" t="s">
        <v>757</v>
      </c>
      <c r="B165" s="4">
        <v>0</v>
      </c>
      <c r="C165" s="4">
        <v>0</v>
      </c>
      <c r="D165" s="4">
        <v>65</v>
      </c>
      <c r="E165" s="4">
        <v>1</v>
      </c>
      <c r="F165" s="4">
        <v>50</v>
      </c>
      <c r="G165" s="10">
        <f t="shared" si="65"/>
        <v>0</v>
      </c>
      <c r="H165" s="4">
        <v>0</v>
      </c>
      <c r="I165" s="5">
        <f t="shared" si="66"/>
        <v>0</v>
      </c>
      <c r="J165" s="5">
        <f t="shared" si="67"/>
        <v>0</v>
      </c>
      <c r="K165">
        <v>0</v>
      </c>
      <c r="N165" s="119">
        <v>0</v>
      </c>
    </row>
    <row r="166" spans="1:17" hidden="1">
      <c r="A166" s="146" t="s">
        <v>758</v>
      </c>
      <c r="B166" s="4">
        <v>0</v>
      </c>
      <c r="C166" s="4">
        <v>0</v>
      </c>
      <c r="D166" s="4">
        <v>45</v>
      </c>
      <c r="E166" s="4">
        <v>1</v>
      </c>
      <c r="F166" s="4">
        <v>50</v>
      </c>
      <c r="G166" s="10">
        <f t="shared" si="65"/>
        <v>0</v>
      </c>
      <c r="H166" s="4">
        <v>0</v>
      </c>
      <c r="I166" s="5">
        <f t="shared" si="66"/>
        <v>0</v>
      </c>
      <c r="J166" s="5">
        <f t="shared" si="67"/>
        <v>0</v>
      </c>
      <c r="K166">
        <v>0</v>
      </c>
      <c r="N166" s="119">
        <v>0</v>
      </c>
      <c r="Q166" t="s">
        <v>64</v>
      </c>
    </row>
    <row r="167" spans="1:17" hidden="1">
      <c r="A167" s="145">
        <v>46093</v>
      </c>
      <c r="B167" s="4">
        <v>0</v>
      </c>
      <c r="C167" s="4">
        <v>0</v>
      </c>
      <c r="D167" s="4">
        <v>45</v>
      </c>
      <c r="E167" s="4">
        <v>1</v>
      </c>
      <c r="F167" s="4">
        <v>50</v>
      </c>
      <c r="G167" s="10">
        <f t="shared" si="65"/>
        <v>0</v>
      </c>
      <c r="H167" s="4">
        <v>0</v>
      </c>
      <c r="I167" s="5">
        <f t="shared" si="66"/>
        <v>0</v>
      </c>
      <c r="J167" s="5">
        <f t="shared" si="67"/>
        <v>0</v>
      </c>
      <c r="K167">
        <v>0</v>
      </c>
      <c r="N167" s="119">
        <v>0</v>
      </c>
    </row>
    <row r="168" spans="1:17" hidden="1">
      <c r="A168" s="145">
        <v>46094</v>
      </c>
      <c r="B168" s="4">
        <v>0</v>
      </c>
      <c r="C168" s="4">
        <v>0</v>
      </c>
      <c r="D168" s="4">
        <v>45</v>
      </c>
      <c r="E168" s="4">
        <v>1</v>
      </c>
      <c r="F168" s="4">
        <v>50</v>
      </c>
      <c r="G168" s="10">
        <f t="shared" si="65"/>
        <v>0</v>
      </c>
      <c r="H168" s="4">
        <v>0</v>
      </c>
      <c r="I168" s="5">
        <f t="shared" si="66"/>
        <v>0</v>
      </c>
      <c r="J168" s="5">
        <f t="shared" si="67"/>
        <v>0</v>
      </c>
      <c r="K168">
        <v>0</v>
      </c>
      <c r="N168" s="119">
        <v>0</v>
      </c>
    </row>
    <row r="169" spans="1:17" hidden="1">
      <c r="A169" s="145">
        <v>46095</v>
      </c>
      <c r="B169" s="4">
        <v>0</v>
      </c>
      <c r="C169" s="4">
        <v>0</v>
      </c>
      <c r="D169" s="4">
        <v>45</v>
      </c>
      <c r="E169" s="4">
        <v>1</v>
      </c>
      <c r="F169" s="4">
        <v>50</v>
      </c>
      <c r="G169" s="10">
        <f t="shared" si="65"/>
        <v>0</v>
      </c>
      <c r="H169" s="4">
        <v>0</v>
      </c>
      <c r="I169" s="5">
        <f t="shared" si="66"/>
        <v>0</v>
      </c>
      <c r="J169" s="5">
        <f t="shared" si="67"/>
        <v>0</v>
      </c>
      <c r="K169">
        <v>0</v>
      </c>
      <c r="N169" s="119">
        <v>0</v>
      </c>
    </row>
    <row r="170" spans="1:17" ht="16" hidden="1" thickBot="1">
      <c r="A170" s="145">
        <v>46096</v>
      </c>
      <c r="B170" s="4">
        <v>0</v>
      </c>
      <c r="C170" s="4">
        <v>0</v>
      </c>
      <c r="D170" s="4">
        <v>45</v>
      </c>
      <c r="E170" s="4">
        <v>1</v>
      </c>
      <c r="F170" s="4">
        <v>50</v>
      </c>
      <c r="G170" s="10">
        <f t="shared" si="65"/>
        <v>0</v>
      </c>
      <c r="H170" s="4">
        <v>0</v>
      </c>
      <c r="I170" s="5">
        <f t="shared" si="66"/>
        <v>0</v>
      </c>
      <c r="J170" s="5">
        <f t="shared" si="67"/>
        <v>0</v>
      </c>
      <c r="K170">
        <v>0</v>
      </c>
      <c r="N170" s="119">
        <v>0</v>
      </c>
    </row>
    <row r="171" spans="1:17" s="86" customFormat="1" ht="20" thickBot="1">
      <c r="A171" s="91" t="s">
        <v>346</v>
      </c>
      <c r="B171" s="8">
        <f>SUM(B172:B178)</f>
        <v>18</v>
      </c>
      <c r="C171" s="8">
        <f>SUM(C172:C178)</f>
        <v>50</v>
      </c>
      <c r="D171" s="8">
        <f>SUM(D172)</f>
        <v>55</v>
      </c>
      <c r="E171" s="8">
        <f>SUM(E172:E178)</f>
        <v>7</v>
      </c>
      <c r="F171" s="8">
        <f>SUM(F172:F178)</f>
        <v>350</v>
      </c>
      <c r="G171" s="93">
        <f t="shared" si="65"/>
        <v>18.833333333333332</v>
      </c>
      <c r="H171" s="8">
        <f>SUM(H172:H178)</f>
        <v>417.1</v>
      </c>
      <c r="I171" s="9">
        <f>SUM(I172:I178)</f>
        <v>958.66666666666674</v>
      </c>
      <c r="J171" s="14">
        <f>SUM(J172:J178)</f>
        <v>541.56666666666672</v>
      </c>
      <c r="K171" s="8">
        <f>SUM(K172:K178)</f>
        <v>44</v>
      </c>
      <c r="L171" s="9">
        <v>0</v>
      </c>
      <c r="M171" s="96">
        <f>J171</f>
        <v>541.56666666666672</v>
      </c>
      <c r="N171" s="102">
        <f>SUM(N172:N178)</f>
        <v>940</v>
      </c>
      <c r="O171" s="98">
        <f>1211-N171</f>
        <v>271</v>
      </c>
    </row>
    <row r="172" spans="1:17">
      <c r="A172" s="145">
        <v>46090</v>
      </c>
      <c r="B172" s="4">
        <v>11</v>
      </c>
      <c r="C172" s="4">
        <v>7</v>
      </c>
      <c r="D172" s="4">
        <v>55</v>
      </c>
      <c r="E172" s="4">
        <v>1</v>
      </c>
      <c r="F172" s="4">
        <v>50</v>
      </c>
      <c r="G172" s="10">
        <f t="shared" si="65"/>
        <v>11.116666666666667</v>
      </c>
      <c r="H172" s="4">
        <f>50+45</f>
        <v>95</v>
      </c>
      <c r="I172" s="5">
        <f t="shared" ref="I172:I177" si="68">G172*D172</f>
        <v>611.41666666666674</v>
      </c>
      <c r="J172" s="5">
        <f>I172-H172</f>
        <v>516.41666666666674</v>
      </c>
      <c r="K172">
        <v>27</v>
      </c>
      <c r="N172" s="119">
        <v>740</v>
      </c>
      <c r="O172" s="51"/>
    </row>
    <row r="173" spans="1:17">
      <c r="A173" s="145">
        <v>46091</v>
      </c>
      <c r="B173" s="4">
        <v>7</v>
      </c>
      <c r="C173" s="4">
        <v>43</v>
      </c>
      <c r="D173" s="4">
        <v>45</v>
      </c>
      <c r="E173" s="4">
        <v>1</v>
      </c>
      <c r="F173" s="4">
        <v>50</v>
      </c>
      <c r="G173" s="10">
        <f t="shared" si="65"/>
        <v>7.7166666666666668</v>
      </c>
      <c r="H173" s="4">
        <f>50+272.1</f>
        <v>322.10000000000002</v>
      </c>
      <c r="I173" s="5">
        <f t="shared" si="68"/>
        <v>347.25</v>
      </c>
      <c r="J173" s="5">
        <f t="shared" ref="J173:J177" si="69">I173-H173</f>
        <v>25.149999999999977</v>
      </c>
      <c r="K173">
        <v>14</v>
      </c>
      <c r="N173" s="119">
        <f>200</f>
        <v>200</v>
      </c>
    </row>
    <row r="174" spans="1:17">
      <c r="A174" s="145">
        <v>46092</v>
      </c>
      <c r="B174" s="4">
        <v>0</v>
      </c>
      <c r="C174" s="4">
        <v>0</v>
      </c>
      <c r="D174" s="4">
        <v>45</v>
      </c>
      <c r="E174" s="4">
        <v>1</v>
      </c>
      <c r="F174" s="4">
        <v>50</v>
      </c>
      <c r="G174" s="10">
        <f t="shared" si="65"/>
        <v>0</v>
      </c>
      <c r="H174" s="4">
        <v>0</v>
      </c>
      <c r="I174" s="5">
        <f t="shared" si="68"/>
        <v>0</v>
      </c>
      <c r="J174" s="138">
        <f t="shared" si="69"/>
        <v>0</v>
      </c>
      <c r="K174">
        <v>3</v>
      </c>
      <c r="N174" s="119">
        <v>0</v>
      </c>
      <c r="Q174" t="s">
        <v>64</v>
      </c>
    </row>
    <row r="175" spans="1:17">
      <c r="A175" s="145">
        <v>46093</v>
      </c>
      <c r="B175" s="4">
        <v>0</v>
      </c>
      <c r="C175" s="4">
        <v>0</v>
      </c>
      <c r="D175" s="4">
        <v>45</v>
      </c>
      <c r="E175" s="4">
        <v>1</v>
      </c>
      <c r="F175" s="4">
        <v>50</v>
      </c>
      <c r="G175" s="10">
        <f t="shared" si="65"/>
        <v>0</v>
      </c>
      <c r="H175" s="4">
        <v>0</v>
      </c>
      <c r="I175" s="5">
        <f t="shared" si="68"/>
        <v>0</v>
      </c>
      <c r="J175" s="5">
        <f t="shared" si="69"/>
        <v>0</v>
      </c>
      <c r="K175">
        <v>0</v>
      </c>
      <c r="N175" s="119">
        <v>0</v>
      </c>
    </row>
    <row r="176" spans="1:17">
      <c r="A176" s="145">
        <v>46094</v>
      </c>
      <c r="B176" s="4">
        <v>0</v>
      </c>
      <c r="C176" s="4">
        <v>0</v>
      </c>
      <c r="D176" s="4">
        <v>45</v>
      </c>
      <c r="E176" s="4">
        <v>1</v>
      </c>
      <c r="F176" s="4">
        <v>50</v>
      </c>
      <c r="G176" s="10">
        <f t="shared" si="65"/>
        <v>0</v>
      </c>
      <c r="H176" s="4">
        <v>0</v>
      </c>
      <c r="I176" s="5">
        <f t="shared" si="68"/>
        <v>0</v>
      </c>
      <c r="J176" s="5">
        <f t="shared" si="69"/>
        <v>0</v>
      </c>
      <c r="K176">
        <v>0</v>
      </c>
      <c r="N176" s="119">
        <v>0</v>
      </c>
    </row>
    <row r="177" spans="1:17">
      <c r="A177" s="145">
        <v>46095</v>
      </c>
      <c r="B177" s="4">
        <v>0</v>
      </c>
      <c r="C177" s="4">
        <v>0</v>
      </c>
      <c r="D177" s="4">
        <v>45</v>
      </c>
      <c r="E177" s="4">
        <v>1</v>
      </c>
      <c r="F177" s="4">
        <v>50</v>
      </c>
      <c r="G177" s="10">
        <f t="shared" si="65"/>
        <v>0</v>
      </c>
      <c r="H177" s="4">
        <v>0</v>
      </c>
      <c r="I177" s="5">
        <f t="shared" si="68"/>
        <v>0</v>
      </c>
      <c r="J177" s="5">
        <f t="shared" si="69"/>
        <v>0</v>
      </c>
      <c r="K177">
        <v>0</v>
      </c>
      <c r="N177" s="119">
        <v>0</v>
      </c>
    </row>
    <row r="178" spans="1:17" ht="16" thickBot="1">
      <c r="A178" s="145">
        <v>46096</v>
      </c>
      <c r="B178" s="4">
        <v>0</v>
      </c>
      <c r="C178" s="4">
        <v>0</v>
      </c>
      <c r="D178" s="4">
        <v>45</v>
      </c>
      <c r="E178" s="4">
        <v>1</v>
      </c>
      <c r="F178" s="4">
        <v>50</v>
      </c>
      <c r="G178" s="10">
        <v>0</v>
      </c>
      <c r="H178" s="4">
        <v>0</v>
      </c>
      <c r="I178" s="5">
        <v>0</v>
      </c>
      <c r="J178" s="5">
        <v>0</v>
      </c>
      <c r="K178">
        <v>0</v>
      </c>
      <c r="N178" s="119">
        <v>0</v>
      </c>
    </row>
    <row r="179" spans="1:17" s="86" customFormat="1" ht="20" thickBot="1">
      <c r="A179" s="91" t="s">
        <v>452</v>
      </c>
      <c r="B179" s="8">
        <f>SUM(B180:B186)</f>
        <v>30</v>
      </c>
      <c r="C179" s="8">
        <f>SUM(C180:C186)</f>
        <v>92</v>
      </c>
      <c r="D179" s="8">
        <f>SUM(D180)</f>
        <v>55</v>
      </c>
      <c r="E179" s="8">
        <f>SUM(E180:E186)</f>
        <v>4</v>
      </c>
      <c r="F179" s="8">
        <f>SUM(F180:F186)</f>
        <v>200</v>
      </c>
      <c r="G179" s="93">
        <f t="shared" ref="G179:G194" si="70">B179+C179/60</f>
        <v>31.533333333333335</v>
      </c>
      <c r="H179" s="8">
        <f>SUM(H180:H186)</f>
        <v>200</v>
      </c>
      <c r="I179" s="9">
        <f>SUM(I180:I186)</f>
        <v>1505.8333333333335</v>
      </c>
      <c r="J179" s="14">
        <f>SUM(J180:J186)</f>
        <v>1305.8333333333335</v>
      </c>
      <c r="K179" s="8">
        <f>SUM(K180:K186)</f>
        <v>83</v>
      </c>
      <c r="L179" s="9">
        <v>0</v>
      </c>
      <c r="M179" s="96">
        <f>J179</f>
        <v>1305.8333333333335</v>
      </c>
      <c r="N179" s="102">
        <f>SUM(N180:N186)</f>
        <v>1873.91</v>
      </c>
      <c r="O179" s="98">
        <f>1953-N179</f>
        <v>79.089999999999918</v>
      </c>
    </row>
    <row r="180" spans="1:17">
      <c r="A180" s="145">
        <v>46090</v>
      </c>
      <c r="B180" s="4">
        <v>8</v>
      </c>
      <c r="C180" s="4">
        <v>41</v>
      </c>
      <c r="D180" s="4">
        <v>55</v>
      </c>
      <c r="E180" s="4">
        <v>1</v>
      </c>
      <c r="F180" s="4">
        <v>50</v>
      </c>
      <c r="G180" s="10">
        <f t="shared" si="70"/>
        <v>8.6833333333333336</v>
      </c>
      <c r="H180" s="4">
        <v>50</v>
      </c>
      <c r="I180" s="5">
        <f t="shared" ref="I180:I186" si="71">G180*D180</f>
        <v>477.58333333333337</v>
      </c>
      <c r="J180" s="5">
        <f t="shared" ref="J180:J186" si="72">I180-H180</f>
        <v>427.58333333333337</v>
      </c>
      <c r="K180">
        <v>30</v>
      </c>
      <c r="N180" s="51">
        <v>650</v>
      </c>
      <c r="O180" s="51"/>
    </row>
    <row r="181" spans="1:17">
      <c r="A181" s="145">
        <v>46091</v>
      </c>
      <c r="B181" s="4">
        <v>5</v>
      </c>
      <c r="C181" s="4">
        <v>1</v>
      </c>
      <c r="D181" s="4">
        <v>45</v>
      </c>
      <c r="E181" s="4">
        <v>1</v>
      </c>
      <c r="F181" s="4">
        <v>50</v>
      </c>
      <c r="G181" s="10">
        <f t="shared" si="70"/>
        <v>5.0166666666666666</v>
      </c>
      <c r="H181" s="4">
        <v>50</v>
      </c>
      <c r="I181" s="5">
        <f t="shared" si="71"/>
        <v>225.75</v>
      </c>
      <c r="J181" s="5">
        <f t="shared" si="72"/>
        <v>175.75</v>
      </c>
      <c r="K181">
        <v>6</v>
      </c>
      <c r="N181" s="51">
        <v>200</v>
      </c>
      <c r="P181" t="s">
        <v>759</v>
      </c>
    </row>
    <row r="182" spans="1:17">
      <c r="A182" s="145">
        <v>46092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10">
        <f t="shared" si="70"/>
        <v>0</v>
      </c>
      <c r="H182" s="4">
        <v>0</v>
      </c>
      <c r="I182" s="5">
        <f t="shared" si="71"/>
        <v>0</v>
      </c>
      <c r="J182" s="5">
        <f t="shared" si="72"/>
        <v>0</v>
      </c>
      <c r="K182">
        <v>0</v>
      </c>
      <c r="N182" s="51">
        <v>0</v>
      </c>
      <c r="Q182" t="s">
        <v>64</v>
      </c>
    </row>
    <row r="183" spans="1:17">
      <c r="A183" s="145">
        <v>46093</v>
      </c>
      <c r="B183" s="4">
        <v>8</v>
      </c>
      <c r="C183" s="4">
        <v>39</v>
      </c>
      <c r="D183" s="4">
        <v>45</v>
      </c>
      <c r="E183" s="4">
        <v>1</v>
      </c>
      <c r="F183" s="4">
        <v>50</v>
      </c>
      <c r="G183" s="10">
        <f t="shared" si="70"/>
        <v>8.65</v>
      </c>
      <c r="H183" s="4">
        <v>50</v>
      </c>
      <c r="I183" s="5">
        <f t="shared" si="71"/>
        <v>389.25</v>
      </c>
      <c r="J183" s="5">
        <f t="shared" si="72"/>
        <v>339.25</v>
      </c>
      <c r="K183">
        <v>22</v>
      </c>
      <c r="N183" s="51">
        <v>300</v>
      </c>
    </row>
    <row r="184" spans="1:17">
      <c r="A184" s="145">
        <v>46094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10">
        <f t="shared" si="70"/>
        <v>0</v>
      </c>
      <c r="H184" s="4">
        <v>0</v>
      </c>
      <c r="I184" s="5">
        <f t="shared" si="71"/>
        <v>0</v>
      </c>
      <c r="J184" s="5">
        <f t="shared" si="72"/>
        <v>0</v>
      </c>
      <c r="K184">
        <v>0</v>
      </c>
      <c r="N184" s="51">
        <v>0</v>
      </c>
    </row>
    <row r="185" spans="1:17">
      <c r="A185" s="145">
        <v>46095</v>
      </c>
      <c r="B185" s="4">
        <v>9</v>
      </c>
      <c r="C185" s="4">
        <v>11</v>
      </c>
      <c r="D185" s="4">
        <v>45</v>
      </c>
      <c r="E185" s="4">
        <v>1</v>
      </c>
      <c r="F185" s="4">
        <v>50</v>
      </c>
      <c r="G185" s="10">
        <f t="shared" si="70"/>
        <v>9.1833333333333336</v>
      </c>
      <c r="H185" s="4">
        <v>50</v>
      </c>
      <c r="I185" s="5">
        <f t="shared" si="71"/>
        <v>413.25</v>
      </c>
      <c r="J185" s="5">
        <f t="shared" si="72"/>
        <v>363.25</v>
      </c>
      <c r="K185">
        <v>25</v>
      </c>
      <c r="N185" s="51">
        <v>550</v>
      </c>
    </row>
    <row r="186" spans="1:17" ht="16" thickBot="1">
      <c r="A186" s="145">
        <v>46096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10">
        <f t="shared" si="70"/>
        <v>0</v>
      </c>
      <c r="H186" s="4">
        <v>0</v>
      </c>
      <c r="I186" s="5">
        <f t="shared" si="71"/>
        <v>0</v>
      </c>
      <c r="J186" s="5">
        <f t="shared" si="72"/>
        <v>0</v>
      </c>
      <c r="K186">
        <v>0</v>
      </c>
      <c r="N186" s="51">
        <v>173.91</v>
      </c>
    </row>
    <row r="187" spans="1:17" s="86" customFormat="1" ht="20" thickBot="1">
      <c r="A187" s="91" t="s">
        <v>760</v>
      </c>
      <c r="B187" s="8">
        <f>SUM(B188:B194)</f>
        <v>40</v>
      </c>
      <c r="C187" s="8">
        <f>SUM(C188:C194)</f>
        <v>125</v>
      </c>
      <c r="D187" s="8">
        <f>SUM(D188)</f>
        <v>55</v>
      </c>
      <c r="E187" s="8">
        <f>SUM(E188:E194)</f>
        <v>7</v>
      </c>
      <c r="F187" s="8">
        <f>SUM(F188:F194)</f>
        <v>350</v>
      </c>
      <c r="G187" s="93">
        <f t="shared" si="70"/>
        <v>42.083333333333336</v>
      </c>
      <c r="H187" s="8">
        <f>SUM(H188:H194)</f>
        <v>415</v>
      </c>
      <c r="I187" s="9">
        <f>SUM(I188:I194)</f>
        <v>1979.9166666666667</v>
      </c>
      <c r="J187" s="14">
        <f>SUM(J188:J194)</f>
        <v>1564.9166666666667</v>
      </c>
      <c r="K187" s="8">
        <f>SUM(K188:K194)</f>
        <v>110</v>
      </c>
      <c r="L187" s="9">
        <v>0</v>
      </c>
      <c r="M187" s="96">
        <f>J187</f>
        <v>1564.9166666666667</v>
      </c>
      <c r="N187" s="102">
        <f>SUM(N188:N194)</f>
        <v>3093</v>
      </c>
      <c r="O187" s="98">
        <f>3085-N187</f>
        <v>-8</v>
      </c>
      <c r="P187" s="149" t="s">
        <v>726</v>
      </c>
    </row>
    <row r="188" spans="1:17">
      <c r="A188" s="80" t="s">
        <v>732</v>
      </c>
      <c r="B188" s="4">
        <v>0</v>
      </c>
      <c r="C188" s="4">
        <v>0</v>
      </c>
      <c r="D188" s="4">
        <v>55</v>
      </c>
      <c r="E188" s="4">
        <v>1</v>
      </c>
      <c r="F188" s="4">
        <v>50</v>
      </c>
      <c r="G188" s="10">
        <f t="shared" si="70"/>
        <v>0</v>
      </c>
      <c r="H188" s="4">
        <v>0</v>
      </c>
      <c r="I188" s="5">
        <f t="shared" ref="I188:I194" si="73">G188*D188</f>
        <v>0</v>
      </c>
      <c r="J188" s="5">
        <f t="shared" ref="J188:J194" si="74">I188-H188</f>
        <v>0</v>
      </c>
      <c r="K188">
        <v>0</v>
      </c>
      <c r="N188" s="51">
        <v>0</v>
      </c>
      <c r="O188" s="51"/>
    </row>
    <row r="189" spans="1:17">
      <c r="A189" s="80" t="s">
        <v>733</v>
      </c>
      <c r="B189" s="4">
        <v>7</v>
      </c>
      <c r="C189" s="4">
        <v>12</v>
      </c>
      <c r="D189" s="4">
        <v>45</v>
      </c>
      <c r="E189" s="4">
        <v>1</v>
      </c>
      <c r="F189" s="4">
        <v>50</v>
      </c>
      <c r="G189" s="10">
        <f t="shared" si="70"/>
        <v>7.2</v>
      </c>
      <c r="H189" s="4">
        <f>50+165</f>
        <v>215</v>
      </c>
      <c r="I189" s="5">
        <f t="shared" si="73"/>
        <v>324</v>
      </c>
      <c r="J189" s="5">
        <f t="shared" si="74"/>
        <v>109</v>
      </c>
      <c r="K189">
        <v>17</v>
      </c>
      <c r="N189" s="51">
        <v>560</v>
      </c>
    </row>
    <row r="190" spans="1:17">
      <c r="A190" s="80" t="s">
        <v>734</v>
      </c>
      <c r="B190" s="4">
        <v>8</v>
      </c>
      <c r="C190" s="4">
        <v>57</v>
      </c>
      <c r="D190" s="4">
        <v>45</v>
      </c>
      <c r="E190" s="4">
        <v>1</v>
      </c>
      <c r="F190" s="4">
        <v>50</v>
      </c>
      <c r="G190" s="10">
        <f t="shared" si="70"/>
        <v>8.9499999999999993</v>
      </c>
      <c r="H190" s="4">
        <v>50</v>
      </c>
      <c r="I190" s="5">
        <f t="shared" si="73"/>
        <v>402.74999999999994</v>
      </c>
      <c r="J190" s="5">
        <f t="shared" si="74"/>
        <v>352.74999999999994</v>
      </c>
      <c r="K190">
        <v>18</v>
      </c>
      <c r="N190" s="51">
        <v>310</v>
      </c>
      <c r="Q190" t="s">
        <v>64</v>
      </c>
    </row>
    <row r="191" spans="1:17">
      <c r="A191" s="80">
        <v>46094</v>
      </c>
      <c r="B191" s="4">
        <v>8</v>
      </c>
      <c r="C191" s="4">
        <v>7</v>
      </c>
      <c r="D191" s="4">
        <v>45</v>
      </c>
      <c r="E191" s="4">
        <v>1</v>
      </c>
      <c r="F191" s="4">
        <v>50</v>
      </c>
      <c r="G191" s="10">
        <f t="shared" si="70"/>
        <v>8.1166666666666671</v>
      </c>
      <c r="H191" s="4">
        <v>50</v>
      </c>
      <c r="I191" s="5">
        <f t="shared" si="73"/>
        <v>365.25</v>
      </c>
      <c r="J191" s="5">
        <f t="shared" si="74"/>
        <v>315.25</v>
      </c>
      <c r="K191">
        <v>22</v>
      </c>
      <c r="N191" s="51">
        <v>373</v>
      </c>
    </row>
    <row r="192" spans="1:17">
      <c r="A192" s="80">
        <v>46095</v>
      </c>
      <c r="B192" s="4">
        <v>9</v>
      </c>
      <c r="C192" s="4">
        <v>12</v>
      </c>
      <c r="D192" s="4">
        <v>45</v>
      </c>
      <c r="E192" s="4">
        <v>1</v>
      </c>
      <c r="F192" s="4">
        <v>50</v>
      </c>
      <c r="G192" s="10">
        <f t="shared" si="70"/>
        <v>9.1999999999999993</v>
      </c>
      <c r="H192" s="4">
        <v>50</v>
      </c>
      <c r="I192" s="5">
        <f t="shared" si="73"/>
        <v>413.99999999999994</v>
      </c>
      <c r="J192" s="5">
        <f t="shared" si="74"/>
        <v>363.99999999999994</v>
      </c>
      <c r="K192">
        <v>24</v>
      </c>
      <c r="N192" s="51">
        <v>870</v>
      </c>
    </row>
    <row r="193" spans="1:17">
      <c r="A193" s="80">
        <v>46096</v>
      </c>
      <c r="B193" s="4">
        <v>8</v>
      </c>
      <c r="C193" s="4">
        <v>37</v>
      </c>
      <c r="D193" s="4">
        <v>55</v>
      </c>
      <c r="E193" s="4">
        <v>1</v>
      </c>
      <c r="F193" s="4">
        <v>50</v>
      </c>
      <c r="G193" s="10">
        <f t="shared" si="70"/>
        <v>8.6166666666666671</v>
      </c>
      <c r="H193" s="4">
        <v>50</v>
      </c>
      <c r="I193" s="5">
        <f t="shared" si="73"/>
        <v>473.91666666666669</v>
      </c>
      <c r="J193" s="5">
        <f t="shared" si="74"/>
        <v>423.91666666666669</v>
      </c>
      <c r="K193">
        <v>29</v>
      </c>
      <c r="N193" s="51">
        <v>770</v>
      </c>
    </row>
    <row r="194" spans="1:17" ht="16" thickBot="1">
      <c r="A194" s="80">
        <v>46097</v>
      </c>
      <c r="B194" s="4">
        <v>0</v>
      </c>
      <c r="C194" s="4">
        <v>0</v>
      </c>
      <c r="D194" s="4">
        <v>0</v>
      </c>
      <c r="E194" s="4">
        <v>1</v>
      </c>
      <c r="F194" s="4">
        <v>50</v>
      </c>
      <c r="G194" s="10">
        <f t="shared" si="70"/>
        <v>0</v>
      </c>
      <c r="H194" s="4">
        <v>0</v>
      </c>
      <c r="I194" s="5">
        <f t="shared" si="73"/>
        <v>0</v>
      </c>
      <c r="J194" s="5">
        <f t="shared" si="74"/>
        <v>0</v>
      </c>
      <c r="K194">
        <v>0</v>
      </c>
      <c r="N194" s="51">
        <v>210</v>
      </c>
    </row>
    <row r="195" spans="1:17" s="86" customFormat="1" ht="20" thickBot="1">
      <c r="A195" s="91" t="s">
        <v>761</v>
      </c>
      <c r="B195" s="8">
        <f>SUM(B196:B202)</f>
        <v>25</v>
      </c>
      <c r="C195" s="8">
        <f>SUM(C196:C202)</f>
        <v>93</v>
      </c>
      <c r="D195" s="8">
        <f>SUM(D196)</f>
        <v>45</v>
      </c>
      <c r="E195" s="8">
        <f>SUM(E196:E202)</f>
        <v>3</v>
      </c>
      <c r="F195" s="8">
        <f>SUM(F196:F202)</f>
        <v>350</v>
      </c>
      <c r="G195" s="93">
        <f t="shared" ref="G195:G202" si="75">B195+C195/60</f>
        <v>26.55</v>
      </c>
      <c r="H195" s="8">
        <f>SUM(H196:H202)</f>
        <v>462</v>
      </c>
      <c r="I195" s="9">
        <f>SUM(I196:I202)</f>
        <v>1194.75</v>
      </c>
      <c r="J195" s="14">
        <f>SUM(J196:J202)</f>
        <v>732.75</v>
      </c>
      <c r="K195" s="8">
        <f>SUM(K196:K202)</f>
        <v>86</v>
      </c>
      <c r="L195" s="9">
        <v>0</v>
      </c>
      <c r="M195" s="96">
        <f>J195</f>
        <v>732.75</v>
      </c>
      <c r="N195" s="102">
        <f>SUM(N196:N202)</f>
        <v>1505</v>
      </c>
      <c r="O195" s="98">
        <f>1556-N195</f>
        <v>51</v>
      </c>
      <c r="P195" s="149" t="s">
        <v>726</v>
      </c>
    </row>
    <row r="196" spans="1:17">
      <c r="A196" s="80" t="s">
        <v>732</v>
      </c>
      <c r="B196" s="4">
        <v>0</v>
      </c>
      <c r="C196" s="4">
        <v>0</v>
      </c>
      <c r="D196" s="4">
        <v>45</v>
      </c>
      <c r="E196" s="4">
        <v>0</v>
      </c>
      <c r="F196" s="4">
        <v>50</v>
      </c>
      <c r="G196" s="10">
        <f t="shared" si="75"/>
        <v>0</v>
      </c>
      <c r="H196" s="4">
        <v>0</v>
      </c>
      <c r="I196" s="5">
        <f t="shared" ref="I196:I202" si="76">G196*D196</f>
        <v>0</v>
      </c>
      <c r="J196" s="5">
        <f t="shared" ref="J196:J199" si="77">I196-H196</f>
        <v>0</v>
      </c>
      <c r="K196">
        <v>30</v>
      </c>
      <c r="N196" s="51">
        <v>0</v>
      </c>
      <c r="O196" s="51"/>
    </row>
    <row r="197" spans="1:17">
      <c r="A197" s="80" t="s">
        <v>733</v>
      </c>
      <c r="B197" s="4">
        <v>0</v>
      </c>
      <c r="C197" s="4">
        <v>0</v>
      </c>
      <c r="D197" s="4">
        <v>45</v>
      </c>
      <c r="E197" s="4">
        <v>0</v>
      </c>
      <c r="F197" s="4">
        <v>50</v>
      </c>
      <c r="G197" s="10">
        <f t="shared" si="75"/>
        <v>0</v>
      </c>
      <c r="H197" s="4">
        <v>0</v>
      </c>
      <c r="I197" s="5">
        <f t="shared" si="76"/>
        <v>0</v>
      </c>
      <c r="J197" s="5">
        <f t="shared" si="77"/>
        <v>0</v>
      </c>
      <c r="K197">
        <v>6</v>
      </c>
      <c r="N197" s="51">
        <v>0</v>
      </c>
    </row>
    <row r="198" spans="1:17">
      <c r="A198" s="80" t="s">
        <v>734</v>
      </c>
      <c r="B198" s="4">
        <v>0</v>
      </c>
      <c r="C198" s="4">
        <v>0</v>
      </c>
      <c r="D198" s="4">
        <v>45</v>
      </c>
      <c r="E198" s="4">
        <v>0</v>
      </c>
      <c r="F198" s="4">
        <v>50</v>
      </c>
      <c r="G198" s="10">
        <f t="shared" si="75"/>
        <v>0</v>
      </c>
      <c r="H198" s="4">
        <v>0</v>
      </c>
      <c r="I198" s="5">
        <f t="shared" si="76"/>
        <v>0</v>
      </c>
      <c r="J198" s="5">
        <f t="shared" si="77"/>
        <v>0</v>
      </c>
      <c r="K198">
        <v>0</v>
      </c>
      <c r="N198" s="51">
        <v>0</v>
      </c>
      <c r="Q198" t="s">
        <v>64</v>
      </c>
    </row>
    <row r="199" spans="1:17">
      <c r="A199" s="80" t="s">
        <v>728</v>
      </c>
      <c r="B199" s="4">
        <v>0</v>
      </c>
      <c r="C199" s="4">
        <v>0</v>
      </c>
      <c r="D199" s="4">
        <v>45</v>
      </c>
      <c r="E199" s="4">
        <v>0</v>
      </c>
      <c r="F199" s="4">
        <v>50</v>
      </c>
      <c r="G199" s="10">
        <f t="shared" si="75"/>
        <v>0</v>
      </c>
      <c r="H199" s="4">
        <v>0</v>
      </c>
      <c r="I199" s="5">
        <f t="shared" si="76"/>
        <v>0</v>
      </c>
      <c r="J199" s="5">
        <f t="shared" si="77"/>
        <v>0</v>
      </c>
      <c r="K199">
        <v>0</v>
      </c>
      <c r="N199" s="51">
        <v>0</v>
      </c>
    </row>
    <row r="200" spans="1:17">
      <c r="A200" s="80" t="s">
        <v>730</v>
      </c>
      <c r="B200" s="4">
        <v>8</v>
      </c>
      <c r="C200" s="4">
        <v>15</v>
      </c>
      <c r="D200" s="4">
        <v>45</v>
      </c>
      <c r="E200" s="4">
        <v>1</v>
      </c>
      <c r="F200" s="4">
        <v>50</v>
      </c>
      <c r="G200" s="10">
        <f t="shared" si="75"/>
        <v>8.25</v>
      </c>
      <c r="H200" s="4">
        <v>50</v>
      </c>
      <c r="I200" s="5">
        <f t="shared" si="76"/>
        <v>371.25</v>
      </c>
      <c r="J200" s="5">
        <f>I200-H200</f>
        <v>321.25</v>
      </c>
      <c r="K200">
        <v>14</v>
      </c>
      <c r="N200" s="51">
        <v>455</v>
      </c>
    </row>
    <row r="201" spans="1:17">
      <c r="A201" s="80" t="s">
        <v>731</v>
      </c>
      <c r="B201" s="4">
        <v>9</v>
      </c>
      <c r="C201" s="4">
        <v>38</v>
      </c>
      <c r="D201" s="4">
        <v>45</v>
      </c>
      <c r="E201" s="4">
        <v>1</v>
      </c>
      <c r="F201" s="4">
        <v>50</v>
      </c>
      <c r="G201" s="10">
        <f t="shared" si="75"/>
        <v>9.6333333333333329</v>
      </c>
      <c r="H201" s="4">
        <f>50+80.7</f>
        <v>130.69999999999999</v>
      </c>
      <c r="I201" s="5">
        <f t="shared" si="76"/>
        <v>433.5</v>
      </c>
      <c r="J201" s="5">
        <f>I201-H201</f>
        <v>302.8</v>
      </c>
      <c r="K201">
        <v>18</v>
      </c>
      <c r="N201" s="51">
        <v>200</v>
      </c>
    </row>
    <row r="202" spans="1:17" ht="16" thickBot="1">
      <c r="A202" s="80" t="s">
        <v>735</v>
      </c>
      <c r="B202" s="4">
        <v>8</v>
      </c>
      <c r="C202" s="4">
        <v>40</v>
      </c>
      <c r="D202" s="4">
        <v>45</v>
      </c>
      <c r="E202" s="4">
        <v>1</v>
      </c>
      <c r="F202" s="4">
        <v>50</v>
      </c>
      <c r="G202" s="10">
        <f t="shared" si="75"/>
        <v>8.6666666666666661</v>
      </c>
      <c r="H202" s="4">
        <f>50+231.3</f>
        <v>281.3</v>
      </c>
      <c r="I202" s="5">
        <f t="shared" si="76"/>
        <v>390</v>
      </c>
      <c r="J202" s="5">
        <f>I202-H202</f>
        <v>108.69999999999999</v>
      </c>
      <c r="K202">
        <v>18</v>
      </c>
      <c r="N202" s="51">
        <f>700+150</f>
        <v>850</v>
      </c>
      <c r="P202" s="128" t="s">
        <v>762</v>
      </c>
    </row>
    <row r="203" spans="1:17" s="86" customFormat="1" ht="20" thickBot="1">
      <c r="A203" s="91" t="s">
        <v>763</v>
      </c>
      <c r="B203" s="8">
        <f>SUM(B204:B210)</f>
        <v>7</v>
      </c>
      <c r="C203" s="8">
        <f>SUM(C204:C210)</f>
        <v>42</v>
      </c>
      <c r="D203" s="8">
        <f>SUM(D204)</f>
        <v>45</v>
      </c>
      <c r="E203" s="8">
        <f>SUM(E204:E210)</f>
        <v>2</v>
      </c>
      <c r="F203" s="8">
        <f>SUM(F204:F210)</f>
        <v>350</v>
      </c>
      <c r="G203" s="93">
        <f t="shared" ref="G203:G210" si="78">B203+C203/60</f>
        <v>7.7</v>
      </c>
      <c r="H203" s="8">
        <f>SUM(H204:H210)</f>
        <v>100</v>
      </c>
      <c r="I203" s="9">
        <f>SUM(I204:I210)</f>
        <v>346.5</v>
      </c>
      <c r="J203" s="14">
        <f>SUM(J204:J210)</f>
        <v>246.50000000000003</v>
      </c>
      <c r="K203" s="8">
        <f>SUM(K204:K210)</f>
        <v>14</v>
      </c>
      <c r="L203" s="9">
        <v>0</v>
      </c>
      <c r="M203" s="96">
        <f>J203</f>
        <v>246.50000000000003</v>
      </c>
      <c r="N203" s="102">
        <f>SUM(N204:N210)</f>
        <v>0</v>
      </c>
      <c r="O203" s="98">
        <f>364-N203</f>
        <v>364</v>
      </c>
    </row>
    <row r="204" spans="1:17">
      <c r="A204" s="145">
        <v>46090</v>
      </c>
      <c r="B204" s="4">
        <v>0</v>
      </c>
      <c r="C204" s="4">
        <v>0</v>
      </c>
      <c r="D204" s="4">
        <v>45</v>
      </c>
      <c r="E204" s="4">
        <v>0</v>
      </c>
      <c r="F204" s="4">
        <v>50</v>
      </c>
      <c r="G204" s="10">
        <f t="shared" si="78"/>
        <v>0</v>
      </c>
      <c r="H204" s="4">
        <v>0</v>
      </c>
      <c r="I204" s="5">
        <f t="shared" ref="I204:I210" si="79">G204*D204</f>
        <v>0</v>
      </c>
      <c r="J204" s="5">
        <f t="shared" ref="J204:J210" si="80">I204-H204</f>
        <v>0</v>
      </c>
      <c r="K204">
        <v>0</v>
      </c>
      <c r="N204" s="51">
        <v>0</v>
      </c>
      <c r="O204" s="51"/>
    </row>
    <row r="205" spans="1:17">
      <c r="A205" s="145">
        <v>46091</v>
      </c>
      <c r="B205" s="4">
        <v>0</v>
      </c>
      <c r="C205" s="4">
        <v>0</v>
      </c>
      <c r="D205" s="4">
        <v>45</v>
      </c>
      <c r="E205" s="4">
        <v>0</v>
      </c>
      <c r="F205" s="4">
        <v>50</v>
      </c>
      <c r="G205" s="10">
        <f t="shared" si="78"/>
        <v>0</v>
      </c>
      <c r="H205" s="4">
        <v>0</v>
      </c>
      <c r="I205" s="5">
        <f t="shared" si="79"/>
        <v>0</v>
      </c>
      <c r="J205" s="5">
        <f t="shared" si="80"/>
        <v>0</v>
      </c>
      <c r="K205">
        <v>0</v>
      </c>
      <c r="N205" s="51">
        <v>0</v>
      </c>
    </row>
    <row r="206" spans="1:17">
      <c r="A206" s="145">
        <v>46092</v>
      </c>
      <c r="B206" s="4">
        <v>0</v>
      </c>
      <c r="C206" s="4">
        <v>0</v>
      </c>
      <c r="D206" s="4">
        <v>45</v>
      </c>
      <c r="E206" s="4">
        <v>0</v>
      </c>
      <c r="F206" s="4">
        <v>50</v>
      </c>
      <c r="G206" s="10">
        <f t="shared" si="78"/>
        <v>0</v>
      </c>
      <c r="H206" s="4">
        <v>0</v>
      </c>
      <c r="I206" s="5">
        <f t="shared" si="79"/>
        <v>0</v>
      </c>
      <c r="J206" s="5">
        <f t="shared" si="80"/>
        <v>0</v>
      </c>
      <c r="K206">
        <v>0</v>
      </c>
      <c r="N206" s="51">
        <v>0</v>
      </c>
      <c r="Q206" t="s">
        <v>64</v>
      </c>
    </row>
    <row r="207" spans="1:17">
      <c r="A207" s="145">
        <v>46093</v>
      </c>
      <c r="B207" s="4">
        <v>0</v>
      </c>
      <c r="C207" s="4">
        <v>0</v>
      </c>
      <c r="D207" s="4">
        <v>45</v>
      </c>
      <c r="E207" s="4">
        <v>0</v>
      </c>
      <c r="F207" s="4">
        <v>50</v>
      </c>
      <c r="G207" s="10">
        <f t="shared" si="78"/>
        <v>0</v>
      </c>
      <c r="H207" s="4">
        <v>0</v>
      </c>
      <c r="I207" s="5">
        <f t="shared" si="79"/>
        <v>0</v>
      </c>
      <c r="J207" s="5">
        <f t="shared" si="80"/>
        <v>0</v>
      </c>
      <c r="K207">
        <v>0</v>
      </c>
      <c r="N207" s="51">
        <v>0</v>
      </c>
    </row>
    <row r="208" spans="1:17">
      <c r="A208" s="145">
        <v>46094</v>
      </c>
      <c r="B208" s="4">
        <v>4</v>
      </c>
      <c r="C208" s="4">
        <v>9</v>
      </c>
      <c r="D208" s="4">
        <v>45</v>
      </c>
      <c r="E208" s="4">
        <v>1</v>
      </c>
      <c r="F208" s="4">
        <v>50</v>
      </c>
      <c r="G208" s="10">
        <f t="shared" si="78"/>
        <v>4.1500000000000004</v>
      </c>
      <c r="H208" s="4">
        <v>50</v>
      </c>
      <c r="I208" s="5">
        <f t="shared" si="79"/>
        <v>186.75000000000003</v>
      </c>
      <c r="J208" s="5">
        <f t="shared" si="80"/>
        <v>136.75000000000003</v>
      </c>
      <c r="K208">
        <v>7</v>
      </c>
      <c r="N208" s="51">
        <v>0</v>
      </c>
    </row>
    <row r="209" spans="1:15">
      <c r="A209" s="145">
        <v>46095</v>
      </c>
      <c r="B209" s="4">
        <v>3</v>
      </c>
      <c r="C209" s="4">
        <v>33</v>
      </c>
      <c r="D209" s="4">
        <v>45</v>
      </c>
      <c r="E209" s="4">
        <v>1</v>
      </c>
      <c r="F209" s="4">
        <v>50</v>
      </c>
      <c r="G209" s="10">
        <f t="shared" si="78"/>
        <v>3.55</v>
      </c>
      <c r="H209" s="4">
        <v>50</v>
      </c>
      <c r="I209" s="5">
        <f t="shared" si="79"/>
        <v>159.75</v>
      </c>
      <c r="J209" s="5">
        <f t="shared" si="80"/>
        <v>109.75</v>
      </c>
      <c r="K209">
        <v>7</v>
      </c>
      <c r="N209" s="51">
        <v>0</v>
      </c>
    </row>
    <row r="210" spans="1:15">
      <c r="A210" s="145">
        <v>46096</v>
      </c>
      <c r="B210" s="4">
        <v>0</v>
      </c>
      <c r="C210" s="4">
        <v>0</v>
      </c>
      <c r="D210" s="4">
        <v>45</v>
      </c>
      <c r="E210" s="4">
        <v>0</v>
      </c>
      <c r="F210" s="4">
        <v>50</v>
      </c>
      <c r="G210" s="10">
        <f t="shared" si="78"/>
        <v>0</v>
      </c>
      <c r="H210" s="4">
        <v>0</v>
      </c>
      <c r="I210" s="5">
        <f t="shared" si="79"/>
        <v>0</v>
      </c>
      <c r="J210" s="5">
        <f t="shared" si="80"/>
        <v>0</v>
      </c>
      <c r="K210">
        <v>0</v>
      </c>
      <c r="N210" s="51">
        <v>0</v>
      </c>
    </row>
    <row r="211" spans="1:15">
      <c r="A211" s="6"/>
      <c r="G211" s="133"/>
      <c r="H211" s="131"/>
      <c r="I211" s="132"/>
      <c r="J211" s="132"/>
      <c r="N211" s="119"/>
    </row>
    <row r="212" spans="1:15" ht="33" customHeight="1" thickBot="1">
      <c r="A212" t="s">
        <v>17</v>
      </c>
      <c r="H212" s="121">
        <f>H203+H195+H187+H179+H171+H155+H147+H139+H123+H115+H99+H75+H67+H59+H51+H43+H35+H27+H19+H11+H3</f>
        <v>7158.7</v>
      </c>
      <c r="I212" s="121">
        <f t="shared" ref="I212:O212" si="81">I203+I195+I187+I179+I171+I155+I147+I139+I123+I115+I99+I75+I67+I59+I51+I43+I35+I27+I19+I11+I3</f>
        <v>45072.583333333328</v>
      </c>
      <c r="J212" s="121">
        <f t="shared" si="81"/>
        <v>37913.883333333331</v>
      </c>
      <c r="K212" s="122">
        <f t="shared" si="81"/>
        <v>2445</v>
      </c>
      <c r="L212" s="121">
        <f t="shared" si="81"/>
        <v>300</v>
      </c>
      <c r="M212" s="121">
        <f t="shared" si="81"/>
        <v>38213.883333333331</v>
      </c>
      <c r="N212" s="121">
        <f t="shared" si="81"/>
        <v>63516.91</v>
      </c>
      <c r="O212" s="125">
        <f t="shared" si="81"/>
        <v>1532.0900000000001</v>
      </c>
    </row>
    <row r="213" spans="1:15" ht="16" thickTop="1"/>
  </sheetData>
  <pageMargins left="0.7" right="0.7" top="0.75" bottom="0.75" header="0.3" footer="0.3"/>
  <ignoredErrors>
    <ignoredError sqref="A7" twoDigitTextYear="1"/>
    <ignoredError sqref="D43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0549-FD86-1643-B122-5ED7F212E02C}">
  <dimension ref="A1:Q213"/>
  <sheetViews>
    <sheetView workbookViewId="0">
      <pane xSplit="1" ySplit="1" topLeftCell="B195" activePane="bottomRight" state="frozen"/>
      <selection pane="topRight" activeCell="B1" sqref="B1"/>
      <selection pane="bottomLeft" activeCell="A2" sqref="A2"/>
      <selection pane="bottomRight" activeCell="E72" sqref="E72"/>
    </sheetView>
  </sheetViews>
  <sheetFormatPr baseColWidth="10" defaultColWidth="8.6640625" defaultRowHeight="15"/>
  <cols>
    <col min="1" max="1" width="23" bestFit="1" customWidth="1"/>
    <col min="3" max="3" width="13.33203125" customWidth="1"/>
    <col min="4" max="4" width="17.6640625" customWidth="1"/>
    <col min="6" max="6" width="16.6640625" customWidth="1"/>
    <col min="7" max="7" width="19" customWidth="1"/>
    <col min="8" max="8" width="18" customWidth="1"/>
    <col min="9" max="9" width="20.5" customWidth="1"/>
    <col min="10" max="10" width="18.6640625" customWidth="1"/>
    <col min="11" max="11" width="13.6640625" bestFit="1" customWidth="1"/>
    <col min="12" max="12" width="15.6640625" customWidth="1"/>
    <col min="13" max="13" width="17" bestFit="1" customWidth="1"/>
    <col min="14" max="14" width="16.6640625" customWidth="1"/>
    <col min="15" max="15" width="22.6640625" bestFit="1" customWidth="1"/>
    <col min="16" max="16" width="175.5" customWidth="1"/>
  </cols>
  <sheetData>
    <row r="1" spans="1:17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7" ht="20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7" ht="20" thickBot="1">
      <c r="A3" s="91" t="s">
        <v>764</v>
      </c>
      <c r="B3" s="8">
        <f>SUM(B4:B10)</f>
        <v>30</v>
      </c>
      <c r="C3" s="8">
        <f>SUM(C4:C10)</f>
        <v>150</v>
      </c>
      <c r="D3" s="8">
        <v>45</v>
      </c>
      <c r="E3" s="8">
        <f>SUM(E4:E10)</f>
        <v>7</v>
      </c>
      <c r="F3" s="8">
        <f>SUM(F4:F10)</f>
        <v>350</v>
      </c>
      <c r="G3" s="93">
        <f t="shared" ref="G3:G13" si="0">B3+C3/60</f>
        <v>32.5</v>
      </c>
      <c r="H3" s="8">
        <f>SUM(H4:H10)</f>
        <v>200</v>
      </c>
      <c r="I3" s="9">
        <f>SUM(I4:I10)</f>
        <v>1462.5</v>
      </c>
      <c r="J3" s="14">
        <f>SUM(J4:J10)</f>
        <v>1262.5</v>
      </c>
      <c r="K3" s="8">
        <f>SUM(K4:K10)</f>
        <v>78</v>
      </c>
      <c r="L3" s="9">
        <v>0</v>
      </c>
      <c r="M3" s="96">
        <f>J3</f>
        <v>1262.5</v>
      </c>
      <c r="N3" s="102">
        <f>SUM(N4:N10)</f>
        <v>2242</v>
      </c>
      <c r="O3" s="98">
        <f>2188-N3</f>
        <v>-54</v>
      </c>
      <c r="P3" s="86" t="s">
        <v>726</v>
      </c>
      <c r="Q3" s="86"/>
    </row>
    <row r="4" spans="1:17">
      <c r="A4" s="6">
        <v>46097</v>
      </c>
      <c r="B4" s="4">
        <v>0</v>
      </c>
      <c r="C4" s="4">
        <v>0</v>
      </c>
      <c r="D4" s="4">
        <v>45</v>
      </c>
      <c r="E4" s="4">
        <v>1</v>
      </c>
      <c r="F4" s="4">
        <v>50</v>
      </c>
      <c r="G4" s="10">
        <f t="shared" si="0"/>
        <v>0</v>
      </c>
      <c r="H4" s="4">
        <v>0</v>
      </c>
      <c r="I4" s="5">
        <f t="shared" ref="I4:I10" si="1">G4*D4</f>
        <v>0</v>
      </c>
      <c r="J4" s="5">
        <f t="shared" ref="J4:J10" si="2">I4-H4</f>
        <v>0</v>
      </c>
      <c r="K4">
        <v>0</v>
      </c>
      <c r="N4" s="119">
        <v>0</v>
      </c>
      <c r="O4" s="51"/>
    </row>
    <row r="5" spans="1:17">
      <c r="A5" s="6">
        <v>46098</v>
      </c>
      <c r="B5" s="4">
        <v>0</v>
      </c>
      <c r="C5" s="4">
        <v>0</v>
      </c>
      <c r="D5" s="4">
        <v>45</v>
      </c>
      <c r="E5" s="4">
        <v>1</v>
      </c>
      <c r="F5" s="4">
        <v>50</v>
      </c>
      <c r="G5" s="10">
        <f t="shared" si="0"/>
        <v>0</v>
      </c>
      <c r="H5" s="4">
        <v>0</v>
      </c>
      <c r="I5" s="5">
        <f t="shared" si="1"/>
        <v>0</v>
      </c>
      <c r="J5" s="5">
        <f t="shared" si="2"/>
        <v>0</v>
      </c>
      <c r="K5">
        <v>0</v>
      </c>
      <c r="N5" s="119">
        <v>0</v>
      </c>
    </row>
    <row r="6" spans="1:17">
      <c r="A6" s="6">
        <v>46099</v>
      </c>
      <c r="B6" s="4">
        <v>0</v>
      </c>
      <c r="C6" s="4">
        <v>0</v>
      </c>
      <c r="D6" s="4">
        <v>45</v>
      </c>
      <c r="E6" s="4">
        <v>1</v>
      </c>
      <c r="F6" s="4">
        <v>50</v>
      </c>
      <c r="G6" s="10">
        <f t="shared" si="0"/>
        <v>0</v>
      </c>
      <c r="H6" s="4">
        <v>0</v>
      </c>
      <c r="I6" s="5">
        <f t="shared" si="1"/>
        <v>0</v>
      </c>
      <c r="J6" s="5">
        <f t="shared" si="2"/>
        <v>0</v>
      </c>
      <c r="K6">
        <v>0</v>
      </c>
      <c r="N6" s="119">
        <v>0</v>
      </c>
      <c r="Q6" t="s">
        <v>64</v>
      </c>
    </row>
    <row r="7" spans="1:17">
      <c r="A7" s="80" t="s">
        <v>765</v>
      </c>
      <c r="B7" s="4">
        <v>8</v>
      </c>
      <c r="C7" s="4">
        <v>50</v>
      </c>
      <c r="D7" s="4">
        <v>45</v>
      </c>
      <c r="E7" s="4">
        <v>1</v>
      </c>
      <c r="F7" s="4">
        <v>50</v>
      </c>
      <c r="G7" s="10">
        <f t="shared" si="0"/>
        <v>8.8333333333333339</v>
      </c>
      <c r="H7" s="4">
        <v>50</v>
      </c>
      <c r="I7" s="5">
        <f t="shared" si="1"/>
        <v>397.5</v>
      </c>
      <c r="J7" s="5">
        <f t="shared" si="2"/>
        <v>347.5</v>
      </c>
      <c r="K7">
        <v>16</v>
      </c>
      <c r="N7" s="119">
        <v>289</v>
      </c>
    </row>
    <row r="8" spans="1:17">
      <c r="A8" s="80" t="s">
        <v>766</v>
      </c>
      <c r="B8" s="4">
        <v>8</v>
      </c>
      <c r="C8" s="4">
        <v>58</v>
      </c>
      <c r="D8" s="4">
        <v>45</v>
      </c>
      <c r="E8" s="4">
        <v>1</v>
      </c>
      <c r="F8" s="4">
        <v>50</v>
      </c>
      <c r="G8" s="10">
        <f t="shared" si="0"/>
        <v>8.9666666666666668</v>
      </c>
      <c r="H8" s="4">
        <v>50</v>
      </c>
      <c r="I8" s="5">
        <f t="shared" si="1"/>
        <v>403.5</v>
      </c>
      <c r="J8" s="5">
        <f t="shared" si="2"/>
        <v>353.5</v>
      </c>
      <c r="K8">
        <v>24</v>
      </c>
      <c r="N8" s="136">
        <v>690</v>
      </c>
    </row>
    <row r="9" spans="1:17">
      <c r="A9" s="80" t="s">
        <v>767</v>
      </c>
      <c r="B9" s="4">
        <v>8</v>
      </c>
      <c r="C9" s="4">
        <v>6</v>
      </c>
      <c r="D9" s="4">
        <v>45</v>
      </c>
      <c r="E9" s="4">
        <v>1</v>
      </c>
      <c r="F9" s="4">
        <v>50</v>
      </c>
      <c r="G9" s="10">
        <f t="shared" si="0"/>
        <v>8.1</v>
      </c>
      <c r="H9" s="4">
        <v>50</v>
      </c>
      <c r="I9" s="5">
        <f t="shared" si="1"/>
        <v>364.5</v>
      </c>
      <c r="J9" s="5">
        <f t="shared" si="2"/>
        <v>314.5</v>
      </c>
      <c r="K9">
        <v>20</v>
      </c>
      <c r="N9" s="119">
        <v>692</v>
      </c>
    </row>
    <row r="10" spans="1:17" ht="16" thickBot="1">
      <c r="A10" s="80" t="s">
        <v>768</v>
      </c>
      <c r="B10" s="4">
        <v>6</v>
      </c>
      <c r="C10" s="4">
        <v>36</v>
      </c>
      <c r="D10" s="4">
        <v>45</v>
      </c>
      <c r="E10" s="4">
        <v>1</v>
      </c>
      <c r="F10" s="4">
        <v>50</v>
      </c>
      <c r="G10" s="10">
        <f t="shared" si="0"/>
        <v>6.6</v>
      </c>
      <c r="H10" s="4">
        <v>50</v>
      </c>
      <c r="I10" s="5">
        <f t="shared" si="1"/>
        <v>297</v>
      </c>
      <c r="J10" s="5">
        <f t="shared" si="2"/>
        <v>247</v>
      </c>
      <c r="K10">
        <v>18</v>
      </c>
      <c r="N10" s="119">
        <v>571</v>
      </c>
    </row>
    <row r="11" spans="1:17" s="86" customFormat="1" ht="20" thickBot="1">
      <c r="A11" s="91" t="s">
        <v>769</v>
      </c>
      <c r="B11" s="8">
        <f>SUM(B12:B18)</f>
        <v>74</v>
      </c>
      <c r="C11" s="8">
        <f>SUM(C12:C18)</f>
        <v>258</v>
      </c>
      <c r="D11" s="8">
        <f>SUM(D12)</f>
        <v>45</v>
      </c>
      <c r="E11" s="8">
        <f>SUM(E12:E18)</f>
        <v>0</v>
      </c>
      <c r="F11" s="8">
        <f>SUM(F12:F18)</f>
        <v>350</v>
      </c>
      <c r="G11" s="93">
        <f t="shared" si="0"/>
        <v>78.3</v>
      </c>
      <c r="H11" s="8">
        <f>SUM(H12:H18)</f>
        <v>350</v>
      </c>
      <c r="I11" s="9">
        <f>SUM(I12:I18)</f>
        <v>3977.666666666667</v>
      </c>
      <c r="J11" s="14">
        <f>SUM(J12:J18)</f>
        <v>3627.666666666667</v>
      </c>
      <c r="K11" s="8">
        <f>SUM(K12:K18)</f>
        <v>170</v>
      </c>
      <c r="L11" s="9">
        <v>0</v>
      </c>
      <c r="M11" s="96">
        <f>J11+L11</f>
        <v>3627.666666666667</v>
      </c>
      <c r="N11" s="97">
        <f>SUM(N12:N18)</f>
        <v>3954</v>
      </c>
      <c r="O11" s="98">
        <f>4154-N11</f>
        <v>200</v>
      </c>
      <c r="P11" s="86" t="s">
        <v>726</v>
      </c>
    </row>
    <row r="12" spans="1:17">
      <c r="A12" s="6">
        <v>46097</v>
      </c>
      <c r="B12" s="4">
        <v>11</v>
      </c>
      <c r="C12" s="4">
        <v>26</v>
      </c>
      <c r="D12" s="4">
        <v>45</v>
      </c>
      <c r="E12" s="4">
        <v>0</v>
      </c>
      <c r="F12" s="4">
        <v>50</v>
      </c>
      <c r="G12" s="10">
        <f t="shared" si="0"/>
        <v>11.433333333333334</v>
      </c>
      <c r="H12" s="4">
        <v>50</v>
      </c>
      <c r="I12" s="5">
        <f>G12*D12</f>
        <v>514.5</v>
      </c>
      <c r="J12" s="5">
        <f>I12-H12</f>
        <v>464.5</v>
      </c>
      <c r="K12">
        <v>22</v>
      </c>
      <c r="N12" s="135">
        <v>740</v>
      </c>
    </row>
    <row r="13" spans="1:17">
      <c r="A13" s="6">
        <v>46098</v>
      </c>
      <c r="B13" s="4">
        <v>10</v>
      </c>
      <c r="C13" s="4">
        <v>57</v>
      </c>
      <c r="D13" s="4">
        <v>45</v>
      </c>
      <c r="E13" s="4">
        <v>0</v>
      </c>
      <c r="F13" s="4">
        <v>50</v>
      </c>
      <c r="G13" s="10">
        <f t="shared" si="0"/>
        <v>10.95</v>
      </c>
      <c r="H13" s="4">
        <v>50</v>
      </c>
      <c r="I13" s="5">
        <f>G13*D13</f>
        <v>492.74999999999994</v>
      </c>
      <c r="J13" s="5">
        <f>I13-H13</f>
        <v>442.74999999999994</v>
      </c>
      <c r="K13">
        <v>22</v>
      </c>
      <c r="N13" s="51">
        <v>430</v>
      </c>
    </row>
    <row r="14" spans="1:17">
      <c r="A14" s="6">
        <v>46099</v>
      </c>
      <c r="B14" s="4">
        <v>10</v>
      </c>
      <c r="C14" s="4">
        <v>57</v>
      </c>
      <c r="D14" s="4">
        <v>45</v>
      </c>
      <c r="E14" s="4">
        <v>0</v>
      </c>
      <c r="F14" s="4">
        <v>50</v>
      </c>
      <c r="G14" s="10">
        <f t="shared" ref="G14:G18" si="3">B14+C14/60</f>
        <v>10.95</v>
      </c>
      <c r="H14" s="4">
        <v>50</v>
      </c>
      <c r="I14" s="5">
        <f>G14*D14</f>
        <v>492.74999999999994</v>
      </c>
      <c r="J14" s="5">
        <f>I14-H14</f>
        <v>442.74999999999994</v>
      </c>
      <c r="K14">
        <v>22</v>
      </c>
      <c r="N14" s="51">
        <v>463</v>
      </c>
      <c r="P14" t="s">
        <v>770</v>
      </c>
    </row>
    <row r="15" spans="1:17">
      <c r="A15" s="6">
        <v>46100</v>
      </c>
      <c r="B15" s="4">
        <v>11</v>
      </c>
      <c r="C15" s="4">
        <v>37</v>
      </c>
      <c r="D15" s="4">
        <v>55</v>
      </c>
      <c r="E15" s="4">
        <v>0</v>
      </c>
      <c r="F15" s="4">
        <v>50</v>
      </c>
      <c r="G15" s="10">
        <f t="shared" si="3"/>
        <v>11.616666666666667</v>
      </c>
      <c r="H15" s="4">
        <v>50</v>
      </c>
      <c r="I15" s="5">
        <f t="shared" ref="I15:I18" si="4">G15*D15</f>
        <v>638.91666666666674</v>
      </c>
      <c r="J15" s="5">
        <f t="shared" ref="J15:J18" si="5">I15-H15</f>
        <v>588.91666666666674</v>
      </c>
      <c r="K15">
        <v>27</v>
      </c>
      <c r="N15" s="51">
        <f>366+200</f>
        <v>566</v>
      </c>
      <c r="P15" t="s">
        <v>743</v>
      </c>
    </row>
    <row r="16" spans="1:17">
      <c r="A16" s="6">
        <v>46101</v>
      </c>
      <c r="B16" s="4">
        <v>11</v>
      </c>
      <c r="C16" s="4">
        <v>42</v>
      </c>
      <c r="D16" s="4">
        <v>55</v>
      </c>
      <c r="E16" s="4">
        <v>0</v>
      </c>
      <c r="F16" s="4">
        <v>50</v>
      </c>
      <c r="G16" s="10">
        <f t="shared" si="3"/>
        <v>11.7</v>
      </c>
      <c r="H16" s="4">
        <v>50</v>
      </c>
      <c r="I16" s="5">
        <f t="shared" si="4"/>
        <v>643.5</v>
      </c>
      <c r="J16" s="5">
        <f t="shared" si="5"/>
        <v>593.5</v>
      </c>
      <c r="K16">
        <v>27</v>
      </c>
      <c r="N16" s="51">
        <v>511</v>
      </c>
    </row>
    <row r="17" spans="1:16">
      <c r="A17" s="6">
        <v>46102</v>
      </c>
      <c r="B17" s="4">
        <v>10</v>
      </c>
      <c r="C17" s="4">
        <v>36</v>
      </c>
      <c r="D17" s="4">
        <v>45</v>
      </c>
      <c r="E17" s="4">
        <v>0</v>
      </c>
      <c r="F17" s="4">
        <v>50</v>
      </c>
      <c r="G17" s="10">
        <f t="shared" si="3"/>
        <v>10.6</v>
      </c>
      <c r="H17" s="4">
        <v>50</v>
      </c>
      <c r="I17" s="5">
        <f t="shared" si="4"/>
        <v>477</v>
      </c>
      <c r="J17" s="5">
        <f t="shared" si="5"/>
        <v>427</v>
      </c>
      <c r="K17">
        <v>18</v>
      </c>
      <c r="N17" s="51">
        <v>494</v>
      </c>
    </row>
    <row r="18" spans="1:16" ht="16" thickBot="1">
      <c r="A18" s="6">
        <v>46103</v>
      </c>
      <c r="B18" s="4">
        <v>11</v>
      </c>
      <c r="C18" s="4">
        <v>3</v>
      </c>
      <c r="D18" s="4">
        <v>65</v>
      </c>
      <c r="E18" s="4">
        <v>0</v>
      </c>
      <c r="F18" s="4">
        <v>50</v>
      </c>
      <c r="G18" s="10">
        <f t="shared" si="3"/>
        <v>11.05</v>
      </c>
      <c r="H18" s="4">
        <v>50</v>
      </c>
      <c r="I18" s="5">
        <f t="shared" si="4"/>
        <v>718.25</v>
      </c>
      <c r="J18" s="5">
        <f t="shared" si="5"/>
        <v>668.25</v>
      </c>
      <c r="K18">
        <v>32</v>
      </c>
      <c r="N18" s="51">
        <f>550+200</f>
        <v>750</v>
      </c>
      <c r="P18" t="s">
        <v>134</v>
      </c>
    </row>
    <row r="19" spans="1:16" s="86" customFormat="1" ht="20" thickBot="1">
      <c r="A19" s="91" t="s">
        <v>771</v>
      </c>
      <c r="B19" s="92">
        <f>SUM(B20:B26)</f>
        <v>0</v>
      </c>
      <c r="C19" s="92">
        <f>SUM(C20:C26)</f>
        <v>0</v>
      </c>
      <c r="D19" s="92">
        <f>SUM(D20)</f>
        <v>45</v>
      </c>
      <c r="E19" s="92">
        <f>SUM(E20:E26)</f>
        <v>7</v>
      </c>
      <c r="F19" s="92">
        <f>SUM(F20:F26)</f>
        <v>350</v>
      </c>
      <c r="G19" s="93">
        <f t="shared" ref="G19:G50" si="6">B19+C19/60</f>
        <v>0</v>
      </c>
      <c r="H19" s="92">
        <f>SUM(H20:H26)</f>
        <v>0</v>
      </c>
      <c r="I19" s="94">
        <f>SUM(I20:I26)</f>
        <v>0</v>
      </c>
      <c r="J19" s="95">
        <f>SUM(J20:J26)</f>
        <v>0</v>
      </c>
      <c r="K19" s="8">
        <f>SUM(K20:K26)</f>
        <v>0</v>
      </c>
      <c r="L19" s="9">
        <v>0</v>
      </c>
      <c r="M19" s="96">
        <f>J19+L19</f>
        <v>0</v>
      </c>
      <c r="N19" s="97">
        <f>SUM(N20:N26)</f>
        <v>0</v>
      </c>
      <c r="O19" s="98">
        <v>0</v>
      </c>
    </row>
    <row r="20" spans="1:16">
      <c r="A20" s="6">
        <v>46097</v>
      </c>
      <c r="B20" s="4">
        <v>0</v>
      </c>
      <c r="C20" s="4">
        <v>0</v>
      </c>
      <c r="D20" s="4">
        <v>45</v>
      </c>
      <c r="E20" s="4">
        <v>1</v>
      </c>
      <c r="F20" s="4">
        <v>50</v>
      </c>
      <c r="G20" s="10">
        <f t="shared" si="6"/>
        <v>0</v>
      </c>
      <c r="H20" s="4">
        <v>0</v>
      </c>
      <c r="I20" s="5">
        <f t="shared" ref="I20:I26" si="7">G20*D20</f>
        <v>0</v>
      </c>
      <c r="J20" s="5">
        <f t="shared" ref="J20:J26" si="8">I20-H20</f>
        <v>0</v>
      </c>
      <c r="K20">
        <v>0</v>
      </c>
      <c r="M20" t="s">
        <v>26</v>
      </c>
      <c r="N20" s="83">
        <v>0</v>
      </c>
    </row>
    <row r="21" spans="1:16">
      <c r="A21" s="6">
        <v>46098</v>
      </c>
      <c r="B21" s="4">
        <v>0</v>
      </c>
      <c r="C21" s="4">
        <v>0</v>
      </c>
      <c r="D21" s="4">
        <v>45</v>
      </c>
      <c r="E21" s="4">
        <v>1</v>
      </c>
      <c r="F21" s="4">
        <v>50</v>
      </c>
      <c r="G21" s="10">
        <f t="shared" si="6"/>
        <v>0</v>
      </c>
      <c r="H21" s="4">
        <v>0</v>
      </c>
      <c r="I21" s="5">
        <f t="shared" si="7"/>
        <v>0</v>
      </c>
      <c r="J21" s="5">
        <f t="shared" si="8"/>
        <v>0</v>
      </c>
      <c r="K21">
        <v>0</v>
      </c>
      <c r="N21" s="137">
        <v>0</v>
      </c>
    </row>
    <row r="22" spans="1:16">
      <c r="A22" s="6">
        <v>46099</v>
      </c>
      <c r="B22" s="4">
        <v>0</v>
      </c>
      <c r="C22" s="4">
        <v>0</v>
      </c>
      <c r="D22" s="4">
        <v>45</v>
      </c>
      <c r="E22" s="4">
        <v>1</v>
      </c>
      <c r="F22" s="4">
        <v>50</v>
      </c>
      <c r="G22" s="10">
        <f t="shared" si="6"/>
        <v>0</v>
      </c>
      <c r="H22" s="4">
        <v>0</v>
      </c>
      <c r="I22" s="5">
        <f t="shared" si="7"/>
        <v>0</v>
      </c>
      <c r="J22" s="5">
        <f t="shared" si="8"/>
        <v>0</v>
      </c>
      <c r="K22">
        <v>0</v>
      </c>
      <c r="N22" s="83">
        <v>0</v>
      </c>
    </row>
    <row r="23" spans="1:16">
      <c r="A23" s="6">
        <v>46100</v>
      </c>
      <c r="B23" s="4">
        <v>0</v>
      </c>
      <c r="C23" s="4">
        <v>0</v>
      </c>
      <c r="D23" s="4">
        <v>45</v>
      </c>
      <c r="E23" s="4">
        <v>1</v>
      </c>
      <c r="F23" s="4">
        <v>50</v>
      </c>
      <c r="G23" s="10">
        <f t="shared" si="6"/>
        <v>0</v>
      </c>
      <c r="H23" s="4">
        <v>0</v>
      </c>
      <c r="I23" s="5">
        <f t="shared" si="7"/>
        <v>0</v>
      </c>
      <c r="J23" s="5">
        <f t="shared" si="8"/>
        <v>0</v>
      </c>
      <c r="K23">
        <v>0</v>
      </c>
      <c r="N23" s="83">
        <v>0</v>
      </c>
    </row>
    <row r="24" spans="1:16">
      <c r="A24" s="6">
        <v>46101</v>
      </c>
      <c r="B24" s="4">
        <v>0</v>
      </c>
      <c r="C24" s="4">
        <v>0</v>
      </c>
      <c r="D24" s="4">
        <v>45</v>
      </c>
      <c r="E24" s="4">
        <v>1</v>
      </c>
      <c r="F24" s="4">
        <v>50</v>
      </c>
      <c r="G24" s="10">
        <f t="shared" si="6"/>
        <v>0</v>
      </c>
      <c r="H24" s="4">
        <v>0</v>
      </c>
      <c r="I24" s="5">
        <f t="shared" si="7"/>
        <v>0</v>
      </c>
      <c r="J24" s="5">
        <f t="shared" si="8"/>
        <v>0</v>
      </c>
      <c r="K24">
        <v>0</v>
      </c>
      <c r="N24" s="137">
        <v>0</v>
      </c>
    </row>
    <row r="25" spans="1:16">
      <c r="A25" s="6">
        <v>46102</v>
      </c>
      <c r="B25" s="4">
        <v>0</v>
      </c>
      <c r="C25" s="4">
        <v>0</v>
      </c>
      <c r="D25" s="4">
        <v>45</v>
      </c>
      <c r="E25" s="4">
        <v>1</v>
      </c>
      <c r="F25" s="4">
        <v>50</v>
      </c>
      <c r="G25" s="10">
        <f t="shared" si="6"/>
        <v>0</v>
      </c>
      <c r="H25" s="4">
        <v>0</v>
      </c>
      <c r="I25" s="5">
        <f t="shared" si="7"/>
        <v>0</v>
      </c>
      <c r="J25" s="5">
        <f t="shared" si="8"/>
        <v>0</v>
      </c>
      <c r="K25">
        <v>0</v>
      </c>
      <c r="N25" s="83">
        <v>0</v>
      </c>
    </row>
    <row r="26" spans="1:16" ht="16" thickBot="1">
      <c r="A26" s="6">
        <v>46103</v>
      </c>
      <c r="B26" s="4">
        <v>0</v>
      </c>
      <c r="C26" s="4">
        <v>0</v>
      </c>
      <c r="D26" s="4">
        <v>45</v>
      </c>
      <c r="E26" s="4">
        <v>1</v>
      </c>
      <c r="F26" s="4">
        <v>50</v>
      </c>
      <c r="G26" s="10">
        <f t="shared" si="6"/>
        <v>0</v>
      </c>
      <c r="H26" s="4">
        <v>0</v>
      </c>
      <c r="I26" s="5">
        <f t="shared" si="7"/>
        <v>0</v>
      </c>
      <c r="J26" s="5">
        <f t="shared" si="8"/>
        <v>0</v>
      </c>
      <c r="K26">
        <v>0</v>
      </c>
      <c r="N26" s="51"/>
    </row>
    <row r="27" spans="1:16" s="86" customFormat="1" ht="20" thickBot="1">
      <c r="A27" s="91" t="s">
        <v>352</v>
      </c>
      <c r="B27" s="8">
        <f>SUM(B28:B33)</f>
        <v>40</v>
      </c>
      <c r="C27" s="8">
        <f>SUM(C28:C33)</f>
        <v>175</v>
      </c>
      <c r="D27" s="8">
        <f>SUM(D28)</f>
        <v>45</v>
      </c>
      <c r="E27" s="8">
        <f>SUM(E28:E34)</f>
        <v>5</v>
      </c>
      <c r="F27" s="8">
        <f>SUM(F28:F33)</f>
        <v>200</v>
      </c>
      <c r="G27" s="93">
        <f t="shared" si="6"/>
        <v>42.916666666666664</v>
      </c>
      <c r="H27" s="8">
        <f>SUM(H28:H34)</f>
        <v>295.3</v>
      </c>
      <c r="I27" s="9">
        <f>SUM(I28:I34)</f>
        <v>3241</v>
      </c>
      <c r="J27" s="14">
        <f>SUM(J28:J34)</f>
        <v>2945.7</v>
      </c>
      <c r="K27" s="8">
        <f>SUM(K28:K34)</f>
        <v>155</v>
      </c>
      <c r="L27" s="9">
        <v>0</v>
      </c>
      <c r="M27" s="96">
        <f>J27+L27</f>
        <v>2945.7</v>
      </c>
      <c r="N27" s="99">
        <f>SUM(N28:N34)</f>
        <v>4253</v>
      </c>
      <c r="O27" s="98">
        <f>4253-N27</f>
        <v>0</v>
      </c>
      <c r="P27" s="86" t="s">
        <v>726</v>
      </c>
    </row>
    <row r="28" spans="1:16">
      <c r="A28" s="6">
        <v>46097</v>
      </c>
      <c r="B28" s="4">
        <v>0</v>
      </c>
      <c r="C28" s="4">
        <v>0</v>
      </c>
      <c r="D28" s="4">
        <v>45</v>
      </c>
      <c r="E28" s="4">
        <v>0</v>
      </c>
      <c r="F28" s="4">
        <v>0</v>
      </c>
      <c r="G28" s="10">
        <f t="shared" si="6"/>
        <v>0</v>
      </c>
      <c r="H28" s="4">
        <v>0</v>
      </c>
      <c r="I28" s="5">
        <f t="shared" ref="I28:I34" si="9">G28*D28</f>
        <v>0</v>
      </c>
      <c r="J28" s="5">
        <f t="shared" ref="J28:J34" si="10">I28-H28</f>
        <v>0</v>
      </c>
      <c r="K28">
        <v>0</v>
      </c>
      <c r="N28" s="135">
        <v>0</v>
      </c>
    </row>
    <row r="29" spans="1:16">
      <c r="A29" s="6">
        <v>46098</v>
      </c>
      <c r="B29" s="4">
        <v>0</v>
      </c>
      <c r="C29" s="4">
        <v>0</v>
      </c>
      <c r="D29" s="4">
        <v>45</v>
      </c>
      <c r="E29" s="4">
        <v>0</v>
      </c>
      <c r="F29" s="4">
        <v>0</v>
      </c>
      <c r="G29" s="10">
        <f t="shared" si="6"/>
        <v>0</v>
      </c>
      <c r="H29" s="4">
        <v>0</v>
      </c>
      <c r="I29" s="5">
        <f t="shared" si="9"/>
        <v>0</v>
      </c>
      <c r="J29" s="5">
        <f t="shared" si="10"/>
        <v>0</v>
      </c>
      <c r="K29">
        <v>0</v>
      </c>
      <c r="N29" s="83">
        <v>0</v>
      </c>
    </row>
    <row r="30" spans="1:16">
      <c r="A30" s="80" t="s">
        <v>772</v>
      </c>
      <c r="B30" s="4">
        <v>10</v>
      </c>
      <c r="C30" s="4">
        <v>57</v>
      </c>
      <c r="D30" s="4">
        <v>65</v>
      </c>
      <c r="E30" s="4">
        <v>1</v>
      </c>
      <c r="F30" s="4">
        <v>50</v>
      </c>
      <c r="G30" s="10">
        <f t="shared" si="6"/>
        <v>10.95</v>
      </c>
      <c r="H30" s="4">
        <v>50</v>
      </c>
      <c r="I30" s="5">
        <f t="shared" si="9"/>
        <v>711.75</v>
      </c>
      <c r="J30" s="5">
        <f t="shared" si="10"/>
        <v>661.75</v>
      </c>
      <c r="K30">
        <v>32</v>
      </c>
      <c r="N30" s="137">
        <v>0</v>
      </c>
    </row>
    <row r="31" spans="1:16">
      <c r="A31" s="80" t="s">
        <v>765</v>
      </c>
      <c r="B31" s="4">
        <v>10</v>
      </c>
      <c r="C31" s="4">
        <v>52</v>
      </c>
      <c r="D31" s="4">
        <v>65</v>
      </c>
      <c r="E31" s="4">
        <v>1</v>
      </c>
      <c r="F31" s="4">
        <v>50</v>
      </c>
      <c r="G31" s="10">
        <f t="shared" si="6"/>
        <v>10.866666666666667</v>
      </c>
      <c r="H31" s="4">
        <v>50</v>
      </c>
      <c r="I31" s="5">
        <f t="shared" si="9"/>
        <v>706.33333333333337</v>
      </c>
      <c r="J31" s="5">
        <f t="shared" si="10"/>
        <v>656.33333333333337</v>
      </c>
      <c r="K31">
        <v>33</v>
      </c>
      <c r="N31" s="51">
        <v>635</v>
      </c>
    </row>
    <row r="32" spans="1:16">
      <c r="A32" s="80" t="s">
        <v>766</v>
      </c>
      <c r="B32" s="4">
        <v>10</v>
      </c>
      <c r="C32" s="4">
        <v>41</v>
      </c>
      <c r="D32" s="4">
        <v>55</v>
      </c>
      <c r="E32" s="4">
        <v>1</v>
      </c>
      <c r="F32" s="4">
        <v>50</v>
      </c>
      <c r="G32" s="10">
        <f t="shared" si="6"/>
        <v>10.683333333333334</v>
      </c>
      <c r="H32" s="4">
        <v>50</v>
      </c>
      <c r="I32" s="5">
        <f t="shared" si="9"/>
        <v>587.58333333333337</v>
      </c>
      <c r="J32" s="5">
        <f t="shared" si="10"/>
        <v>537.58333333333337</v>
      </c>
      <c r="K32">
        <v>27</v>
      </c>
      <c r="N32" s="51">
        <v>850</v>
      </c>
    </row>
    <row r="33" spans="1:16">
      <c r="A33" s="80" t="s">
        <v>767</v>
      </c>
      <c r="B33" s="4">
        <v>10</v>
      </c>
      <c r="C33" s="4">
        <v>25</v>
      </c>
      <c r="D33" s="4">
        <v>65</v>
      </c>
      <c r="E33" s="4">
        <v>1</v>
      </c>
      <c r="F33" s="4">
        <v>50</v>
      </c>
      <c r="G33" s="10">
        <f t="shared" si="6"/>
        <v>10.416666666666666</v>
      </c>
      <c r="H33" s="4">
        <v>50</v>
      </c>
      <c r="I33" s="5">
        <f t="shared" si="9"/>
        <v>677.08333333333326</v>
      </c>
      <c r="J33" s="5">
        <f t="shared" si="10"/>
        <v>627.08333333333326</v>
      </c>
      <c r="K33">
        <v>32</v>
      </c>
      <c r="N33" s="51">
        <v>1000</v>
      </c>
    </row>
    <row r="34" spans="1:16" ht="16" thickBot="1">
      <c r="A34" s="80" t="s">
        <v>768</v>
      </c>
      <c r="B34" s="4">
        <v>10</v>
      </c>
      <c r="C34" s="4">
        <v>9</v>
      </c>
      <c r="D34" s="4">
        <v>55</v>
      </c>
      <c r="E34" s="4">
        <v>1</v>
      </c>
      <c r="F34" s="4">
        <v>50</v>
      </c>
      <c r="G34" s="10">
        <f t="shared" si="6"/>
        <v>10.15</v>
      </c>
      <c r="H34" s="4">
        <f>50+45.3</f>
        <v>95.3</v>
      </c>
      <c r="I34" s="5">
        <f t="shared" si="9"/>
        <v>558.25</v>
      </c>
      <c r="J34" s="5">
        <f t="shared" si="10"/>
        <v>462.95</v>
      </c>
      <c r="K34">
        <v>31</v>
      </c>
      <c r="N34" s="51">
        <f>1000+200+568</f>
        <v>1768</v>
      </c>
      <c r="P34" t="s">
        <v>773</v>
      </c>
    </row>
    <row r="35" spans="1:16" s="86" customFormat="1" ht="20" thickBot="1">
      <c r="A35" s="91" t="s">
        <v>57</v>
      </c>
      <c r="B35" s="8">
        <f>SUM(B36:B42)</f>
        <v>59</v>
      </c>
      <c r="C35" s="8">
        <f>SUM(C36:C42)</f>
        <v>181</v>
      </c>
      <c r="D35" s="8">
        <f>SUM(D36)</f>
        <v>65</v>
      </c>
      <c r="E35" s="8">
        <f>SUM(E36:E42)</f>
        <v>7</v>
      </c>
      <c r="F35" s="8">
        <f>SUM(F36:F42)</f>
        <v>350</v>
      </c>
      <c r="G35" s="93">
        <f t="shared" si="6"/>
        <v>62.016666666666666</v>
      </c>
      <c r="H35" s="8">
        <f>SUM(H36:H42)</f>
        <v>366.9</v>
      </c>
      <c r="I35" s="9">
        <f>SUM(I36:I42)</f>
        <v>4031.0833333333326</v>
      </c>
      <c r="J35" s="14">
        <f>SUM(J36:J42)</f>
        <v>3664.1833333333329</v>
      </c>
      <c r="K35" s="8">
        <f>SUM(K36:K42)</f>
        <v>231</v>
      </c>
      <c r="L35" s="9">
        <v>300</v>
      </c>
      <c r="M35" s="96">
        <f>J35+L35</f>
        <v>3964.1833333333329</v>
      </c>
      <c r="N35" s="99">
        <f>SUM(N36:N42)</f>
        <v>6000</v>
      </c>
      <c r="O35" s="98">
        <f>5997-N35</f>
        <v>-3</v>
      </c>
    </row>
    <row r="36" spans="1:16">
      <c r="A36" s="6">
        <v>46097</v>
      </c>
      <c r="B36" s="4">
        <v>10</v>
      </c>
      <c r="C36" s="4">
        <v>44</v>
      </c>
      <c r="D36" s="4">
        <v>65</v>
      </c>
      <c r="E36" s="4">
        <v>1</v>
      </c>
      <c r="F36" s="4">
        <v>50</v>
      </c>
      <c r="G36" s="10">
        <f t="shared" si="6"/>
        <v>10.733333333333333</v>
      </c>
      <c r="H36" s="4">
        <f>50+66.9</f>
        <v>116.9</v>
      </c>
      <c r="I36" s="5">
        <f t="shared" ref="I36:I42" si="11">G36*D36</f>
        <v>697.66666666666663</v>
      </c>
      <c r="J36" s="5">
        <f t="shared" ref="J36:J42" si="12">I36-H36</f>
        <v>580.76666666666665</v>
      </c>
      <c r="K36">
        <v>40</v>
      </c>
      <c r="N36" s="51" t="s">
        <v>774</v>
      </c>
      <c r="P36" t="s">
        <v>775</v>
      </c>
    </row>
    <row r="37" spans="1:16">
      <c r="A37" s="6">
        <v>46098</v>
      </c>
      <c r="B37" s="4">
        <v>9</v>
      </c>
      <c r="C37" s="4">
        <v>33</v>
      </c>
      <c r="D37" s="4">
        <v>65</v>
      </c>
      <c r="E37" s="4">
        <v>1</v>
      </c>
      <c r="F37" s="4">
        <v>50</v>
      </c>
      <c r="G37" s="10">
        <f t="shared" si="6"/>
        <v>9.5500000000000007</v>
      </c>
      <c r="H37" s="4">
        <v>50</v>
      </c>
      <c r="I37" s="5">
        <f t="shared" si="11"/>
        <v>620.75</v>
      </c>
      <c r="J37" s="5">
        <f t="shared" si="12"/>
        <v>570.75</v>
      </c>
      <c r="K37">
        <v>37</v>
      </c>
      <c r="N37" s="51">
        <v>500</v>
      </c>
    </row>
    <row r="38" spans="1:16">
      <c r="A38" s="6">
        <v>46099</v>
      </c>
      <c r="B38" s="4">
        <v>10</v>
      </c>
      <c r="C38" s="4">
        <v>21</v>
      </c>
      <c r="D38" s="4">
        <v>65</v>
      </c>
      <c r="E38" s="4">
        <v>1</v>
      </c>
      <c r="F38" s="4">
        <v>50</v>
      </c>
      <c r="G38" s="10">
        <f t="shared" si="6"/>
        <v>10.35</v>
      </c>
      <c r="H38" s="4">
        <v>50</v>
      </c>
      <c r="I38" s="5">
        <f t="shared" si="11"/>
        <v>672.75</v>
      </c>
      <c r="J38" s="5">
        <f t="shared" si="12"/>
        <v>622.75</v>
      </c>
      <c r="K38">
        <v>37</v>
      </c>
      <c r="N38" s="51">
        <f>480+200</f>
        <v>680</v>
      </c>
      <c r="P38" t="s">
        <v>736</v>
      </c>
    </row>
    <row r="39" spans="1:16">
      <c r="A39" s="6">
        <v>46100</v>
      </c>
      <c r="B39" s="4">
        <v>10</v>
      </c>
      <c r="C39" s="4">
        <v>41</v>
      </c>
      <c r="D39" s="4">
        <v>65</v>
      </c>
      <c r="E39" s="4">
        <v>1</v>
      </c>
      <c r="F39" s="4">
        <v>50</v>
      </c>
      <c r="G39" s="10">
        <f t="shared" si="6"/>
        <v>10.683333333333334</v>
      </c>
      <c r="H39" s="4">
        <v>50</v>
      </c>
      <c r="I39" s="5">
        <f t="shared" si="11"/>
        <v>694.41666666666663</v>
      </c>
      <c r="J39" s="5">
        <f t="shared" si="12"/>
        <v>644.41666666666663</v>
      </c>
      <c r="K39">
        <v>41</v>
      </c>
      <c r="N39" s="135">
        <v>1200</v>
      </c>
    </row>
    <row r="40" spans="1:16">
      <c r="A40" s="6">
        <v>46101</v>
      </c>
      <c r="B40" s="4">
        <v>10</v>
      </c>
      <c r="C40" s="4">
        <v>25</v>
      </c>
      <c r="D40" s="4">
        <v>65</v>
      </c>
      <c r="E40" s="4">
        <v>1</v>
      </c>
      <c r="F40" s="4">
        <v>50</v>
      </c>
      <c r="G40" s="10">
        <f t="shared" si="6"/>
        <v>10.416666666666666</v>
      </c>
      <c r="H40" s="4">
        <v>50</v>
      </c>
      <c r="I40" s="5">
        <f t="shared" si="11"/>
        <v>677.08333333333326</v>
      </c>
      <c r="J40" s="5">
        <f t="shared" si="12"/>
        <v>627.08333333333326</v>
      </c>
      <c r="K40">
        <v>40</v>
      </c>
      <c r="N40" s="51">
        <f>910+250</f>
        <v>1160</v>
      </c>
      <c r="P40" t="s">
        <v>776</v>
      </c>
    </row>
    <row r="41" spans="1:16">
      <c r="A41" s="6">
        <v>46102</v>
      </c>
      <c r="B41" s="4">
        <v>10</v>
      </c>
      <c r="C41" s="4">
        <v>17</v>
      </c>
      <c r="D41" s="4">
        <v>65</v>
      </c>
      <c r="E41" s="4">
        <v>1</v>
      </c>
      <c r="F41" s="4">
        <v>50</v>
      </c>
      <c r="G41" s="10">
        <f t="shared" si="6"/>
        <v>10.283333333333333</v>
      </c>
      <c r="H41" s="4">
        <v>50</v>
      </c>
      <c r="I41" s="5">
        <f t="shared" si="11"/>
        <v>668.41666666666663</v>
      </c>
      <c r="J41" s="5">
        <f t="shared" si="12"/>
        <v>618.41666666666663</v>
      </c>
      <c r="K41">
        <v>36</v>
      </c>
      <c r="N41" s="135">
        <v>1000</v>
      </c>
    </row>
    <row r="42" spans="1:16" ht="16" thickBot="1">
      <c r="A42" s="6">
        <v>46103</v>
      </c>
      <c r="B42" s="4">
        <v>0</v>
      </c>
      <c r="C42" s="4">
        <v>0</v>
      </c>
      <c r="D42" s="4">
        <v>45</v>
      </c>
      <c r="E42" s="4">
        <v>1</v>
      </c>
      <c r="F42" s="4">
        <v>50</v>
      </c>
      <c r="G42" s="10">
        <f t="shared" si="6"/>
        <v>0</v>
      </c>
      <c r="H42" s="4">
        <v>0</v>
      </c>
      <c r="I42" s="5">
        <f t="shared" si="11"/>
        <v>0</v>
      </c>
      <c r="J42" s="5">
        <f t="shared" si="12"/>
        <v>0</v>
      </c>
      <c r="K42">
        <v>0</v>
      </c>
      <c r="N42" s="135">
        <f>900+560</f>
        <v>1460</v>
      </c>
    </row>
    <row r="43" spans="1:16" s="86" customFormat="1" ht="20" thickBot="1">
      <c r="A43" s="91" t="s">
        <v>777</v>
      </c>
      <c r="B43" s="8">
        <f>SUM(B44:B50)</f>
        <v>50</v>
      </c>
      <c r="C43" s="8">
        <f>SUM(C44:C50)</f>
        <v>184</v>
      </c>
      <c r="D43" s="8">
        <f>SUM(D44)</f>
        <v>45</v>
      </c>
      <c r="E43" s="8">
        <f>SUM(E44:E50)</f>
        <v>7</v>
      </c>
      <c r="F43" s="8">
        <f>SUM(F44:F50)</f>
        <v>350</v>
      </c>
      <c r="G43" s="93">
        <f t="shared" si="6"/>
        <v>53.06666666666667</v>
      </c>
      <c r="H43" s="8">
        <f>SUM(H44:H50)</f>
        <v>426.6</v>
      </c>
      <c r="I43" s="9">
        <f>SUM(I44:I50)</f>
        <v>2388</v>
      </c>
      <c r="J43" s="14">
        <f>SUM(J44:J50)</f>
        <v>1961.4</v>
      </c>
      <c r="K43" s="8">
        <f>SUM(K44:K50)</f>
        <v>82</v>
      </c>
      <c r="L43" s="9">
        <v>0</v>
      </c>
      <c r="M43" s="96">
        <f>J43+L43</f>
        <v>1961.4</v>
      </c>
      <c r="N43" s="129">
        <f>SUM(N44:N50)</f>
        <v>2411.5</v>
      </c>
      <c r="O43" s="98">
        <f>2213-N43</f>
        <v>-198.5</v>
      </c>
    </row>
    <row r="44" spans="1:16" ht="19.25" customHeight="1">
      <c r="A44" s="6">
        <v>46097</v>
      </c>
      <c r="B44" s="4">
        <v>0</v>
      </c>
      <c r="C44" s="4">
        <v>0</v>
      </c>
      <c r="D44" s="4">
        <v>45</v>
      </c>
      <c r="E44" s="4">
        <v>1</v>
      </c>
      <c r="F44" s="4">
        <v>50</v>
      </c>
      <c r="G44" s="10">
        <f t="shared" si="6"/>
        <v>0</v>
      </c>
      <c r="H44" s="4">
        <v>0</v>
      </c>
      <c r="I44" s="5">
        <f t="shared" ref="I44:I50" si="13">G44*D44</f>
        <v>0</v>
      </c>
      <c r="J44" s="5">
        <f t="shared" ref="J44:J50" si="14">I44-H44</f>
        <v>0</v>
      </c>
      <c r="K44">
        <v>0</v>
      </c>
      <c r="N44" s="119">
        <v>0</v>
      </c>
      <c r="O44" s="49"/>
    </row>
    <row r="45" spans="1:16" ht="16.25" customHeight="1">
      <c r="A45" s="80" t="s">
        <v>778</v>
      </c>
      <c r="B45" s="4">
        <v>10</v>
      </c>
      <c r="C45" s="4">
        <v>23</v>
      </c>
      <c r="D45" s="4">
        <v>45</v>
      </c>
      <c r="E45" s="4">
        <v>1</v>
      </c>
      <c r="F45" s="4">
        <v>50</v>
      </c>
      <c r="G45" s="10">
        <f t="shared" si="6"/>
        <v>10.383333333333333</v>
      </c>
      <c r="H45" s="4">
        <f>50+77.4</f>
        <v>127.4</v>
      </c>
      <c r="I45" s="5">
        <f t="shared" si="13"/>
        <v>467.25</v>
      </c>
      <c r="J45" s="5">
        <f t="shared" si="14"/>
        <v>339.85</v>
      </c>
      <c r="K45">
        <v>13</v>
      </c>
      <c r="N45" s="136">
        <v>270</v>
      </c>
      <c r="O45" s="49"/>
    </row>
    <row r="46" spans="1:16">
      <c r="A46" s="80" t="s">
        <v>772</v>
      </c>
      <c r="B46" s="4">
        <v>10</v>
      </c>
      <c r="C46" s="4">
        <v>22</v>
      </c>
      <c r="D46" s="4">
        <v>45</v>
      </c>
      <c r="E46" s="4">
        <v>1</v>
      </c>
      <c r="F46" s="4">
        <v>50</v>
      </c>
      <c r="G46" s="10">
        <f t="shared" si="6"/>
        <v>10.366666666666667</v>
      </c>
      <c r="H46" s="4">
        <f>50+49.2</f>
        <v>99.2</v>
      </c>
      <c r="I46" s="5">
        <f t="shared" si="13"/>
        <v>466.5</v>
      </c>
      <c r="J46" s="5">
        <f t="shared" si="14"/>
        <v>367.3</v>
      </c>
      <c r="K46">
        <v>15</v>
      </c>
      <c r="N46" s="119">
        <v>370</v>
      </c>
    </row>
    <row r="47" spans="1:16">
      <c r="A47" s="80" t="s">
        <v>765</v>
      </c>
      <c r="B47" s="4">
        <v>7</v>
      </c>
      <c r="C47" s="4">
        <v>42</v>
      </c>
      <c r="D47" s="4">
        <v>45</v>
      </c>
      <c r="E47" s="4">
        <v>1</v>
      </c>
      <c r="F47" s="4">
        <v>50</v>
      </c>
      <c r="G47" s="10">
        <f t="shared" si="6"/>
        <v>7.7</v>
      </c>
      <c r="H47" s="4">
        <v>50</v>
      </c>
      <c r="I47" s="5">
        <f t="shared" si="13"/>
        <v>346.5</v>
      </c>
      <c r="J47" s="5">
        <f t="shared" si="14"/>
        <v>296.5</v>
      </c>
      <c r="K47">
        <v>13</v>
      </c>
      <c r="N47" s="119">
        <f>127+200</f>
        <v>327</v>
      </c>
      <c r="P47" t="s">
        <v>743</v>
      </c>
    </row>
    <row r="48" spans="1:16">
      <c r="A48" s="80" t="s">
        <v>766</v>
      </c>
      <c r="B48" s="4">
        <v>7</v>
      </c>
      <c r="C48" s="4">
        <v>10</v>
      </c>
      <c r="D48" s="4">
        <v>45</v>
      </c>
      <c r="E48" s="4">
        <v>1</v>
      </c>
      <c r="F48" s="4">
        <v>50</v>
      </c>
      <c r="G48" s="10">
        <f t="shared" si="6"/>
        <v>7.166666666666667</v>
      </c>
      <c r="H48" s="4">
        <v>50</v>
      </c>
      <c r="I48" s="5">
        <f t="shared" si="13"/>
        <v>322.5</v>
      </c>
      <c r="J48" s="5">
        <f t="shared" si="14"/>
        <v>272.5</v>
      </c>
      <c r="K48">
        <v>14</v>
      </c>
      <c r="N48" s="136">
        <v>385</v>
      </c>
      <c r="P48" s="128" t="s">
        <v>779</v>
      </c>
    </row>
    <row r="49" spans="1:17">
      <c r="A49" s="80" t="s">
        <v>767</v>
      </c>
      <c r="B49" s="4">
        <v>7</v>
      </c>
      <c r="C49" s="4">
        <v>48</v>
      </c>
      <c r="D49" s="4">
        <v>45</v>
      </c>
      <c r="E49" s="4">
        <v>1</v>
      </c>
      <c r="F49" s="4">
        <v>50</v>
      </c>
      <c r="G49" s="10">
        <f t="shared" si="6"/>
        <v>7.8</v>
      </c>
      <c r="H49" s="4">
        <v>50</v>
      </c>
      <c r="I49" s="5">
        <f t="shared" si="13"/>
        <v>351</v>
      </c>
      <c r="J49" s="5">
        <f t="shared" si="14"/>
        <v>301</v>
      </c>
      <c r="K49">
        <v>12</v>
      </c>
      <c r="N49" s="119">
        <v>359</v>
      </c>
      <c r="P49" s="51"/>
    </row>
    <row r="50" spans="1:17" ht="16" thickBot="1">
      <c r="A50" s="80" t="s">
        <v>768</v>
      </c>
      <c r="B50" s="4">
        <v>9</v>
      </c>
      <c r="C50" s="4">
        <v>39</v>
      </c>
      <c r="D50" s="4">
        <v>45</v>
      </c>
      <c r="E50" s="4">
        <v>1</v>
      </c>
      <c r="F50" s="4">
        <v>50</v>
      </c>
      <c r="G50" s="10">
        <f t="shared" si="6"/>
        <v>9.65</v>
      </c>
      <c r="H50" s="4">
        <v>50</v>
      </c>
      <c r="I50" s="5">
        <f t="shared" si="13"/>
        <v>434.25</v>
      </c>
      <c r="J50" s="5">
        <f t="shared" si="14"/>
        <v>384.25</v>
      </c>
      <c r="K50">
        <v>15</v>
      </c>
      <c r="L50" s="1"/>
      <c r="N50" s="119">
        <v>700.5</v>
      </c>
    </row>
    <row r="51" spans="1:17" s="86" customFormat="1" ht="20" thickBot="1">
      <c r="A51" s="91" t="s">
        <v>780</v>
      </c>
      <c r="B51" s="8">
        <f>SUM(B52:B58)</f>
        <v>48</v>
      </c>
      <c r="C51" s="8">
        <f>SUM(C52:C58)</f>
        <v>175</v>
      </c>
      <c r="D51" s="8">
        <f>SUM(D52)</f>
        <v>45</v>
      </c>
      <c r="E51" s="8">
        <f>SUM(E52:E58)</f>
        <v>7</v>
      </c>
      <c r="F51" s="8">
        <f>SUM(F52:F58)</f>
        <v>350</v>
      </c>
      <c r="G51" s="93">
        <f t="shared" ref="G51:G74" si="15">B51+C51/60</f>
        <v>50.916666666666664</v>
      </c>
      <c r="H51" s="8">
        <f>SUM(H52:H58)</f>
        <v>723.8</v>
      </c>
      <c r="I51" s="100">
        <f>SUM(I52:I58)</f>
        <v>2291.25</v>
      </c>
      <c r="J51" s="101">
        <f>SUM(J52:J58)</f>
        <v>1567.45</v>
      </c>
      <c r="K51" s="8">
        <f>SUM(K52:K58)</f>
        <v>93</v>
      </c>
      <c r="L51" s="104">
        <v>0</v>
      </c>
      <c r="M51" s="96">
        <f>J51+L51</f>
        <v>1567.45</v>
      </c>
      <c r="N51" s="99">
        <f>SUM(N52:N58)</f>
        <v>3136</v>
      </c>
      <c r="O51" s="98">
        <f>3275-N51</f>
        <v>139</v>
      </c>
      <c r="P51" s="86" t="s">
        <v>726</v>
      </c>
    </row>
    <row r="52" spans="1:17">
      <c r="A52" s="80" t="s">
        <v>781</v>
      </c>
      <c r="B52" s="4">
        <v>5</v>
      </c>
      <c r="C52" s="4">
        <v>19</v>
      </c>
      <c r="D52" s="4">
        <v>45</v>
      </c>
      <c r="E52" s="4">
        <v>1</v>
      </c>
      <c r="F52" s="4">
        <v>50</v>
      </c>
      <c r="G52" s="10">
        <f t="shared" si="15"/>
        <v>5.3166666666666664</v>
      </c>
      <c r="H52" s="4">
        <f>50+36.6</f>
        <v>86.6</v>
      </c>
      <c r="I52" s="5">
        <f t="shared" ref="I52:I58" si="16">G52*D52</f>
        <v>239.25</v>
      </c>
      <c r="J52" s="5">
        <f t="shared" ref="J52:J58" si="17">I52-H52</f>
        <v>152.65</v>
      </c>
      <c r="K52">
        <v>13</v>
      </c>
      <c r="N52" s="87">
        <v>0</v>
      </c>
    </row>
    <row r="53" spans="1:17">
      <c r="A53" s="80" t="s">
        <v>778</v>
      </c>
      <c r="B53" s="4">
        <v>8</v>
      </c>
      <c r="C53" s="4">
        <v>0</v>
      </c>
      <c r="D53" s="4">
        <v>45</v>
      </c>
      <c r="E53" s="4">
        <v>1</v>
      </c>
      <c r="F53" s="4">
        <v>50</v>
      </c>
      <c r="G53" s="10">
        <f t="shared" si="15"/>
        <v>8</v>
      </c>
      <c r="H53" s="4">
        <f>50+137.7</f>
        <v>187.7</v>
      </c>
      <c r="I53" s="5">
        <f t="shared" si="16"/>
        <v>360</v>
      </c>
      <c r="J53" s="5">
        <f t="shared" si="17"/>
        <v>172.3</v>
      </c>
      <c r="K53">
        <v>13</v>
      </c>
      <c r="N53" s="81">
        <v>348</v>
      </c>
    </row>
    <row r="54" spans="1:17">
      <c r="A54" s="80" t="s">
        <v>772</v>
      </c>
      <c r="B54" s="4">
        <v>7</v>
      </c>
      <c r="C54" s="4">
        <v>39</v>
      </c>
      <c r="D54" s="4">
        <v>45</v>
      </c>
      <c r="E54" s="4">
        <v>1</v>
      </c>
      <c r="F54" s="4">
        <v>50</v>
      </c>
      <c r="G54" s="10">
        <f t="shared" si="15"/>
        <v>7.65</v>
      </c>
      <c r="H54" s="4">
        <f>50+96.3</f>
        <v>146.30000000000001</v>
      </c>
      <c r="I54" s="5">
        <f t="shared" si="16"/>
        <v>344.25</v>
      </c>
      <c r="J54" s="5">
        <f t="shared" si="17"/>
        <v>197.95</v>
      </c>
      <c r="K54">
        <v>14</v>
      </c>
      <c r="N54" s="150">
        <v>700</v>
      </c>
    </row>
    <row r="55" spans="1:17">
      <c r="A55" s="80" t="s">
        <v>765</v>
      </c>
      <c r="B55" s="4">
        <v>10</v>
      </c>
      <c r="C55" s="4">
        <v>16</v>
      </c>
      <c r="D55" s="4">
        <v>45</v>
      </c>
      <c r="E55" s="4">
        <v>1</v>
      </c>
      <c r="F55" s="4">
        <v>50</v>
      </c>
      <c r="G55" s="10">
        <f t="shared" si="15"/>
        <v>10.266666666666667</v>
      </c>
      <c r="H55" s="4">
        <v>50</v>
      </c>
      <c r="I55" s="5">
        <f t="shared" si="16"/>
        <v>462.00000000000006</v>
      </c>
      <c r="J55" s="5">
        <f t="shared" si="17"/>
        <v>412.00000000000006</v>
      </c>
      <c r="K55">
        <v>26</v>
      </c>
      <c r="N55" s="118">
        <v>360</v>
      </c>
    </row>
    <row r="56" spans="1:17">
      <c r="A56" s="80" t="s">
        <v>766</v>
      </c>
      <c r="B56" s="4">
        <v>10</v>
      </c>
      <c r="C56" s="4">
        <v>37</v>
      </c>
      <c r="D56" s="4">
        <v>45</v>
      </c>
      <c r="E56" s="4">
        <v>1</v>
      </c>
      <c r="F56" s="4">
        <v>50</v>
      </c>
      <c r="G56" s="10">
        <f t="shared" si="15"/>
        <v>10.616666666666667</v>
      </c>
      <c r="H56" s="4">
        <v>50</v>
      </c>
      <c r="I56" s="5">
        <f t="shared" si="16"/>
        <v>477.75</v>
      </c>
      <c r="J56" s="5">
        <f t="shared" si="17"/>
        <v>427.75</v>
      </c>
      <c r="K56">
        <v>17</v>
      </c>
      <c r="N56" s="118">
        <v>660</v>
      </c>
    </row>
    <row r="57" spans="1:17">
      <c r="A57" s="80" t="s">
        <v>767</v>
      </c>
      <c r="B57" s="4">
        <v>7</v>
      </c>
      <c r="C57" s="4">
        <v>42</v>
      </c>
      <c r="D57" s="4">
        <v>45</v>
      </c>
      <c r="E57" s="4">
        <v>1</v>
      </c>
      <c r="F57" s="4">
        <v>50</v>
      </c>
      <c r="G57" s="10">
        <f t="shared" si="15"/>
        <v>7.7</v>
      </c>
      <c r="H57" s="4">
        <v>50</v>
      </c>
      <c r="I57" s="5">
        <f t="shared" si="16"/>
        <v>346.5</v>
      </c>
      <c r="J57" s="5">
        <f t="shared" si="17"/>
        <v>296.5</v>
      </c>
      <c r="K57">
        <v>9</v>
      </c>
      <c r="N57" s="134">
        <v>806</v>
      </c>
    </row>
    <row r="58" spans="1:17" ht="16" thickBot="1">
      <c r="A58" s="80" t="s">
        <v>768</v>
      </c>
      <c r="B58" s="4">
        <v>1</v>
      </c>
      <c r="C58" s="4">
        <v>22</v>
      </c>
      <c r="D58" s="4">
        <v>45</v>
      </c>
      <c r="E58" s="4">
        <v>1</v>
      </c>
      <c r="F58" s="4">
        <v>50</v>
      </c>
      <c r="G58" s="10">
        <f t="shared" si="15"/>
        <v>1.3666666666666667</v>
      </c>
      <c r="H58" s="4">
        <f>50+103.2</f>
        <v>153.19999999999999</v>
      </c>
      <c r="I58" s="5">
        <f t="shared" si="16"/>
        <v>61.5</v>
      </c>
      <c r="J58" s="5">
        <f t="shared" si="17"/>
        <v>-91.699999999999989</v>
      </c>
      <c r="K58">
        <v>1</v>
      </c>
      <c r="N58" s="118">
        <v>262</v>
      </c>
    </row>
    <row r="59" spans="1:17" s="86" customFormat="1" ht="20" thickBot="1">
      <c r="A59" s="91" t="s">
        <v>782</v>
      </c>
      <c r="B59" s="8">
        <f>SUM(B60:B66)</f>
        <v>39</v>
      </c>
      <c r="C59" s="8">
        <f>SUM(C60:C66)</f>
        <v>123</v>
      </c>
      <c r="D59" s="8">
        <f>SUM(D60)</f>
        <v>45</v>
      </c>
      <c r="E59" s="8">
        <f>SUM(E60:E66)</f>
        <v>4</v>
      </c>
      <c r="F59" s="8">
        <f>SUM(F60:F66)</f>
        <v>200</v>
      </c>
      <c r="G59" s="93">
        <f>B59+C59/60</f>
        <v>41.05</v>
      </c>
      <c r="H59" s="8">
        <f>SUM(H60:H66)</f>
        <v>200</v>
      </c>
      <c r="I59" s="9">
        <f>SUM(I60:I66)</f>
        <v>1952.5833333333335</v>
      </c>
      <c r="J59" s="14">
        <f>SUM(J60:J66)</f>
        <v>1752.5833333333335</v>
      </c>
      <c r="K59" s="8">
        <f>SUM(K60:K66)</f>
        <v>96</v>
      </c>
      <c r="L59" s="9">
        <v>0</v>
      </c>
      <c r="M59" s="96">
        <f>J59</f>
        <v>1752.5833333333335</v>
      </c>
      <c r="N59" s="102">
        <f>SUM(N60:N66)</f>
        <v>2944</v>
      </c>
      <c r="O59" s="151">
        <f>2898-N59</f>
        <v>-46</v>
      </c>
      <c r="P59" s="86" t="s">
        <v>726</v>
      </c>
    </row>
    <row r="60" spans="1:17">
      <c r="A60" s="6">
        <v>46097</v>
      </c>
      <c r="B60" s="4">
        <v>0</v>
      </c>
      <c r="C60" s="4">
        <v>0</v>
      </c>
      <c r="D60" s="4">
        <v>45</v>
      </c>
      <c r="E60" s="4">
        <v>0</v>
      </c>
      <c r="F60" s="4">
        <v>0</v>
      </c>
      <c r="G60" s="10">
        <f>B60+C60/60</f>
        <v>0</v>
      </c>
      <c r="H60" s="4">
        <v>0</v>
      </c>
      <c r="I60" s="5">
        <f t="shared" ref="I60:I66" si="18">G60*D60</f>
        <v>0</v>
      </c>
      <c r="J60" s="5">
        <f>I60-H60</f>
        <v>0</v>
      </c>
      <c r="K60">
        <v>0</v>
      </c>
      <c r="N60" s="119">
        <v>0</v>
      </c>
      <c r="O60" s="51"/>
    </row>
    <row r="61" spans="1:17">
      <c r="A61" s="6">
        <v>46098</v>
      </c>
      <c r="B61" s="4">
        <v>0</v>
      </c>
      <c r="C61" s="4">
        <v>0</v>
      </c>
      <c r="D61" s="4">
        <v>45</v>
      </c>
      <c r="E61" s="4">
        <v>0</v>
      </c>
      <c r="F61" s="4">
        <v>0</v>
      </c>
      <c r="G61" s="10">
        <v>0</v>
      </c>
      <c r="H61" s="4">
        <v>0</v>
      </c>
      <c r="I61" s="5">
        <f t="shared" si="18"/>
        <v>0</v>
      </c>
      <c r="J61" s="5">
        <f>I61-H61</f>
        <v>0</v>
      </c>
      <c r="K61">
        <v>0</v>
      </c>
      <c r="N61" s="119">
        <v>0</v>
      </c>
    </row>
    <row r="62" spans="1:17">
      <c r="A62" s="6">
        <v>46099</v>
      </c>
      <c r="B62" s="4">
        <v>0</v>
      </c>
      <c r="C62" s="4">
        <v>0</v>
      </c>
      <c r="D62" s="4">
        <v>45</v>
      </c>
      <c r="E62" s="4">
        <v>0</v>
      </c>
      <c r="F62" s="4">
        <v>0</v>
      </c>
      <c r="G62" s="10">
        <f>B62+C62/60</f>
        <v>0</v>
      </c>
      <c r="H62" s="4">
        <v>0</v>
      </c>
      <c r="I62" s="5">
        <f t="shared" si="18"/>
        <v>0</v>
      </c>
      <c r="J62" s="5">
        <f t="shared" ref="J62:J66" si="19">I62-H62</f>
        <v>0</v>
      </c>
      <c r="K62">
        <v>0</v>
      </c>
      <c r="N62" s="136">
        <v>0</v>
      </c>
      <c r="Q62" t="s">
        <v>64</v>
      </c>
    </row>
    <row r="63" spans="1:17">
      <c r="A63" s="80" t="s">
        <v>765</v>
      </c>
      <c r="B63" s="4">
        <v>10</v>
      </c>
      <c r="C63" s="4">
        <v>34</v>
      </c>
      <c r="D63" s="4">
        <v>45</v>
      </c>
      <c r="E63" s="4">
        <v>1</v>
      </c>
      <c r="F63" s="4">
        <v>50</v>
      </c>
      <c r="G63" s="10">
        <f>B63+C63/60</f>
        <v>10.566666666666666</v>
      </c>
      <c r="H63" s="4">
        <v>50</v>
      </c>
      <c r="I63" s="5">
        <f t="shared" si="18"/>
        <v>475.5</v>
      </c>
      <c r="J63" s="5">
        <f t="shared" si="19"/>
        <v>425.5</v>
      </c>
      <c r="K63">
        <v>22</v>
      </c>
      <c r="N63" s="119">
        <v>753.5</v>
      </c>
    </row>
    <row r="64" spans="1:17">
      <c r="A64" s="80" t="s">
        <v>766</v>
      </c>
      <c r="B64" s="4">
        <v>10</v>
      </c>
      <c r="C64" s="4">
        <v>28</v>
      </c>
      <c r="D64" s="4">
        <v>45</v>
      </c>
      <c r="E64" s="4">
        <v>1</v>
      </c>
      <c r="F64" s="4">
        <v>50</v>
      </c>
      <c r="G64" s="10">
        <f>B64+C64/60</f>
        <v>10.466666666666667</v>
      </c>
      <c r="H64" s="4">
        <v>50</v>
      </c>
      <c r="I64" s="5">
        <f t="shared" si="18"/>
        <v>471</v>
      </c>
      <c r="J64" s="5">
        <f t="shared" si="19"/>
        <v>421</v>
      </c>
      <c r="K64">
        <v>24</v>
      </c>
      <c r="N64" s="119">
        <v>694.5</v>
      </c>
    </row>
    <row r="65" spans="1:17">
      <c r="A65" s="80" t="s">
        <v>767</v>
      </c>
      <c r="B65" s="4">
        <v>9</v>
      </c>
      <c r="C65" s="4">
        <v>29</v>
      </c>
      <c r="D65" s="4">
        <v>45</v>
      </c>
      <c r="E65" s="4">
        <v>1</v>
      </c>
      <c r="F65" s="4">
        <v>50</v>
      </c>
      <c r="G65" s="10">
        <f>B65+C65/60</f>
        <v>9.4833333333333325</v>
      </c>
      <c r="H65" s="4">
        <v>50</v>
      </c>
      <c r="I65" s="5">
        <f t="shared" si="18"/>
        <v>426.74999999999994</v>
      </c>
      <c r="J65" s="5">
        <f t="shared" si="19"/>
        <v>376.74999999999994</v>
      </c>
      <c r="K65">
        <v>19</v>
      </c>
      <c r="N65" s="136">
        <v>624</v>
      </c>
    </row>
    <row r="66" spans="1:17" ht="16" thickBot="1">
      <c r="A66" s="80" t="s">
        <v>768</v>
      </c>
      <c r="B66" s="4">
        <v>10</v>
      </c>
      <c r="C66" s="4">
        <v>32</v>
      </c>
      <c r="D66" s="4">
        <v>55</v>
      </c>
      <c r="E66" s="4">
        <v>1</v>
      </c>
      <c r="F66" s="4">
        <v>50</v>
      </c>
      <c r="G66" s="10">
        <f>B66+C66/60</f>
        <v>10.533333333333333</v>
      </c>
      <c r="H66" s="4">
        <v>50</v>
      </c>
      <c r="I66" s="5">
        <f t="shared" si="18"/>
        <v>579.33333333333337</v>
      </c>
      <c r="J66" s="5">
        <f t="shared" si="19"/>
        <v>529.33333333333337</v>
      </c>
      <c r="K66">
        <v>31</v>
      </c>
      <c r="N66" s="119">
        <f>722+150</f>
        <v>872</v>
      </c>
      <c r="P66" t="s">
        <v>783</v>
      </c>
    </row>
    <row r="67" spans="1:17" s="86" customFormat="1" ht="20" thickBot="1">
      <c r="A67" s="91" t="s">
        <v>784</v>
      </c>
      <c r="B67" s="8">
        <f>SUM(B68:B74)</f>
        <v>38</v>
      </c>
      <c r="C67" s="8">
        <f>SUM(C68:C74)</f>
        <v>71</v>
      </c>
      <c r="D67" s="8">
        <f>SUM(D68)</f>
        <v>45</v>
      </c>
      <c r="E67" s="8">
        <f>SUM(E68:E74)</f>
        <v>4</v>
      </c>
      <c r="F67" s="8">
        <f>SUM(F68:F74)</f>
        <v>200</v>
      </c>
      <c r="G67" s="93">
        <f t="shared" si="15"/>
        <v>39.18333333333333</v>
      </c>
      <c r="H67" s="8">
        <f>SUM(H68:H74)</f>
        <v>242.3</v>
      </c>
      <c r="I67" s="9">
        <f>SUM(I68:I74)</f>
        <v>1763.25</v>
      </c>
      <c r="J67" s="14">
        <f>SUM(J68:J74)</f>
        <v>1520.95</v>
      </c>
      <c r="K67" s="8">
        <f>SUM(K68:K74)</f>
        <v>73</v>
      </c>
      <c r="L67" s="9">
        <v>0</v>
      </c>
      <c r="M67" s="96">
        <f>J67</f>
        <v>1520.95</v>
      </c>
      <c r="N67" s="102">
        <f>SUM(N68:N74)</f>
        <v>2652.5</v>
      </c>
      <c r="O67" s="98">
        <f>2623-N67</f>
        <v>-29.5</v>
      </c>
      <c r="P67" s="86" t="s">
        <v>726</v>
      </c>
    </row>
    <row r="68" spans="1:17" ht="19">
      <c r="A68" s="6">
        <v>46097</v>
      </c>
      <c r="B68" s="4">
        <v>0</v>
      </c>
      <c r="C68" s="4">
        <v>0</v>
      </c>
      <c r="D68" s="4">
        <v>45</v>
      </c>
      <c r="E68" s="4">
        <v>0</v>
      </c>
      <c r="F68" s="4">
        <v>0</v>
      </c>
      <c r="G68" s="10">
        <f t="shared" si="15"/>
        <v>0</v>
      </c>
      <c r="H68" s="4">
        <v>0</v>
      </c>
      <c r="I68" s="5">
        <f>G68*D68</f>
        <v>0</v>
      </c>
      <c r="J68" s="5">
        <f>I68-H68</f>
        <v>0</v>
      </c>
      <c r="K68">
        <v>0</v>
      </c>
      <c r="N68" s="51">
        <v>0</v>
      </c>
      <c r="O68" s="49"/>
    </row>
    <row r="69" spans="1:17">
      <c r="A69" s="6">
        <v>46098</v>
      </c>
      <c r="B69" s="4">
        <v>0</v>
      </c>
      <c r="C69" s="4">
        <v>0</v>
      </c>
      <c r="D69" s="4">
        <v>45</v>
      </c>
      <c r="E69" s="4">
        <v>0</v>
      </c>
      <c r="F69" s="4">
        <v>0</v>
      </c>
      <c r="G69" s="10">
        <f t="shared" si="15"/>
        <v>0</v>
      </c>
      <c r="H69" s="4">
        <v>0</v>
      </c>
      <c r="I69" s="5">
        <f>G69*D69</f>
        <v>0</v>
      </c>
      <c r="J69" s="5">
        <f>I69-H69</f>
        <v>0</v>
      </c>
      <c r="K69">
        <v>0</v>
      </c>
      <c r="N69" s="51">
        <v>0</v>
      </c>
    </row>
    <row r="70" spans="1:17">
      <c r="A70" s="80" t="s">
        <v>772</v>
      </c>
      <c r="B70" s="4">
        <v>10</v>
      </c>
      <c r="C70" s="4">
        <v>11</v>
      </c>
      <c r="D70" s="4">
        <v>45</v>
      </c>
      <c r="E70" s="4">
        <v>1</v>
      </c>
      <c r="F70" s="4">
        <v>50</v>
      </c>
      <c r="G70" s="10">
        <f t="shared" si="15"/>
        <v>10.183333333333334</v>
      </c>
      <c r="H70" s="4">
        <v>50</v>
      </c>
      <c r="I70" s="5">
        <f>G70*D70</f>
        <v>458.25</v>
      </c>
      <c r="J70" s="5">
        <f>I70-H70</f>
        <v>408.25</v>
      </c>
      <c r="K70">
        <v>15</v>
      </c>
      <c r="N70" s="51">
        <v>0</v>
      </c>
    </row>
    <row r="71" spans="1:17">
      <c r="A71" s="80" t="s">
        <v>765</v>
      </c>
      <c r="B71" s="4">
        <v>11</v>
      </c>
      <c r="C71" s="4">
        <v>29</v>
      </c>
      <c r="D71" s="4">
        <v>45</v>
      </c>
      <c r="E71" s="4">
        <v>1</v>
      </c>
      <c r="F71" s="4">
        <v>50</v>
      </c>
      <c r="G71" s="10">
        <f t="shared" si="15"/>
        <v>11.483333333333333</v>
      </c>
      <c r="H71" s="4">
        <v>50</v>
      </c>
      <c r="I71" s="5">
        <f t="shared" ref="I71:I74" si="20">G71*D71</f>
        <v>516.75</v>
      </c>
      <c r="J71" s="5">
        <f>I71-H71</f>
        <v>466.75</v>
      </c>
      <c r="K71">
        <v>25</v>
      </c>
      <c r="N71" s="51">
        <v>735.5</v>
      </c>
    </row>
    <row r="72" spans="1:17">
      <c r="A72" s="80" t="s">
        <v>766</v>
      </c>
      <c r="B72" s="4">
        <v>9</v>
      </c>
      <c r="C72" s="4">
        <v>0</v>
      </c>
      <c r="D72" s="4">
        <v>45</v>
      </c>
      <c r="E72" s="4">
        <v>1</v>
      </c>
      <c r="F72" s="4">
        <v>50</v>
      </c>
      <c r="G72" s="10">
        <f t="shared" si="15"/>
        <v>9</v>
      </c>
      <c r="H72" s="4">
        <v>50</v>
      </c>
      <c r="I72" s="5">
        <f t="shared" si="20"/>
        <v>405</v>
      </c>
      <c r="J72" s="5">
        <f>I72-H72</f>
        <v>355</v>
      </c>
      <c r="K72">
        <v>17</v>
      </c>
      <c r="N72" s="51">
        <f>626+30</f>
        <v>656</v>
      </c>
    </row>
    <row r="73" spans="1:17">
      <c r="A73" s="80" t="s">
        <v>767</v>
      </c>
      <c r="B73" s="4">
        <v>8</v>
      </c>
      <c r="C73" s="4">
        <v>31</v>
      </c>
      <c r="D73" s="4">
        <v>45</v>
      </c>
      <c r="E73" s="4">
        <v>1</v>
      </c>
      <c r="F73" s="4">
        <v>50</v>
      </c>
      <c r="G73" s="10">
        <f t="shared" si="15"/>
        <v>8.5166666666666675</v>
      </c>
      <c r="H73" s="4">
        <f>50+42.3</f>
        <v>92.3</v>
      </c>
      <c r="I73" s="5">
        <f t="shared" si="20"/>
        <v>383.25000000000006</v>
      </c>
      <c r="J73" s="5">
        <f t="shared" ref="J73:J74" si="21">I73-H73</f>
        <v>290.95000000000005</v>
      </c>
      <c r="K73">
        <v>16</v>
      </c>
      <c r="N73" s="51">
        <v>201</v>
      </c>
    </row>
    <row r="74" spans="1:17" ht="16" thickBot="1">
      <c r="A74" s="80" t="s">
        <v>768</v>
      </c>
      <c r="B74" s="4">
        <v>0</v>
      </c>
      <c r="C74" s="4">
        <v>0</v>
      </c>
      <c r="D74" s="4">
        <v>45</v>
      </c>
      <c r="E74" s="4">
        <v>0</v>
      </c>
      <c r="F74" s="4">
        <v>0</v>
      </c>
      <c r="G74" s="10">
        <f t="shared" si="15"/>
        <v>0</v>
      </c>
      <c r="H74" s="4">
        <v>0</v>
      </c>
      <c r="I74" s="5">
        <f t="shared" si="20"/>
        <v>0</v>
      </c>
      <c r="J74" s="5">
        <f t="shared" si="21"/>
        <v>0</v>
      </c>
      <c r="K74">
        <v>0</v>
      </c>
      <c r="N74" s="135">
        <v>1060</v>
      </c>
    </row>
    <row r="75" spans="1:17" s="86" customFormat="1" ht="20" thickBot="1">
      <c r="A75" s="91" t="s">
        <v>785</v>
      </c>
      <c r="B75" s="8">
        <f>SUM(B76:B82)</f>
        <v>0</v>
      </c>
      <c r="C75" s="8">
        <f>SUM(C76:C82)</f>
        <v>0</v>
      </c>
      <c r="D75" s="8">
        <f>SUM(D76)</f>
        <v>45</v>
      </c>
      <c r="E75" s="8">
        <f>SUM(E76:E82)</f>
        <v>7</v>
      </c>
      <c r="F75" s="8">
        <f>SUM(F76:F82)</f>
        <v>350</v>
      </c>
      <c r="G75" s="93">
        <f t="shared" ref="G75:G90" si="22">B75+C75/60</f>
        <v>0</v>
      </c>
      <c r="H75" s="8">
        <f>SUM(H76:H82)</f>
        <v>0</v>
      </c>
      <c r="I75" s="9">
        <f>SUM(I76:I82)</f>
        <v>0</v>
      </c>
      <c r="J75" s="14">
        <f>SUM(J76:J82)</f>
        <v>0</v>
      </c>
      <c r="K75" s="8">
        <f>SUM(K76:K82)</f>
        <v>0</v>
      </c>
      <c r="L75" s="9">
        <v>0</v>
      </c>
      <c r="M75" s="96">
        <f>J75</f>
        <v>0</v>
      </c>
      <c r="N75" s="102">
        <f>SUM(N76:N82)</f>
        <v>0</v>
      </c>
      <c r="O75" s="98">
        <v>0</v>
      </c>
    </row>
    <row r="76" spans="1:17">
      <c r="A76" s="6">
        <v>46097</v>
      </c>
      <c r="B76" s="4">
        <v>0</v>
      </c>
      <c r="C76" s="4">
        <v>0</v>
      </c>
      <c r="D76" s="4">
        <v>45</v>
      </c>
      <c r="E76" s="4">
        <v>1</v>
      </c>
      <c r="F76" s="4">
        <v>50</v>
      </c>
      <c r="G76" s="10">
        <f t="shared" si="22"/>
        <v>0</v>
      </c>
      <c r="H76" s="4">
        <v>0</v>
      </c>
      <c r="I76" s="5">
        <f t="shared" ref="I76:I82" si="23">G76*D76</f>
        <v>0</v>
      </c>
      <c r="J76" s="5">
        <f t="shared" ref="J76:J81" si="24">I76-H76</f>
        <v>0</v>
      </c>
      <c r="K76">
        <v>0</v>
      </c>
      <c r="N76" s="51">
        <v>0</v>
      </c>
      <c r="O76" s="51"/>
    </row>
    <row r="77" spans="1:17">
      <c r="A77" s="6">
        <v>46098</v>
      </c>
      <c r="B77" s="4">
        <v>0</v>
      </c>
      <c r="C77" s="4">
        <v>0</v>
      </c>
      <c r="D77" s="4">
        <v>65</v>
      </c>
      <c r="E77" s="4">
        <v>1</v>
      </c>
      <c r="F77" s="4">
        <v>50</v>
      </c>
      <c r="G77" s="10">
        <f t="shared" si="22"/>
        <v>0</v>
      </c>
      <c r="H77" s="4">
        <v>0</v>
      </c>
      <c r="I77" s="5">
        <f t="shared" si="23"/>
        <v>0</v>
      </c>
      <c r="J77" s="5">
        <f t="shared" si="24"/>
        <v>0</v>
      </c>
      <c r="K77">
        <v>0</v>
      </c>
      <c r="N77" s="51">
        <v>0</v>
      </c>
    </row>
    <row r="78" spans="1:17">
      <c r="A78" s="6">
        <v>46099</v>
      </c>
      <c r="B78" s="4">
        <v>0</v>
      </c>
      <c r="C78" s="4">
        <v>0</v>
      </c>
      <c r="D78" s="4">
        <v>45</v>
      </c>
      <c r="E78" s="4">
        <v>1</v>
      </c>
      <c r="F78" s="4">
        <v>50</v>
      </c>
      <c r="G78" s="10">
        <f t="shared" si="22"/>
        <v>0</v>
      </c>
      <c r="H78" s="4">
        <v>0</v>
      </c>
      <c r="I78" s="5">
        <f t="shared" si="23"/>
        <v>0</v>
      </c>
      <c r="J78" s="5">
        <f t="shared" si="24"/>
        <v>0</v>
      </c>
      <c r="K78">
        <v>0</v>
      </c>
      <c r="N78" s="51">
        <v>0</v>
      </c>
      <c r="Q78" t="s">
        <v>64</v>
      </c>
    </row>
    <row r="79" spans="1:17">
      <c r="A79" s="6">
        <v>46100</v>
      </c>
      <c r="B79" s="4">
        <v>0</v>
      </c>
      <c r="C79" s="4">
        <v>0</v>
      </c>
      <c r="D79" s="4">
        <v>45</v>
      </c>
      <c r="E79" s="4">
        <v>1</v>
      </c>
      <c r="F79" s="4">
        <v>50</v>
      </c>
      <c r="G79" s="10">
        <f t="shared" si="22"/>
        <v>0</v>
      </c>
      <c r="H79" s="4">
        <v>0</v>
      </c>
      <c r="I79" s="5">
        <f t="shared" si="23"/>
        <v>0</v>
      </c>
      <c r="J79" s="5">
        <f t="shared" si="24"/>
        <v>0</v>
      </c>
      <c r="K79">
        <v>0</v>
      </c>
      <c r="N79" s="135">
        <v>0</v>
      </c>
    </row>
    <row r="80" spans="1:17">
      <c r="A80" s="6">
        <v>46101</v>
      </c>
      <c r="B80" s="4">
        <v>0</v>
      </c>
      <c r="C80" s="4">
        <v>0</v>
      </c>
      <c r="D80" s="4">
        <v>45</v>
      </c>
      <c r="E80" s="4">
        <v>1</v>
      </c>
      <c r="F80" s="4">
        <v>50</v>
      </c>
      <c r="G80" s="10">
        <f t="shared" si="22"/>
        <v>0</v>
      </c>
      <c r="H80" s="4">
        <v>0</v>
      </c>
      <c r="I80" s="5">
        <f t="shared" si="23"/>
        <v>0</v>
      </c>
      <c r="J80" s="5">
        <f t="shared" si="24"/>
        <v>0</v>
      </c>
      <c r="K80">
        <v>0</v>
      </c>
      <c r="N80" s="51">
        <v>0</v>
      </c>
      <c r="Q80" t="s">
        <v>64</v>
      </c>
    </row>
    <row r="81" spans="1:17">
      <c r="A81" s="6">
        <v>46102</v>
      </c>
      <c r="B81" s="4">
        <v>0</v>
      </c>
      <c r="C81" s="4">
        <v>0</v>
      </c>
      <c r="D81" s="4">
        <v>45</v>
      </c>
      <c r="E81" s="4">
        <v>1</v>
      </c>
      <c r="F81" s="4">
        <v>50</v>
      </c>
      <c r="G81" s="10">
        <f t="shared" si="22"/>
        <v>0</v>
      </c>
      <c r="H81" s="4">
        <v>0</v>
      </c>
      <c r="I81" s="5">
        <f t="shared" si="23"/>
        <v>0</v>
      </c>
      <c r="J81" s="5">
        <f t="shared" si="24"/>
        <v>0</v>
      </c>
      <c r="K81">
        <v>0</v>
      </c>
      <c r="N81" s="51">
        <v>0</v>
      </c>
    </row>
    <row r="82" spans="1:17" ht="16" thickBot="1">
      <c r="A82" s="6">
        <v>46103</v>
      </c>
      <c r="B82" s="4">
        <v>0</v>
      </c>
      <c r="C82" s="4">
        <v>0</v>
      </c>
      <c r="D82" s="4">
        <v>45</v>
      </c>
      <c r="E82" s="4">
        <v>1</v>
      </c>
      <c r="F82" s="4">
        <v>50</v>
      </c>
      <c r="G82" s="10">
        <f t="shared" si="22"/>
        <v>0</v>
      </c>
      <c r="H82" s="4">
        <v>0</v>
      </c>
      <c r="I82" s="5">
        <f t="shared" si="23"/>
        <v>0</v>
      </c>
      <c r="J82" s="5">
        <v>0</v>
      </c>
      <c r="K82">
        <v>0</v>
      </c>
      <c r="N82" s="51">
        <v>0</v>
      </c>
    </row>
    <row r="83" spans="1:17" s="86" customFormat="1" ht="20" thickBot="1">
      <c r="A83" s="91" t="s">
        <v>786</v>
      </c>
      <c r="B83" s="8">
        <f>SUM(B84:B90)</f>
        <v>41</v>
      </c>
      <c r="C83" s="8">
        <f>SUM(C84:C90)</f>
        <v>115</v>
      </c>
      <c r="D83" s="8">
        <f>SUM(D84)</f>
        <v>45</v>
      </c>
      <c r="E83" s="8">
        <f>SUM(E84:E90)</f>
        <v>5</v>
      </c>
      <c r="F83" s="8">
        <f>SUM(F84:F90)</f>
        <v>250</v>
      </c>
      <c r="G83" s="93">
        <f t="shared" si="22"/>
        <v>42.916666666666664</v>
      </c>
      <c r="H83" s="8">
        <f>SUM(H84:H90)</f>
        <v>295.60000000000002</v>
      </c>
      <c r="I83" s="9">
        <f>SUM(I84:I90)</f>
        <v>1931.25</v>
      </c>
      <c r="J83" s="14">
        <f>SUM(J84:J90)</f>
        <v>1635.65</v>
      </c>
      <c r="K83" s="8">
        <f>SUM(K84:K90)</f>
        <v>105</v>
      </c>
      <c r="L83" s="9">
        <v>0</v>
      </c>
      <c r="M83" s="96">
        <f>J83</f>
        <v>1635.65</v>
      </c>
      <c r="N83" s="102">
        <f>SUM(N84:N90)</f>
        <v>2250</v>
      </c>
      <c r="O83" s="98">
        <f>3147-N83</f>
        <v>897</v>
      </c>
    </row>
    <row r="84" spans="1:17">
      <c r="A84" s="80" t="s">
        <v>781</v>
      </c>
      <c r="B84" s="4">
        <v>6</v>
      </c>
      <c r="C84" s="4">
        <v>34</v>
      </c>
      <c r="D84" s="4">
        <v>45</v>
      </c>
      <c r="E84" s="4">
        <v>1</v>
      </c>
      <c r="F84" s="4">
        <v>50</v>
      </c>
      <c r="G84" s="10">
        <f t="shared" si="22"/>
        <v>6.5666666666666664</v>
      </c>
      <c r="H84" s="4">
        <f>50</f>
        <v>50</v>
      </c>
      <c r="I84" s="5">
        <f t="shared" ref="I84:I90" si="25">G84*D84</f>
        <v>295.5</v>
      </c>
      <c r="J84" s="5">
        <f>I84-H84</f>
        <v>245.5</v>
      </c>
      <c r="K84">
        <v>17</v>
      </c>
      <c r="N84" s="136">
        <v>700</v>
      </c>
      <c r="O84" s="51"/>
      <c r="P84" t="s">
        <v>787</v>
      </c>
    </row>
    <row r="85" spans="1:17">
      <c r="A85" s="80" t="s">
        <v>778</v>
      </c>
      <c r="B85" s="4">
        <v>9</v>
      </c>
      <c r="C85" s="4">
        <v>16</v>
      </c>
      <c r="D85" s="4">
        <v>45</v>
      </c>
      <c r="E85" s="4">
        <v>1</v>
      </c>
      <c r="F85" s="4">
        <v>50</v>
      </c>
      <c r="G85" s="10">
        <f t="shared" si="22"/>
        <v>9.2666666666666675</v>
      </c>
      <c r="H85" s="4">
        <v>50</v>
      </c>
      <c r="I85" s="5">
        <f t="shared" si="25"/>
        <v>417.00000000000006</v>
      </c>
      <c r="J85" s="5">
        <f>I85-H85</f>
        <v>367.00000000000006</v>
      </c>
      <c r="K85">
        <v>22</v>
      </c>
      <c r="N85" s="119">
        <f>250+100</f>
        <v>350</v>
      </c>
      <c r="P85" t="s">
        <v>283</v>
      </c>
    </row>
    <row r="86" spans="1:17">
      <c r="A86" s="80" t="s">
        <v>772</v>
      </c>
      <c r="B86" s="4">
        <v>0</v>
      </c>
      <c r="C86" s="4">
        <v>0</v>
      </c>
      <c r="D86" s="4">
        <v>45</v>
      </c>
      <c r="E86" s="4">
        <v>0</v>
      </c>
      <c r="F86" s="4">
        <v>0</v>
      </c>
      <c r="G86" s="10">
        <f t="shared" si="22"/>
        <v>0</v>
      </c>
      <c r="H86" s="4">
        <v>0</v>
      </c>
      <c r="I86" s="5">
        <f t="shared" si="25"/>
        <v>0</v>
      </c>
      <c r="J86" s="5">
        <v>0</v>
      </c>
      <c r="K86">
        <v>0</v>
      </c>
      <c r="N86" s="119">
        <v>0</v>
      </c>
      <c r="Q86" t="s">
        <v>64</v>
      </c>
    </row>
    <row r="87" spans="1:17">
      <c r="A87" s="80" t="s">
        <v>765</v>
      </c>
      <c r="B87" s="4">
        <v>0</v>
      </c>
      <c r="C87" s="4">
        <v>0</v>
      </c>
      <c r="D87" s="4">
        <v>45</v>
      </c>
      <c r="E87" s="4">
        <v>0</v>
      </c>
      <c r="F87" s="4">
        <v>0</v>
      </c>
      <c r="G87" s="10">
        <f t="shared" si="22"/>
        <v>0</v>
      </c>
      <c r="H87" s="4">
        <v>0</v>
      </c>
      <c r="I87" s="5">
        <f t="shared" si="25"/>
        <v>0</v>
      </c>
      <c r="J87" s="5">
        <v>0</v>
      </c>
      <c r="K87">
        <v>0</v>
      </c>
      <c r="N87" s="119">
        <v>0</v>
      </c>
    </row>
    <row r="88" spans="1:17">
      <c r="A88" s="80" t="s">
        <v>766</v>
      </c>
      <c r="B88" s="4">
        <v>9</v>
      </c>
      <c r="C88" s="4">
        <v>31</v>
      </c>
      <c r="D88" s="4">
        <v>45</v>
      </c>
      <c r="E88" s="4">
        <v>1</v>
      </c>
      <c r="F88" s="4">
        <v>50</v>
      </c>
      <c r="G88" s="10">
        <f t="shared" si="22"/>
        <v>9.5166666666666675</v>
      </c>
      <c r="H88" s="4">
        <f>50+45.6</f>
        <v>95.6</v>
      </c>
      <c r="I88" s="5">
        <f t="shared" si="25"/>
        <v>428.25000000000006</v>
      </c>
      <c r="J88" s="5">
        <f>I88-H88</f>
        <v>332.65000000000009</v>
      </c>
      <c r="K88">
        <v>25</v>
      </c>
      <c r="N88" s="119">
        <v>266</v>
      </c>
    </row>
    <row r="89" spans="1:17">
      <c r="A89" s="80" t="s">
        <v>767</v>
      </c>
      <c r="B89" s="4">
        <v>9</v>
      </c>
      <c r="C89" s="4">
        <v>11</v>
      </c>
      <c r="D89" s="4">
        <v>45</v>
      </c>
      <c r="E89" s="4">
        <v>1</v>
      </c>
      <c r="F89" s="4">
        <v>50</v>
      </c>
      <c r="G89" s="10">
        <f t="shared" si="22"/>
        <v>9.1833333333333336</v>
      </c>
      <c r="H89" s="4">
        <v>50</v>
      </c>
      <c r="I89" s="5">
        <f t="shared" si="25"/>
        <v>413.25</v>
      </c>
      <c r="J89" s="5">
        <f t="shared" ref="J89:J90" si="26">I89-H89</f>
        <v>363.25</v>
      </c>
      <c r="K89">
        <v>20</v>
      </c>
      <c r="N89" s="119">
        <v>527</v>
      </c>
    </row>
    <row r="90" spans="1:17" ht="16" thickBot="1">
      <c r="A90" s="80" t="s">
        <v>768</v>
      </c>
      <c r="B90" s="4">
        <v>8</v>
      </c>
      <c r="C90" s="4">
        <v>23</v>
      </c>
      <c r="D90" s="4">
        <v>45</v>
      </c>
      <c r="E90" s="4">
        <v>1</v>
      </c>
      <c r="F90" s="4">
        <v>50</v>
      </c>
      <c r="G90" s="10">
        <f t="shared" si="22"/>
        <v>8.3833333333333329</v>
      </c>
      <c r="H90" s="4">
        <v>50</v>
      </c>
      <c r="I90" s="5">
        <f t="shared" si="25"/>
        <v>377.25</v>
      </c>
      <c r="J90" s="5">
        <f t="shared" si="26"/>
        <v>327.25</v>
      </c>
      <c r="K90">
        <v>21</v>
      </c>
      <c r="N90" s="119">
        <f>257+150</f>
        <v>407</v>
      </c>
      <c r="P90" t="s">
        <v>553</v>
      </c>
    </row>
    <row r="91" spans="1:17" s="86" customFormat="1" ht="20" thickBot="1">
      <c r="A91" s="91" t="s">
        <v>788</v>
      </c>
      <c r="B91" s="8">
        <f>SUM(B92:B98)</f>
        <v>55</v>
      </c>
      <c r="C91" s="8">
        <f>SUM(C92:C98)</f>
        <v>117</v>
      </c>
      <c r="D91" s="8">
        <f>SUM(D92)</f>
        <v>45</v>
      </c>
      <c r="E91" s="8">
        <f>SUM(E92:E98)</f>
        <v>7</v>
      </c>
      <c r="F91" s="8">
        <f>SUM(F92:F98)</f>
        <v>350</v>
      </c>
      <c r="G91" s="93">
        <f t="shared" ref="G91:G97" si="27">B91+C91/60</f>
        <v>56.95</v>
      </c>
      <c r="H91" s="8">
        <f>SUM(H92:H98)</f>
        <v>360</v>
      </c>
      <c r="I91" s="9">
        <f>SUM(I92:I98)</f>
        <v>2767.916666666667</v>
      </c>
      <c r="J91" s="14">
        <f>SUM(J92:J98)</f>
        <v>2407.9166666666665</v>
      </c>
      <c r="K91" s="8">
        <f>SUM(K92:K98)</f>
        <v>155</v>
      </c>
      <c r="L91" s="9">
        <v>0</v>
      </c>
      <c r="M91" s="96">
        <f>J91</f>
        <v>2407.9166666666665</v>
      </c>
      <c r="N91" s="102">
        <f>SUM(N92:N98)</f>
        <v>2791</v>
      </c>
      <c r="O91" s="98">
        <f>2791-N91</f>
        <v>0</v>
      </c>
      <c r="P91" s="86" t="s">
        <v>726</v>
      </c>
    </row>
    <row r="92" spans="1:17">
      <c r="A92" s="6">
        <v>46097</v>
      </c>
      <c r="B92" s="4">
        <v>8</v>
      </c>
      <c r="C92" s="4">
        <v>3</v>
      </c>
      <c r="D92" s="4">
        <v>45</v>
      </c>
      <c r="E92" s="4">
        <v>1</v>
      </c>
      <c r="F92" s="4">
        <v>50</v>
      </c>
      <c r="G92" s="10">
        <f t="shared" si="27"/>
        <v>8.0500000000000007</v>
      </c>
      <c r="H92" s="4">
        <v>50</v>
      </c>
      <c r="I92" s="5">
        <f t="shared" ref="I92:I97" si="28">G92*D92</f>
        <v>362.25000000000006</v>
      </c>
      <c r="J92" s="5">
        <f>I92-H92</f>
        <v>312.25000000000006</v>
      </c>
      <c r="K92">
        <v>23</v>
      </c>
      <c r="N92" s="83">
        <f>150+200</f>
        <v>350</v>
      </c>
      <c r="O92" s="51"/>
      <c r="P92" s="152" t="s">
        <v>134</v>
      </c>
    </row>
    <row r="93" spans="1:17">
      <c r="A93" s="6">
        <v>46098</v>
      </c>
      <c r="B93" s="4">
        <v>10</v>
      </c>
      <c r="C93" s="4">
        <v>16</v>
      </c>
      <c r="D93" s="4">
        <v>55</v>
      </c>
      <c r="E93" s="4">
        <v>1</v>
      </c>
      <c r="F93" s="4">
        <v>50</v>
      </c>
      <c r="G93" s="10">
        <f t="shared" si="27"/>
        <v>10.266666666666667</v>
      </c>
      <c r="H93" s="4">
        <v>50</v>
      </c>
      <c r="I93" s="5">
        <f t="shared" si="28"/>
        <v>564.66666666666674</v>
      </c>
      <c r="J93" s="5">
        <f>I93-H93</f>
        <v>514.66666666666674</v>
      </c>
      <c r="K93">
        <v>27</v>
      </c>
      <c r="N93" s="137">
        <v>420</v>
      </c>
    </row>
    <row r="94" spans="1:17">
      <c r="A94" s="6">
        <v>46099</v>
      </c>
      <c r="B94" s="4">
        <v>9</v>
      </c>
      <c r="C94" s="4">
        <v>19</v>
      </c>
      <c r="D94" s="4">
        <v>45</v>
      </c>
      <c r="E94" s="4">
        <v>1</v>
      </c>
      <c r="F94" s="4">
        <v>50</v>
      </c>
      <c r="G94" s="10">
        <f t="shared" si="27"/>
        <v>9.3166666666666664</v>
      </c>
      <c r="H94" s="4">
        <f>50+60</f>
        <v>110</v>
      </c>
      <c r="I94" s="5">
        <f t="shared" si="28"/>
        <v>419.25</v>
      </c>
      <c r="J94" s="5">
        <f t="shared" ref="J94:J98" si="29">I94-H94</f>
        <v>309.25</v>
      </c>
      <c r="K94">
        <v>24</v>
      </c>
      <c r="N94" s="119">
        <v>381</v>
      </c>
      <c r="Q94" t="s">
        <v>64</v>
      </c>
    </row>
    <row r="95" spans="1:17">
      <c r="A95" s="6">
        <v>46100</v>
      </c>
      <c r="B95" s="4">
        <v>9</v>
      </c>
      <c r="C95" s="4">
        <v>52</v>
      </c>
      <c r="D95" s="4">
        <v>45</v>
      </c>
      <c r="E95" s="4">
        <v>1</v>
      </c>
      <c r="F95" s="4">
        <v>50</v>
      </c>
      <c r="G95" s="10">
        <f t="shared" si="27"/>
        <v>9.8666666666666671</v>
      </c>
      <c r="H95" s="4">
        <v>50</v>
      </c>
      <c r="I95" s="5">
        <f t="shared" si="28"/>
        <v>444</v>
      </c>
      <c r="J95" s="5">
        <f t="shared" si="29"/>
        <v>394</v>
      </c>
      <c r="K95">
        <v>25</v>
      </c>
      <c r="N95" s="119">
        <v>250</v>
      </c>
    </row>
    <row r="96" spans="1:17">
      <c r="A96" s="6">
        <v>46101</v>
      </c>
      <c r="B96" s="4">
        <v>10</v>
      </c>
      <c r="C96" s="4">
        <v>15</v>
      </c>
      <c r="D96" s="4">
        <v>55</v>
      </c>
      <c r="E96" s="4">
        <v>1</v>
      </c>
      <c r="F96" s="4">
        <v>50</v>
      </c>
      <c r="G96" s="10">
        <f t="shared" si="27"/>
        <v>10.25</v>
      </c>
      <c r="H96" s="4">
        <v>50</v>
      </c>
      <c r="I96" s="5">
        <f t="shared" si="28"/>
        <v>563.75</v>
      </c>
      <c r="J96" s="5">
        <f t="shared" si="29"/>
        <v>513.75</v>
      </c>
      <c r="K96">
        <v>31</v>
      </c>
      <c r="N96" s="136">
        <v>498</v>
      </c>
    </row>
    <row r="97" spans="1:17">
      <c r="A97" s="6">
        <v>46102</v>
      </c>
      <c r="B97" s="4">
        <v>9</v>
      </c>
      <c r="C97" s="4">
        <v>12</v>
      </c>
      <c r="D97" s="4">
        <v>45</v>
      </c>
      <c r="E97" s="4">
        <v>1</v>
      </c>
      <c r="F97" s="4">
        <v>50</v>
      </c>
      <c r="G97" s="10">
        <f t="shared" si="27"/>
        <v>9.1999999999999993</v>
      </c>
      <c r="H97" s="4">
        <v>50</v>
      </c>
      <c r="I97" s="5">
        <f t="shared" si="28"/>
        <v>413.99999999999994</v>
      </c>
      <c r="J97" s="5">
        <f t="shared" si="29"/>
        <v>363.99999999999994</v>
      </c>
      <c r="K97">
        <v>25</v>
      </c>
      <c r="N97" s="119">
        <v>450</v>
      </c>
    </row>
    <row r="98" spans="1:17" ht="16" thickBot="1">
      <c r="A98" s="6">
        <v>46103</v>
      </c>
      <c r="B98" s="4">
        <v>0</v>
      </c>
      <c r="C98" s="4">
        <v>0</v>
      </c>
      <c r="D98" s="4">
        <v>45</v>
      </c>
      <c r="E98" s="4">
        <v>1</v>
      </c>
      <c r="F98" s="4">
        <v>50</v>
      </c>
      <c r="G98" s="10">
        <v>0</v>
      </c>
      <c r="H98" s="4">
        <v>0</v>
      </c>
      <c r="I98" s="5">
        <v>0</v>
      </c>
      <c r="J98" s="5">
        <f t="shared" si="29"/>
        <v>0</v>
      </c>
      <c r="K98">
        <v>0</v>
      </c>
      <c r="N98" s="119">
        <v>442</v>
      </c>
    </row>
    <row r="99" spans="1:17" ht="20" thickBot="1">
      <c r="A99" s="91" t="s">
        <v>749</v>
      </c>
      <c r="B99" s="8">
        <f>SUM(B100:B106)</f>
        <v>45</v>
      </c>
      <c r="C99" s="8">
        <f>SUM(C100:C106)</f>
        <v>187</v>
      </c>
      <c r="D99" s="8">
        <f>SUM(D100)</f>
        <v>45</v>
      </c>
      <c r="E99" s="8">
        <f>SUM(E100:E106)</f>
        <v>7</v>
      </c>
      <c r="F99" s="8">
        <f>SUM(F100:F106)</f>
        <v>350</v>
      </c>
      <c r="G99" s="93">
        <f t="shared" ref="G99:G130" si="30">B99+C99/60</f>
        <v>48.116666666666667</v>
      </c>
      <c r="H99" s="8">
        <f>SUM(H100:H106)</f>
        <v>250</v>
      </c>
      <c r="I99" s="9">
        <f>SUM(I100:I106)</f>
        <v>2273.25</v>
      </c>
      <c r="J99" s="14">
        <f>SUM(J100:J106)</f>
        <v>2023.25</v>
      </c>
      <c r="K99" s="8">
        <f>SUM(K100:K106)</f>
        <v>113</v>
      </c>
      <c r="L99" s="9">
        <v>0</v>
      </c>
      <c r="M99" s="96">
        <f>J99</f>
        <v>2023.25</v>
      </c>
      <c r="N99" s="102">
        <f>SUM(N100:N106)</f>
        <v>2926.1</v>
      </c>
      <c r="O99" s="98">
        <f>2923-N99</f>
        <v>-3.0999999999999091</v>
      </c>
      <c r="P99" s="86" t="s">
        <v>726</v>
      </c>
      <c r="Q99" s="86"/>
    </row>
    <row r="100" spans="1:17">
      <c r="A100" s="6">
        <v>46097</v>
      </c>
      <c r="B100" s="4">
        <v>0</v>
      </c>
      <c r="C100" s="4">
        <v>0</v>
      </c>
      <c r="D100" s="4">
        <v>45</v>
      </c>
      <c r="E100" s="4">
        <v>1</v>
      </c>
      <c r="F100" s="4">
        <v>50</v>
      </c>
      <c r="G100" s="10">
        <f t="shared" si="30"/>
        <v>0</v>
      </c>
      <c r="H100" s="4">
        <v>0</v>
      </c>
      <c r="I100" s="5">
        <f t="shared" ref="I100:I106" si="31">G100*D100</f>
        <v>0</v>
      </c>
      <c r="J100" s="5">
        <f t="shared" ref="J100:J106" si="32">I100-H100</f>
        <v>0</v>
      </c>
      <c r="K100">
        <v>0</v>
      </c>
      <c r="N100" s="136">
        <v>0</v>
      </c>
      <c r="O100" s="51"/>
      <c r="P100" s="115"/>
    </row>
    <row r="101" spans="1:17">
      <c r="A101" s="6">
        <v>46098</v>
      </c>
      <c r="B101" s="4">
        <v>10</v>
      </c>
      <c r="C101" s="4">
        <v>12</v>
      </c>
      <c r="D101" s="4">
        <v>45</v>
      </c>
      <c r="E101" s="4">
        <v>1</v>
      </c>
      <c r="F101" s="4">
        <v>50</v>
      </c>
      <c r="G101" s="10">
        <f t="shared" si="30"/>
        <v>10.199999999999999</v>
      </c>
      <c r="H101" s="4">
        <v>50</v>
      </c>
      <c r="I101" s="5">
        <f t="shared" si="31"/>
        <v>458.99999999999994</v>
      </c>
      <c r="J101" s="5">
        <f t="shared" si="32"/>
        <v>408.99999999999994</v>
      </c>
      <c r="K101">
        <v>22</v>
      </c>
      <c r="N101" s="119">
        <v>365</v>
      </c>
    </row>
    <row r="102" spans="1:17">
      <c r="A102" s="6">
        <v>46099</v>
      </c>
      <c r="B102" s="4">
        <v>10</v>
      </c>
      <c r="C102" s="4">
        <v>48</v>
      </c>
      <c r="D102" s="4">
        <v>55</v>
      </c>
      <c r="E102" s="4">
        <v>1</v>
      </c>
      <c r="F102" s="4">
        <v>50</v>
      </c>
      <c r="G102" s="10">
        <f t="shared" si="30"/>
        <v>10.8</v>
      </c>
      <c r="H102" s="4">
        <v>50</v>
      </c>
      <c r="I102" s="5">
        <f t="shared" si="31"/>
        <v>594</v>
      </c>
      <c r="J102" s="5">
        <f t="shared" si="32"/>
        <v>544</v>
      </c>
      <c r="K102">
        <v>27</v>
      </c>
      <c r="N102" s="136">
        <v>636</v>
      </c>
      <c r="Q102" t="s">
        <v>64</v>
      </c>
    </row>
    <row r="103" spans="1:17">
      <c r="A103" s="6">
        <v>46100</v>
      </c>
      <c r="B103" s="4">
        <v>9</v>
      </c>
      <c r="C103" s="4">
        <v>29</v>
      </c>
      <c r="D103" s="4">
        <v>45</v>
      </c>
      <c r="E103" s="4">
        <v>1</v>
      </c>
      <c r="F103" s="4">
        <v>50</v>
      </c>
      <c r="G103" s="10">
        <f t="shared" si="30"/>
        <v>9.4833333333333325</v>
      </c>
      <c r="H103" s="4">
        <v>50</v>
      </c>
      <c r="I103" s="5">
        <f t="shared" si="31"/>
        <v>426.74999999999994</v>
      </c>
      <c r="J103" s="5">
        <f t="shared" si="32"/>
        <v>376.74999999999994</v>
      </c>
      <c r="K103">
        <v>23</v>
      </c>
      <c r="N103" s="119">
        <f>190+100+150</f>
        <v>440</v>
      </c>
    </row>
    <row r="104" spans="1:17">
      <c r="A104" s="6">
        <v>46101</v>
      </c>
      <c r="B104" s="4">
        <v>8</v>
      </c>
      <c r="C104" s="4">
        <v>45</v>
      </c>
      <c r="D104" s="4">
        <v>45</v>
      </c>
      <c r="E104" s="4">
        <v>1</v>
      </c>
      <c r="F104" s="4">
        <v>50</v>
      </c>
      <c r="G104" s="10">
        <f t="shared" si="30"/>
        <v>8.75</v>
      </c>
      <c r="H104" s="4">
        <v>50</v>
      </c>
      <c r="I104" s="5">
        <f t="shared" si="31"/>
        <v>393.75</v>
      </c>
      <c r="J104" s="5">
        <f t="shared" si="32"/>
        <v>343.75</v>
      </c>
      <c r="K104">
        <v>18</v>
      </c>
      <c r="N104" s="119">
        <v>295.10000000000002</v>
      </c>
    </row>
    <row r="105" spans="1:17">
      <c r="A105" s="6">
        <v>46102</v>
      </c>
      <c r="B105" s="4">
        <v>8</v>
      </c>
      <c r="C105" s="4">
        <v>53</v>
      </c>
      <c r="D105" s="4">
        <v>45</v>
      </c>
      <c r="E105" s="4">
        <v>1</v>
      </c>
      <c r="F105" s="4">
        <v>50</v>
      </c>
      <c r="G105" s="10">
        <f t="shared" si="30"/>
        <v>8.8833333333333329</v>
      </c>
      <c r="H105" s="4">
        <v>50</v>
      </c>
      <c r="I105" s="5">
        <f t="shared" si="31"/>
        <v>399.75</v>
      </c>
      <c r="J105" s="5">
        <f t="shared" si="32"/>
        <v>349.75</v>
      </c>
      <c r="K105">
        <v>23</v>
      </c>
      <c r="N105" s="119">
        <v>760</v>
      </c>
    </row>
    <row r="106" spans="1:17" ht="16" thickBot="1">
      <c r="A106" s="6">
        <v>46103</v>
      </c>
      <c r="B106" s="4">
        <v>0</v>
      </c>
      <c r="C106" s="4">
        <v>0</v>
      </c>
      <c r="D106" s="4">
        <v>45</v>
      </c>
      <c r="E106" s="4">
        <v>1</v>
      </c>
      <c r="F106" s="4">
        <v>50</v>
      </c>
      <c r="G106" s="10">
        <f t="shared" si="30"/>
        <v>0</v>
      </c>
      <c r="H106" s="4">
        <v>0</v>
      </c>
      <c r="I106" s="5">
        <f t="shared" si="31"/>
        <v>0</v>
      </c>
      <c r="J106" s="5">
        <f t="shared" si="32"/>
        <v>0</v>
      </c>
      <c r="K106">
        <v>0</v>
      </c>
      <c r="N106" s="119">
        <v>430</v>
      </c>
    </row>
    <row r="107" spans="1:17" ht="20" thickBot="1">
      <c r="A107" s="91" t="s">
        <v>789</v>
      </c>
      <c r="B107" s="8">
        <f>SUM(B108:B114)</f>
        <v>28</v>
      </c>
      <c r="C107" s="8">
        <f>SUM(C108:C114)</f>
        <v>19</v>
      </c>
      <c r="D107" s="8">
        <v>45</v>
      </c>
      <c r="E107" s="8">
        <f>SUM(E108:E114)</f>
        <v>3</v>
      </c>
      <c r="F107" s="8">
        <f>SUM(F108:F114)</f>
        <v>350</v>
      </c>
      <c r="G107" s="93">
        <f t="shared" si="30"/>
        <v>28.316666666666666</v>
      </c>
      <c r="H107" s="8">
        <f>SUM(H108:H114)</f>
        <v>150</v>
      </c>
      <c r="I107" s="9">
        <f>SUM(I108:I114)</f>
        <v>1558.25</v>
      </c>
      <c r="J107" s="14">
        <f>SUM(J108:J114)</f>
        <v>1408.25</v>
      </c>
      <c r="K107" s="8">
        <f>SUM(K108:K114)</f>
        <v>89</v>
      </c>
      <c r="L107" s="9">
        <v>0</v>
      </c>
      <c r="M107" s="96">
        <f>J107</f>
        <v>1408.25</v>
      </c>
      <c r="N107" s="102">
        <f>SUM(N108:N114)</f>
        <v>2354</v>
      </c>
      <c r="O107" s="98">
        <f>2368-N107</f>
        <v>14</v>
      </c>
      <c r="P107" s="86" t="s">
        <v>726</v>
      </c>
      <c r="Q107" s="86"/>
    </row>
    <row r="108" spans="1:17">
      <c r="A108" s="6">
        <v>46097</v>
      </c>
      <c r="B108" s="4">
        <v>0</v>
      </c>
      <c r="C108" s="4">
        <v>0</v>
      </c>
      <c r="D108" s="4">
        <v>45</v>
      </c>
      <c r="E108" s="4">
        <v>0</v>
      </c>
      <c r="F108" s="4">
        <v>50</v>
      </c>
      <c r="G108" s="10">
        <f t="shared" si="30"/>
        <v>0</v>
      </c>
      <c r="H108" s="4">
        <v>0</v>
      </c>
      <c r="I108" s="5">
        <f t="shared" ref="I108:I114" si="33">G108*D108</f>
        <v>0</v>
      </c>
      <c r="J108" s="5">
        <f t="shared" ref="J108:J114" si="34">I108-H108</f>
        <v>0</v>
      </c>
      <c r="K108">
        <v>0</v>
      </c>
      <c r="N108" s="119">
        <v>0</v>
      </c>
      <c r="O108" s="51"/>
    </row>
    <row r="109" spans="1:17">
      <c r="A109" s="6">
        <v>46098</v>
      </c>
      <c r="B109" s="4">
        <v>0</v>
      </c>
      <c r="C109" s="4">
        <v>0</v>
      </c>
      <c r="D109" s="4">
        <v>45</v>
      </c>
      <c r="E109" s="4">
        <v>0</v>
      </c>
      <c r="F109" s="4">
        <v>50</v>
      </c>
      <c r="G109" s="10">
        <f t="shared" si="30"/>
        <v>0</v>
      </c>
      <c r="H109" s="4">
        <v>0</v>
      </c>
      <c r="I109" s="5">
        <f t="shared" si="33"/>
        <v>0</v>
      </c>
      <c r="J109" s="5">
        <f t="shared" si="34"/>
        <v>0</v>
      </c>
      <c r="K109">
        <v>0</v>
      </c>
      <c r="N109" s="136">
        <v>0</v>
      </c>
    </row>
    <row r="110" spans="1:17">
      <c r="A110" s="6">
        <v>46099</v>
      </c>
      <c r="B110" s="4">
        <v>0</v>
      </c>
      <c r="C110" s="4">
        <v>0</v>
      </c>
      <c r="D110" s="4">
        <v>45</v>
      </c>
      <c r="E110" s="4">
        <v>0</v>
      </c>
      <c r="F110" s="4">
        <v>50</v>
      </c>
      <c r="G110" s="10">
        <f t="shared" si="30"/>
        <v>0</v>
      </c>
      <c r="H110" s="4">
        <v>0</v>
      </c>
      <c r="I110" s="5">
        <f t="shared" si="33"/>
        <v>0</v>
      </c>
      <c r="J110" s="5">
        <f t="shared" si="34"/>
        <v>0</v>
      </c>
      <c r="K110">
        <v>0</v>
      </c>
      <c r="N110" s="119">
        <v>0</v>
      </c>
      <c r="Q110" t="s">
        <v>64</v>
      </c>
    </row>
    <row r="111" spans="1:17">
      <c r="A111" s="80" t="s">
        <v>765</v>
      </c>
      <c r="B111" s="4">
        <v>10</v>
      </c>
      <c r="C111" s="4">
        <v>8</v>
      </c>
      <c r="D111" s="4">
        <v>55</v>
      </c>
      <c r="E111" s="4">
        <v>1</v>
      </c>
      <c r="F111" s="4">
        <v>50</v>
      </c>
      <c r="G111" s="10">
        <f t="shared" si="30"/>
        <v>10.133333333333333</v>
      </c>
      <c r="H111" s="4">
        <v>50</v>
      </c>
      <c r="I111" s="5">
        <f t="shared" si="33"/>
        <v>557.33333333333326</v>
      </c>
      <c r="J111" s="5">
        <f t="shared" si="34"/>
        <v>507.33333333333326</v>
      </c>
      <c r="K111">
        <v>30</v>
      </c>
      <c r="N111" s="136">
        <v>0</v>
      </c>
    </row>
    <row r="112" spans="1:17">
      <c r="A112" s="80" t="s">
        <v>766</v>
      </c>
      <c r="B112" s="4">
        <v>9</v>
      </c>
      <c r="C112" s="4">
        <v>8</v>
      </c>
      <c r="D112" s="4">
        <v>65</v>
      </c>
      <c r="E112" s="4">
        <v>1</v>
      </c>
      <c r="F112" s="4">
        <v>50</v>
      </c>
      <c r="G112" s="10">
        <f t="shared" si="30"/>
        <v>9.1333333333333329</v>
      </c>
      <c r="H112" s="4">
        <v>50</v>
      </c>
      <c r="I112" s="5">
        <f t="shared" si="33"/>
        <v>593.66666666666663</v>
      </c>
      <c r="J112" s="5">
        <f t="shared" si="34"/>
        <v>543.66666666666663</v>
      </c>
      <c r="K112">
        <v>34</v>
      </c>
      <c r="N112" s="119">
        <v>604</v>
      </c>
    </row>
    <row r="113" spans="1:17">
      <c r="A113" s="80" t="s">
        <v>790</v>
      </c>
      <c r="B113" s="4">
        <v>9</v>
      </c>
      <c r="C113" s="4">
        <v>3</v>
      </c>
      <c r="D113" s="4">
        <v>45</v>
      </c>
      <c r="E113" s="4">
        <v>1</v>
      </c>
      <c r="F113" s="4">
        <v>50</v>
      </c>
      <c r="G113" s="10">
        <f t="shared" si="30"/>
        <v>9.0500000000000007</v>
      </c>
      <c r="H113" s="4">
        <v>50</v>
      </c>
      <c r="I113" s="5">
        <f t="shared" si="33"/>
        <v>407.25000000000006</v>
      </c>
      <c r="J113" s="5">
        <f t="shared" si="34"/>
        <v>357.25000000000006</v>
      </c>
      <c r="K113">
        <v>25</v>
      </c>
      <c r="N113" s="136">
        <v>670</v>
      </c>
    </row>
    <row r="114" spans="1:17" ht="16" thickBot="1">
      <c r="A114" s="80" t="s">
        <v>768</v>
      </c>
      <c r="B114" s="4">
        <v>0</v>
      </c>
      <c r="C114" s="4">
        <v>0</v>
      </c>
      <c r="D114" s="4">
        <v>45</v>
      </c>
      <c r="E114" s="4">
        <v>0</v>
      </c>
      <c r="F114" s="4">
        <v>50</v>
      </c>
      <c r="G114" s="10">
        <f t="shared" si="30"/>
        <v>0</v>
      </c>
      <c r="H114" s="4">
        <v>0</v>
      </c>
      <c r="I114" s="5">
        <f t="shared" si="33"/>
        <v>0</v>
      </c>
      <c r="J114" s="5">
        <f t="shared" si="34"/>
        <v>0</v>
      </c>
      <c r="K114">
        <v>0</v>
      </c>
      <c r="N114" s="119">
        <v>1080</v>
      </c>
    </row>
    <row r="115" spans="1:17" s="86" customFormat="1" ht="20" thickBot="1">
      <c r="A115" s="91" t="s">
        <v>398</v>
      </c>
      <c r="B115" s="8">
        <f>SUM(B116:B122)</f>
        <v>45</v>
      </c>
      <c r="C115" s="8">
        <f>SUM(C116:C122)</f>
        <v>174</v>
      </c>
      <c r="D115" s="8">
        <v>45</v>
      </c>
      <c r="E115" s="8">
        <f>SUM(E116:E122)</f>
        <v>5</v>
      </c>
      <c r="F115" s="8">
        <f>SUM(F116:F122)</f>
        <v>350</v>
      </c>
      <c r="G115" s="93">
        <f t="shared" si="30"/>
        <v>47.9</v>
      </c>
      <c r="H115" s="8">
        <f>SUM(H116:H122)</f>
        <v>250</v>
      </c>
      <c r="I115" s="14">
        <f>SUM(I116:I122)</f>
        <v>2155.5</v>
      </c>
      <c r="J115" s="14">
        <f>SUM(J116:J122)</f>
        <v>1905.5</v>
      </c>
      <c r="K115" s="8">
        <f>SUM(K116:K122)</f>
        <v>118</v>
      </c>
      <c r="L115" s="9">
        <v>0</v>
      </c>
      <c r="M115" s="96">
        <f>J115</f>
        <v>1905.5</v>
      </c>
      <c r="N115" s="102">
        <f>SUM(N116:N122)</f>
        <v>2562.1999999999998</v>
      </c>
      <c r="O115" s="98">
        <f>2568-N115</f>
        <v>5.8000000000001819</v>
      </c>
      <c r="P115" s="86" t="s">
        <v>726</v>
      </c>
    </row>
    <row r="116" spans="1:17">
      <c r="A116" s="6">
        <v>46097</v>
      </c>
      <c r="B116" s="4">
        <v>0</v>
      </c>
      <c r="C116" s="4">
        <v>0</v>
      </c>
      <c r="D116" s="4">
        <v>45</v>
      </c>
      <c r="E116" s="4">
        <v>0</v>
      </c>
      <c r="F116" s="4">
        <v>50</v>
      </c>
      <c r="G116" s="10">
        <f t="shared" si="30"/>
        <v>0</v>
      </c>
      <c r="H116" s="4">
        <v>0</v>
      </c>
      <c r="I116" s="5">
        <f t="shared" ref="I116:I122" si="35">G116*D116</f>
        <v>0</v>
      </c>
      <c r="J116" s="5">
        <f t="shared" ref="J116:J122" si="36">I116-H116</f>
        <v>0</v>
      </c>
      <c r="K116">
        <v>0</v>
      </c>
      <c r="N116" s="119">
        <v>0</v>
      </c>
      <c r="O116" s="51"/>
    </row>
    <row r="117" spans="1:17">
      <c r="A117" s="6">
        <v>46098</v>
      </c>
      <c r="B117" s="4">
        <v>8</v>
      </c>
      <c r="C117" s="4">
        <v>53</v>
      </c>
      <c r="D117" s="4">
        <v>45</v>
      </c>
      <c r="E117" s="4">
        <v>1</v>
      </c>
      <c r="F117" s="4">
        <v>50</v>
      </c>
      <c r="G117" s="10">
        <f t="shared" si="30"/>
        <v>8.8833333333333329</v>
      </c>
      <c r="H117" s="4">
        <v>50</v>
      </c>
      <c r="I117" s="5">
        <f t="shared" si="35"/>
        <v>399.75</v>
      </c>
      <c r="J117" s="5">
        <f t="shared" si="36"/>
        <v>349.75</v>
      </c>
      <c r="K117">
        <v>22</v>
      </c>
      <c r="N117" s="119">
        <f>212+160.2+100</f>
        <v>472.2</v>
      </c>
      <c r="P117" t="s">
        <v>791</v>
      </c>
    </row>
    <row r="118" spans="1:17">
      <c r="A118" s="6">
        <v>46099</v>
      </c>
      <c r="B118" s="4">
        <v>9</v>
      </c>
      <c r="C118" s="4">
        <v>48</v>
      </c>
      <c r="D118" s="4">
        <v>45</v>
      </c>
      <c r="E118" s="4">
        <v>1</v>
      </c>
      <c r="F118" s="4">
        <v>50</v>
      </c>
      <c r="G118" s="10">
        <f t="shared" si="30"/>
        <v>9.8000000000000007</v>
      </c>
      <c r="H118" s="4">
        <v>50</v>
      </c>
      <c r="I118" s="5">
        <f t="shared" si="35"/>
        <v>441.00000000000006</v>
      </c>
      <c r="J118" s="5">
        <f t="shared" si="36"/>
        <v>391.00000000000006</v>
      </c>
      <c r="K118">
        <v>22</v>
      </c>
      <c r="N118" s="119">
        <v>507</v>
      </c>
      <c r="Q118" t="s">
        <v>64</v>
      </c>
    </row>
    <row r="119" spans="1:17">
      <c r="A119" s="6">
        <v>46100</v>
      </c>
      <c r="B119" s="4">
        <v>9</v>
      </c>
      <c r="C119" s="4">
        <v>54</v>
      </c>
      <c r="D119" s="4">
        <v>45</v>
      </c>
      <c r="E119" s="4">
        <v>1</v>
      </c>
      <c r="F119" s="4">
        <v>50</v>
      </c>
      <c r="G119" s="10">
        <f t="shared" si="30"/>
        <v>9.9</v>
      </c>
      <c r="H119" s="4">
        <v>50</v>
      </c>
      <c r="I119" s="5">
        <f t="shared" si="35"/>
        <v>445.5</v>
      </c>
      <c r="J119" s="5">
        <f t="shared" si="36"/>
        <v>395.5</v>
      </c>
      <c r="K119">
        <v>26</v>
      </c>
      <c r="N119" s="119">
        <f>106+200+100+80</f>
        <v>486</v>
      </c>
      <c r="P119" t="s">
        <v>792</v>
      </c>
    </row>
    <row r="120" spans="1:17">
      <c r="A120" s="6">
        <v>46101</v>
      </c>
      <c r="B120" s="4">
        <v>10</v>
      </c>
      <c r="C120" s="4">
        <v>12</v>
      </c>
      <c r="D120" s="4">
        <v>45</v>
      </c>
      <c r="E120" s="4">
        <v>1</v>
      </c>
      <c r="F120" s="4">
        <v>50</v>
      </c>
      <c r="G120" s="10">
        <f t="shared" si="30"/>
        <v>10.199999999999999</v>
      </c>
      <c r="H120" s="4">
        <v>50</v>
      </c>
      <c r="I120" s="5">
        <f t="shared" si="35"/>
        <v>458.99999999999994</v>
      </c>
      <c r="J120" s="5">
        <f t="shared" si="36"/>
        <v>408.99999999999994</v>
      </c>
      <c r="K120">
        <v>24</v>
      </c>
      <c r="N120" s="136">
        <f>377+150</f>
        <v>527</v>
      </c>
      <c r="P120" t="s">
        <v>46</v>
      </c>
    </row>
    <row r="121" spans="1:17">
      <c r="A121" s="6">
        <v>46102</v>
      </c>
      <c r="B121" s="4">
        <v>9</v>
      </c>
      <c r="C121" s="4">
        <v>7</v>
      </c>
      <c r="D121" s="4">
        <v>45</v>
      </c>
      <c r="E121" s="4">
        <v>1</v>
      </c>
      <c r="F121" s="4">
        <v>50</v>
      </c>
      <c r="G121" s="10">
        <f t="shared" si="30"/>
        <v>9.1166666666666671</v>
      </c>
      <c r="H121" s="4">
        <v>50</v>
      </c>
      <c r="I121" s="5">
        <f t="shared" si="35"/>
        <v>410.25</v>
      </c>
      <c r="J121" s="5">
        <f t="shared" si="36"/>
        <v>360.25</v>
      </c>
      <c r="K121">
        <v>24</v>
      </c>
      <c r="N121" s="119">
        <f>470+100</f>
        <v>570</v>
      </c>
      <c r="P121" t="s">
        <v>283</v>
      </c>
    </row>
    <row r="122" spans="1:17" ht="16" thickBot="1">
      <c r="A122" s="6">
        <v>46103</v>
      </c>
      <c r="B122" s="4">
        <v>0</v>
      </c>
      <c r="C122" s="4">
        <v>0</v>
      </c>
      <c r="D122" s="4">
        <v>45</v>
      </c>
      <c r="E122" s="4">
        <v>0</v>
      </c>
      <c r="F122" s="4">
        <v>50</v>
      </c>
      <c r="G122" s="10">
        <f t="shared" si="30"/>
        <v>0</v>
      </c>
      <c r="H122" s="4">
        <v>0</v>
      </c>
      <c r="I122" s="5">
        <f t="shared" si="35"/>
        <v>0</v>
      </c>
      <c r="J122" s="5">
        <f t="shared" si="36"/>
        <v>0</v>
      </c>
      <c r="K122">
        <v>0</v>
      </c>
      <c r="N122" s="119">
        <v>0</v>
      </c>
    </row>
    <row r="123" spans="1:17" s="86" customFormat="1" ht="20" thickBot="1">
      <c r="A123" s="91" t="s">
        <v>303</v>
      </c>
      <c r="B123" s="8">
        <f>SUM(B124:B130)</f>
        <v>62</v>
      </c>
      <c r="C123" s="8">
        <f>SUM(C124:C130)</f>
        <v>182</v>
      </c>
      <c r="D123" s="8">
        <f>SUM(D124)</f>
        <v>55</v>
      </c>
      <c r="E123" s="8">
        <f>SUM(E124:E130)</f>
        <v>7</v>
      </c>
      <c r="F123" s="8">
        <f>SUM(F124:F129)</f>
        <v>300</v>
      </c>
      <c r="G123" s="93">
        <f t="shared" si="30"/>
        <v>65.033333333333331</v>
      </c>
      <c r="H123" s="8">
        <f>SUM(H124:H130)</f>
        <v>532.1</v>
      </c>
      <c r="I123" s="9">
        <f>SUM(I124:I130)</f>
        <v>3131</v>
      </c>
      <c r="J123" s="14">
        <f>SUM(J124:J130)</f>
        <v>2598.9</v>
      </c>
      <c r="K123" s="8">
        <f>SUM(K124:K130)</f>
        <v>157</v>
      </c>
      <c r="L123" s="9">
        <v>0</v>
      </c>
      <c r="M123" s="96">
        <f>J123</f>
        <v>2598.9</v>
      </c>
      <c r="N123" s="102">
        <f>SUM(N124:N130)</f>
        <v>3959</v>
      </c>
      <c r="O123" s="98">
        <f>4049-N123</f>
        <v>90</v>
      </c>
      <c r="P123" s="86" t="s">
        <v>726</v>
      </c>
    </row>
    <row r="124" spans="1:17">
      <c r="A124" s="6">
        <v>46097</v>
      </c>
      <c r="B124" s="4">
        <v>9</v>
      </c>
      <c r="C124" s="4">
        <v>2</v>
      </c>
      <c r="D124" s="4">
        <v>55</v>
      </c>
      <c r="E124" s="4">
        <v>1</v>
      </c>
      <c r="F124" s="4">
        <v>50</v>
      </c>
      <c r="G124" s="10">
        <f t="shared" si="30"/>
        <v>9.0333333333333332</v>
      </c>
      <c r="H124" s="4">
        <v>50</v>
      </c>
      <c r="I124" s="5">
        <f t="shared" ref="I124:I130" si="37">G124*D124</f>
        <v>496.83333333333331</v>
      </c>
      <c r="J124" s="5">
        <f t="shared" ref="J124:J130" si="38">I124-H124</f>
        <v>446.83333333333331</v>
      </c>
      <c r="K124">
        <v>27</v>
      </c>
      <c r="N124" s="119">
        <v>607</v>
      </c>
      <c r="O124" s="51"/>
    </row>
    <row r="125" spans="1:17">
      <c r="A125" s="6">
        <v>46098</v>
      </c>
      <c r="B125" s="4">
        <v>7</v>
      </c>
      <c r="C125" s="4">
        <v>40</v>
      </c>
      <c r="D125" s="4">
        <v>45</v>
      </c>
      <c r="E125" s="4">
        <v>1</v>
      </c>
      <c r="F125" s="4">
        <v>50</v>
      </c>
      <c r="G125" s="10">
        <f t="shared" si="30"/>
        <v>7.666666666666667</v>
      </c>
      <c r="H125" s="4">
        <v>50</v>
      </c>
      <c r="I125" s="5">
        <f t="shared" si="37"/>
        <v>345</v>
      </c>
      <c r="J125" s="5">
        <f t="shared" si="38"/>
        <v>295</v>
      </c>
      <c r="K125">
        <v>19</v>
      </c>
      <c r="N125" s="119">
        <v>450</v>
      </c>
    </row>
    <row r="126" spans="1:17">
      <c r="A126" s="6">
        <v>46099</v>
      </c>
      <c r="B126" s="4">
        <v>8</v>
      </c>
      <c r="C126" s="4">
        <v>19</v>
      </c>
      <c r="D126" s="4">
        <v>45</v>
      </c>
      <c r="E126" s="4">
        <v>1</v>
      </c>
      <c r="F126" s="4">
        <v>50</v>
      </c>
      <c r="G126" s="10">
        <f t="shared" si="30"/>
        <v>8.3166666666666664</v>
      </c>
      <c r="H126" s="4">
        <v>50</v>
      </c>
      <c r="I126" s="5">
        <f t="shared" si="37"/>
        <v>374.25</v>
      </c>
      <c r="J126" s="5">
        <f t="shared" si="38"/>
        <v>324.25</v>
      </c>
      <c r="K126">
        <v>22</v>
      </c>
      <c r="N126" s="137">
        <v>610</v>
      </c>
      <c r="Q126" t="s">
        <v>64</v>
      </c>
    </row>
    <row r="127" spans="1:17">
      <c r="A127" s="6">
        <v>46100</v>
      </c>
      <c r="B127" s="4">
        <v>8</v>
      </c>
      <c r="C127" s="4">
        <v>40</v>
      </c>
      <c r="D127" s="4">
        <v>45</v>
      </c>
      <c r="E127" s="4">
        <v>1</v>
      </c>
      <c r="F127" s="4">
        <v>50</v>
      </c>
      <c r="G127" s="10">
        <f t="shared" si="30"/>
        <v>8.6666666666666661</v>
      </c>
      <c r="H127" s="4">
        <f>50+48.9</f>
        <v>98.9</v>
      </c>
      <c r="I127" s="5">
        <f t="shared" si="37"/>
        <v>390</v>
      </c>
      <c r="J127" s="5">
        <f t="shared" si="38"/>
        <v>291.10000000000002</v>
      </c>
      <c r="K127">
        <v>19</v>
      </c>
      <c r="N127" s="119">
        <v>300</v>
      </c>
    </row>
    <row r="128" spans="1:17">
      <c r="A128" s="6">
        <v>46101</v>
      </c>
      <c r="B128" s="4">
        <v>11</v>
      </c>
      <c r="C128" s="4">
        <v>25</v>
      </c>
      <c r="D128" s="4">
        <v>55</v>
      </c>
      <c r="E128" s="4">
        <v>1</v>
      </c>
      <c r="F128" s="4">
        <v>50</v>
      </c>
      <c r="G128" s="10">
        <f t="shared" si="30"/>
        <v>11.416666666666666</v>
      </c>
      <c r="H128" s="4">
        <f>50+42</f>
        <v>92</v>
      </c>
      <c r="I128" s="5">
        <f t="shared" si="37"/>
        <v>627.91666666666663</v>
      </c>
      <c r="J128" s="5">
        <f t="shared" si="38"/>
        <v>535.91666666666663</v>
      </c>
      <c r="K128">
        <v>27</v>
      </c>
      <c r="N128" s="119">
        <v>922</v>
      </c>
    </row>
    <row r="129" spans="1:17">
      <c r="A129" s="6">
        <v>46102</v>
      </c>
      <c r="B129" s="4">
        <v>9</v>
      </c>
      <c r="C129" s="4">
        <v>49</v>
      </c>
      <c r="D129" s="4">
        <v>45</v>
      </c>
      <c r="E129" s="4">
        <v>1</v>
      </c>
      <c r="F129" s="4">
        <v>50</v>
      </c>
      <c r="G129" s="10">
        <f t="shared" si="30"/>
        <v>9.8166666666666664</v>
      </c>
      <c r="H129" s="4">
        <f>50+46.5</f>
        <v>96.5</v>
      </c>
      <c r="I129" s="5">
        <f t="shared" si="37"/>
        <v>441.75</v>
      </c>
      <c r="J129" s="5">
        <f t="shared" si="38"/>
        <v>345.25</v>
      </c>
      <c r="K129">
        <v>20</v>
      </c>
      <c r="N129" s="136">
        <v>410</v>
      </c>
    </row>
    <row r="130" spans="1:17" ht="16" thickBot="1">
      <c r="A130" s="6">
        <v>46103</v>
      </c>
      <c r="B130" s="4">
        <v>10</v>
      </c>
      <c r="C130" s="4">
        <v>7</v>
      </c>
      <c r="D130" s="4">
        <v>45</v>
      </c>
      <c r="E130" s="4">
        <v>1</v>
      </c>
      <c r="F130" s="4">
        <v>50</v>
      </c>
      <c r="G130" s="10">
        <f t="shared" si="30"/>
        <v>10.116666666666667</v>
      </c>
      <c r="H130" s="4">
        <f>50+44.7</f>
        <v>94.7</v>
      </c>
      <c r="I130" s="5">
        <f t="shared" si="37"/>
        <v>455.25</v>
      </c>
      <c r="J130" s="5">
        <f t="shared" si="38"/>
        <v>360.55</v>
      </c>
      <c r="K130">
        <v>23</v>
      </c>
      <c r="N130" s="119">
        <f>360+300</f>
        <v>660</v>
      </c>
    </row>
    <row r="131" spans="1:17" s="86" customFormat="1" ht="20" thickBot="1">
      <c r="A131" s="91" t="s">
        <v>793</v>
      </c>
      <c r="B131" s="8">
        <f>SUM(B132:B138)</f>
        <v>30</v>
      </c>
      <c r="C131" s="8">
        <f>SUM(C132:C138)</f>
        <v>105</v>
      </c>
      <c r="D131" s="8">
        <f>SUM(D132)</f>
        <v>45</v>
      </c>
      <c r="E131" s="8">
        <f>SUM(E132:E138)</f>
        <v>7</v>
      </c>
      <c r="F131" s="8">
        <f>SUM(F132:F138)</f>
        <v>350</v>
      </c>
      <c r="G131" s="93">
        <f t="shared" ref="G131:G162" si="39">B131+C131/60</f>
        <v>31.75</v>
      </c>
      <c r="H131" s="8">
        <f>SUM(H132:H138)</f>
        <v>346</v>
      </c>
      <c r="I131" s="9">
        <f>SUM(I132:I138)</f>
        <v>1514.75</v>
      </c>
      <c r="J131" s="14">
        <f>SUM(J132:J138)</f>
        <v>1168.75</v>
      </c>
      <c r="K131" s="8">
        <f>SUM(K132:K138)</f>
        <v>91</v>
      </c>
      <c r="L131" s="9">
        <v>0</v>
      </c>
      <c r="M131" s="96">
        <f>J131</f>
        <v>1168.75</v>
      </c>
      <c r="N131" s="102">
        <f>SUM(N132:N138)</f>
        <v>2513</v>
      </c>
      <c r="O131" s="98">
        <f>2507-N131</f>
        <v>-6</v>
      </c>
      <c r="P131" s="86" t="s">
        <v>726</v>
      </c>
    </row>
    <row r="132" spans="1:17">
      <c r="A132" s="80" t="s">
        <v>781</v>
      </c>
      <c r="B132" s="4">
        <v>7</v>
      </c>
      <c r="C132" s="4">
        <v>8</v>
      </c>
      <c r="D132" s="4">
        <v>45</v>
      </c>
      <c r="E132" s="4">
        <v>1</v>
      </c>
      <c r="F132" s="4">
        <v>50</v>
      </c>
      <c r="G132" s="10">
        <f t="shared" si="39"/>
        <v>7.1333333333333337</v>
      </c>
      <c r="H132" s="4">
        <f>50+49.2</f>
        <v>99.2</v>
      </c>
      <c r="I132" s="5">
        <f t="shared" ref="I132:I138" si="40">G132*D132</f>
        <v>321</v>
      </c>
      <c r="J132" s="5">
        <f t="shared" ref="J132:J138" si="41">I132-H132</f>
        <v>221.8</v>
      </c>
      <c r="K132">
        <v>20</v>
      </c>
      <c r="N132" s="119">
        <v>0</v>
      </c>
      <c r="O132" s="51"/>
    </row>
    <row r="133" spans="1:17">
      <c r="A133" s="80" t="s">
        <v>778</v>
      </c>
      <c r="B133" s="4">
        <v>3</v>
      </c>
      <c r="C133" s="4">
        <v>48</v>
      </c>
      <c r="D133" s="4">
        <v>45</v>
      </c>
      <c r="E133" s="4">
        <v>1</v>
      </c>
      <c r="F133" s="4">
        <v>50</v>
      </c>
      <c r="G133" s="10">
        <f t="shared" si="39"/>
        <v>3.8</v>
      </c>
      <c r="H133" s="4">
        <v>50</v>
      </c>
      <c r="I133" s="5">
        <f t="shared" si="40"/>
        <v>171</v>
      </c>
      <c r="J133" s="5">
        <f t="shared" si="41"/>
        <v>121</v>
      </c>
      <c r="K133">
        <v>9</v>
      </c>
      <c r="N133" s="82">
        <v>356</v>
      </c>
    </row>
    <row r="134" spans="1:17">
      <c r="A134" s="80" t="s">
        <v>772</v>
      </c>
      <c r="B134" s="4">
        <v>0</v>
      </c>
      <c r="C134" s="4">
        <v>0</v>
      </c>
      <c r="D134" s="4">
        <v>45</v>
      </c>
      <c r="E134" s="4">
        <v>1</v>
      </c>
      <c r="F134" s="4">
        <v>50</v>
      </c>
      <c r="G134" s="10">
        <f t="shared" si="39"/>
        <v>0</v>
      </c>
      <c r="H134" s="4">
        <v>0</v>
      </c>
      <c r="I134" s="5">
        <f t="shared" si="40"/>
        <v>0</v>
      </c>
      <c r="J134" s="5">
        <f t="shared" si="41"/>
        <v>0</v>
      </c>
      <c r="K134">
        <v>0</v>
      </c>
      <c r="N134" s="119">
        <v>0</v>
      </c>
      <c r="Q134" t="s">
        <v>64</v>
      </c>
    </row>
    <row r="135" spans="1:17">
      <c r="A135" s="80" t="s">
        <v>765</v>
      </c>
      <c r="B135" s="4">
        <v>0</v>
      </c>
      <c r="C135" s="4">
        <v>0</v>
      </c>
      <c r="D135" s="4">
        <v>45</v>
      </c>
      <c r="E135" s="4">
        <v>1</v>
      </c>
      <c r="F135" s="4">
        <v>50</v>
      </c>
      <c r="G135" s="10">
        <f t="shared" si="39"/>
        <v>0</v>
      </c>
      <c r="H135" s="4">
        <v>0</v>
      </c>
      <c r="I135" s="5">
        <f t="shared" si="40"/>
        <v>0</v>
      </c>
      <c r="J135" s="5">
        <f t="shared" si="41"/>
        <v>0</v>
      </c>
      <c r="K135">
        <v>0</v>
      </c>
      <c r="N135" s="82"/>
    </row>
    <row r="136" spans="1:17">
      <c r="A136" s="80" t="s">
        <v>766</v>
      </c>
      <c r="B136" s="4">
        <v>8</v>
      </c>
      <c r="C136" s="4">
        <v>36</v>
      </c>
      <c r="D136" s="4">
        <v>55</v>
      </c>
      <c r="E136" s="4">
        <v>1</v>
      </c>
      <c r="F136" s="4">
        <v>50</v>
      </c>
      <c r="G136" s="10">
        <f t="shared" si="39"/>
        <v>8.6</v>
      </c>
      <c r="H136" s="4">
        <v>50</v>
      </c>
      <c r="I136" s="5">
        <f t="shared" si="40"/>
        <v>473</v>
      </c>
      <c r="J136" s="5">
        <f t="shared" si="41"/>
        <v>423</v>
      </c>
      <c r="K136">
        <v>27</v>
      </c>
      <c r="N136" s="83">
        <v>522</v>
      </c>
    </row>
    <row r="137" spans="1:17">
      <c r="A137" s="80" t="s">
        <v>790</v>
      </c>
      <c r="B137" s="4">
        <v>6</v>
      </c>
      <c r="C137" s="4">
        <v>9</v>
      </c>
      <c r="D137" s="4">
        <v>45</v>
      </c>
      <c r="E137" s="4">
        <v>1</v>
      </c>
      <c r="F137" s="4">
        <v>50</v>
      </c>
      <c r="G137" s="10">
        <f t="shared" si="39"/>
        <v>6.15</v>
      </c>
      <c r="H137" s="4">
        <f>50+46.8</f>
        <v>96.8</v>
      </c>
      <c r="I137" s="5">
        <f t="shared" si="40"/>
        <v>276.75</v>
      </c>
      <c r="J137" s="5">
        <f t="shared" si="41"/>
        <v>179.95</v>
      </c>
      <c r="K137">
        <v>17</v>
      </c>
      <c r="N137" s="119">
        <v>470</v>
      </c>
    </row>
    <row r="138" spans="1:17" ht="16" thickBot="1">
      <c r="A138" s="80" t="s">
        <v>794</v>
      </c>
      <c r="B138" s="4">
        <v>6</v>
      </c>
      <c r="C138" s="4">
        <v>4</v>
      </c>
      <c r="D138" s="4">
        <v>45</v>
      </c>
      <c r="E138" s="4">
        <v>1</v>
      </c>
      <c r="F138" s="4">
        <v>50</v>
      </c>
      <c r="G138" s="10">
        <f t="shared" si="39"/>
        <v>6.0666666666666664</v>
      </c>
      <c r="H138" s="4">
        <v>50</v>
      </c>
      <c r="I138" s="5">
        <f t="shared" si="40"/>
        <v>273</v>
      </c>
      <c r="J138" s="5">
        <f t="shared" si="41"/>
        <v>223</v>
      </c>
      <c r="K138">
        <v>18</v>
      </c>
      <c r="N138" s="136">
        <f>508+657</f>
        <v>1165</v>
      </c>
      <c r="P138" t="s">
        <v>795</v>
      </c>
    </row>
    <row r="139" spans="1:17" s="86" customFormat="1" ht="20" thickBot="1">
      <c r="A139" s="91" t="s">
        <v>796</v>
      </c>
      <c r="B139" s="8">
        <f>SUM(B140:B146)</f>
        <v>0</v>
      </c>
      <c r="C139" s="8">
        <f>SUM(C140:C146)</f>
        <v>0</v>
      </c>
      <c r="D139" s="126">
        <f>SUM(D140)</f>
        <v>45</v>
      </c>
      <c r="E139" s="126">
        <f>SUM(E140:E146)</f>
        <v>0</v>
      </c>
      <c r="F139" s="126">
        <f>SUM(F140:F146)</f>
        <v>350</v>
      </c>
      <c r="G139" s="123">
        <f t="shared" si="39"/>
        <v>0</v>
      </c>
      <c r="H139" s="8">
        <f>SUM(H140:H146)</f>
        <v>0</v>
      </c>
      <c r="I139" s="14">
        <f>SUM(I140:I146)</f>
        <v>0</v>
      </c>
      <c r="J139" s="14">
        <f>SUM(J140:J146)</f>
        <v>0</v>
      </c>
      <c r="K139" s="8">
        <f>SUM(K140:K146)</f>
        <v>0</v>
      </c>
      <c r="L139" s="9">
        <v>0</v>
      </c>
      <c r="M139" s="96">
        <f>J139</f>
        <v>0</v>
      </c>
      <c r="N139" s="102">
        <f>SUM(N140:N146)</f>
        <v>0</v>
      </c>
      <c r="O139" s="98"/>
    </row>
    <row r="140" spans="1:17">
      <c r="A140" s="6">
        <v>46097</v>
      </c>
      <c r="B140" s="4">
        <v>0</v>
      </c>
      <c r="C140" s="4">
        <v>0</v>
      </c>
      <c r="D140" s="4">
        <v>45</v>
      </c>
      <c r="E140" s="4">
        <v>0</v>
      </c>
      <c r="F140" s="4">
        <v>50</v>
      </c>
      <c r="G140" s="10">
        <f t="shared" si="39"/>
        <v>0</v>
      </c>
      <c r="H140" s="4">
        <v>0</v>
      </c>
      <c r="I140" s="5">
        <f t="shared" ref="I140:I146" si="42">G140*D140</f>
        <v>0</v>
      </c>
      <c r="J140" s="5">
        <f t="shared" ref="J140:J146" si="43">I140-H140</f>
        <v>0</v>
      </c>
      <c r="K140">
        <v>0</v>
      </c>
      <c r="N140" s="119">
        <v>0</v>
      </c>
      <c r="O140" s="51"/>
    </row>
    <row r="141" spans="1:17">
      <c r="A141" s="6">
        <v>46098</v>
      </c>
      <c r="B141" s="4">
        <v>0</v>
      </c>
      <c r="C141" s="4">
        <v>0</v>
      </c>
      <c r="D141" s="4">
        <v>45</v>
      </c>
      <c r="E141" s="4">
        <v>0</v>
      </c>
      <c r="F141" s="4">
        <v>50</v>
      </c>
      <c r="G141" s="10">
        <f t="shared" si="39"/>
        <v>0</v>
      </c>
      <c r="H141" s="4">
        <v>0</v>
      </c>
      <c r="I141" s="5">
        <f t="shared" si="42"/>
        <v>0</v>
      </c>
      <c r="J141" s="5">
        <f t="shared" si="43"/>
        <v>0</v>
      </c>
      <c r="K141">
        <v>0</v>
      </c>
      <c r="N141" s="119">
        <v>0</v>
      </c>
    </row>
    <row r="142" spans="1:17">
      <c r="A142" s="6">
        <v>46099</v>
      </c>
      <c r="B142" s="4">
        <v>0</v>
      </c>
      <c r="C142" s="4">
        <v>0</v>
      </c>
      <c r="D142" s="4">
        <v>45</v>
      </c>
      <c r="E142" s="4">
        <v>0</v>
      </c>
      <c r="F142" s="4">
        <v>50</v>
      </c>
      <c r="G142" s="10">
        <f t="shared" si="39"/>
        <v>0</v>
      </c>
      <c r="H142" s="4">
        <v>0</v>
      </c>
      <c r="I142" s="5">
        <f t="shared" si="42"/>
        <v>0</v>
      </c>
      <c r="J142" s="5">
        <f t="shared" si="43"/>
        <v>0</v>
      </c>
      <c r="K142">
        <v>0</v>
      </c>
      <c r="N142" s="119">
        <v>0</v>
      </c>
      <c r="Q142" t="s">
        <v>64</v>
      </c>
    </row>
    <row r="143" spans="1:17">
      <c r="A143" s="6">
        <v>46100</v>
      </c>
      <c r="B143" s="4">
        <v>0</v>
      </c>
      <c r="C143" s="4">
        <v>0</v>
      </c>
      <c r="D143" s="4">
        <v>45</v>
      </c>
      <c r="E143" s="4">
        <v>0</v>
      </c>
      <c r="F143" s="4">
        <v>50</v>
      </c>
      <c r="G143" s="10">
        <f t="shared" si="39"/>
        <v>0</v>
      </c>
      <c r="H143" s="4">
        <v>0</v>
      </c>
      <c r="I143" s="5">
        <f t="shared" si="42"/>
        <v>0</v>
      </c>
      <c r="J143" s="5">
        <f t="shared" si="43"/>
        <v>0</v>
      </c>
      <c r="K143">
        <v>0</v>
      </c>
      <c r="N143" s="136">
        <v>0</v>
      </c>
    </row>
    <row r="144" spans="1:17">
      <c r="A144" s="6">
        <v>46101</v>
      </c>
      <c r="B144" s="4">
        <v>0</v>
      </c>
      <c r="C144" s="4">
        <v>0</v>
      </c>
      <c r="D144" s="4">
        <v>45</v>
      </c>
      <c r="E144" s="4">
        <v>0</v>
      </c>
      <c r="F144" s="4">
        <v>50</v>
      </c>
      <c r="G144" s="10">
        <f t="shared" si="39"/>
        <v>0</v>
      </c>
      <c r="H144" s="4">
        <v>0</v>
      </c>
      <c r="I144" s="5">
        <f t="shared" si="42"/>
        <v>0</v>
      </c>
      <c r="J144" s="5">
        <f t="shared" si="43"/>
        <v>0</v>
      </c>
      <c r="K144">
        <v>0</v>
      </c>
      <c r="N144" s="119">
        <v>0</v>
      </c>
    </row>
    <row r="145" spans="1:17">
      <c r="A145" s="6">
        <v>46102</v>
      </c>
      <c r="B145" s="4">
        <v>0</v>
      </c>
      <c r="C145" s="4">
        <v>0</v>
      </c>
      <c r="D145" s="4">
        <v>45</v>
      </c>
      <c r="E145" s="4">
        <v>0</v>
      </c>
      <c r="F145" s="4">
        <v>50</v>
      </c>
      <c r="G145" s="10">
        <f t="shared" si="39"/>
        <v>0</v>
      </c>
      <c r="H145" s="4">
        <v>0</v>
      </c>
      <c r="I145" s="5">
        <f t="shared" si="42"/>
        <v>0</v>
      </c>
      <c r="J145" s="5">
        <f t="shared" si="43"/>
        <v>0</v>
      </c>
      <c r="K145">
        <v>0</v>
      </c>
      <c r="N145" s="119">
        <v>0</v>
      </c>
    </row>
    <row r="146" spans="1:17" ht="16" thickBot="1">
      <c r="A146" s="6">
        <v>46103</v>
      </c>
      <c r="B146" s="4">
        <v>0</v>
      </c>
      <c r="C146" s="4">
        <v>0</v>
      </c>
      <c r="D146" s="4">
        <v>45</v>
      </c>
      <c r="E146" s="4">
        <v>0</v>
      </c>
      <c r="F146" s="4">
        <v>50</v>
      </c>
      <c r="G146" s="10">
        <f t="shared" si="39"/>
        <v>0</v>
      </c>
      <c r="H146" s="4">
        <v>0</v>
      </c>
      <c r="I146" s="5">
        <f t="shared" si="42"/>
        <v>0</v>
      </c>
      <c r="J146" s="5">
        <f t="shared" si="43"/>
        <v>0</v>
      </c>
      <c r="K146">
        <v>0</v>
      </c>
      <c r="N146" s="119">
        <v>0</v>
      </c>
    </row>
    <row r="147" spans="1:17" s="86" customFormat="1" ht="20" thickBot="1">
      <c r="A147" s="91" t="s">
        <v>797</v>
      </c>
      <c r="B147" s="8">
        <f>SUM(B148:B154)</f>
        <v>44</v>
      </c>
      <c r="C147" s="8">
        <f>SUM(C148:C154)</f>
        <v>146</v>
      </c>
      <c r="D147" s="126">
        <f>SUM(D148)</f>
        <v>55</v>
      </c>
      <c r="E147" s="126">
        <f>SUM(E148:E154)</f>
        <v>5</v>
      </c>
      <c r="F147" s="126">
        <f>SUM(F148:F154)</f>
        <v>350</v>
      </c>
      <c r="G147" s="123">
        <f t="shared" si="39"/>
        <v>46.43333333333333</v>
      </c>
      <c r="H147" s="8">
        <f>SUM(H148:H154)</f>
        <v>319.60000000000002</v>
      </c>
      <c r="I147" s="14">
        <f>SUM(I148:I154)</f>
        <v>2364.6666666666665</v>
      </c>
      <c r="J147" s="14">
        <f>SUM(J148:J154)</f>
        <v>2045.0666666666668</v>
      </c>
      <c r="K147" s="8">
        <f>SUM(K148:K154)</f>
        <v>134</v>
      </c>
      <c r="L147" s="9">
        <v>0</v>
      </c>
      <c r="M147" s="96">
        <f>J147</f>
        <v>2045.0666666666668</v>
      </c>
      <c r="N147" s="102">
        <f>SUM(N148:N154)</f>
        <v>3880</v>
      </c>
      <c r="O147" s="98">
        <f>3703-N147</f>
        <v>-177</v>
      </c>
    </row>
    <row r="148" spans="1:17">
      <c r="A148" s="6">
        <v>46097</v>
      </c>
      <c r="B148" s="4">
        <v>8</v>
      </c>
      <c r="C148" s="4">
        <v>52</v>
      </c>
      <c r="D148" s="4">
        <v>55</v>
      </c>
      <c r="E148" s="4">
        <v>1</v>
      </c>
      <c r="F148" s="4">
        <v>50</v>
      </c>
      <c r="G148" s="10">
        <f t="shared" si="39"/>
        <v>8.8666666666666671</v>
      </c>
      <c r="H148" s="4">
        <f>50+69.6</f>
        <v>119.6</v>
      </c>
      <c r="I148" s="5">
        <f>G148*D148</f>
        <v>487.66666666666669</v>
      </c>
      <c r="J148" s="5">
        <f>I148-H148</f>
        <v>368.06666666666672</v>
      </c>
      <c r="K148">
        <v>28</v>
      </c>
      <c r="N148" s="134">
        <v>0</v>
      </c>
      <c r="O148" s="51"/>
    </row>
    <row r="149" spans="1:17">
      <c r="A149" s="6">
        <v>46098</v>
      </c>
      <c r="B149" s="4">
        <v>9</v>
      </c>
      <c r="C149" s="4">
        <v>50</v>
      </c>
      <c r="D149" s="4">
        <v>45</v>
      </c>
      <c r="E149" s="4">
        <v>1</v>
      </c>
      <c r="F149" s="4">
        <v>50</v>
      </c>
      <c r="G149" s="10">
        <f t="shared" si="39"/>
        <v>9.8333333333333339</v>
      </c>
      <c r="H149" s="4">
        <v>50</v>
      </c>
      <c r="I149" s="5">
        <f>G149*D149</f>
        <v>442.5</v>
      </c>
      <c r="J149" s="5">
        <f>I149-H149</f>
        <v>392.5</v>
      </c>
      <c r="K149">
        <v>23</v>
      </c>
      <c r="N149" s="82">
        <f>580+200</f>
        <v>780</v>
      </c>
      <c r="P149" t="s">
        <v>736</v>
      </c>
    </row>
    <row r="150" spans="1:17">
      <c r="A150" s="6">
        <v>46099</v>
      </c>
      <c r="B150" s="4">
        <v>9</v>
      </c>
      <c r="C150" s="4">
        <v>5</v>
      </c>
      <c r="D150" s="4">
        <v>45</v>
      </c>
      <c r="E150" s="4">
        <v>1</v>
      </c>
      <c r="F150" s="4">
        <v>50</v>
      </c>
      <c r="G150" s="10">
        <f t="shared" si="39"/>
        <v>9.0833333333333339</v>
      </c>
      <c r="H150" s="4">
        <v>50</v>
      </c>
      <c r="I150" s="5">
        <f t="shared" ref="I150:I153" si="44">G150*D150</f>
        <v>408.75</v>
      </c>
      <c r="J150" s="5">
        <f>I150-H150</f>
        <v>358.75</v>
      </c>
      <c r="K150">
        <v>24</v>
      </c>
      <c r="N150" s="82">
        <v>680</v>
      </c>
      <c r="Q150" t="s">
        <v>64</v>
      </c>
    </row>
    <row r="151" spans="1:17">
      <c r="A151" s="6">
        <v>46100</v>
      </c>
      <c r="B151" s="4">
        <v>0</v>
      </c>
      <c r="C151" s="4">
        <v>0</v>
      </c>
      <c r="D151" s="4">
        <v>45</v>
      </c>
      <c r="E151" s="4">
        <v>0</v>
      </c>
      <c r="F151" s="4">
        <v>50</v>
      </c>
      <c r="G151" s="10">
        <f t="shared" si="39"/>
        <v>0</v>
      </c>
      <c r="H151" s="4">
        <v>0</v>
      </c>
      <c r="I151" s="5">
        <f t="shared" si="44"/>
        <v>0</v>
      </c>
      <c r="J151" s="5">
        <f t="shared" ref="J151:J152" si="45">I151-H151</f>
        <v>0</v>
      </c>
      <c r="K151">
        <v>0</v>
      </c>
      <c r="N151" s="82"/>
    </row>
    <row r="152" spans="1:17">
      <c r="A152" s="6">
        <v>46101</v>
      </c>
      <c r="B152" s="4">
        <v>9</v>
      </c>
      <c r="C152" s="4">
        <v>26</v>
      </c>
      <c r="D152" s="4">
        <v>55</v>
      </c>
      <c r="E152" s="4">
        <v>1</v>
      </c>
      <c r="F152" s="4">
        <v>50</v>
      </c>
      <c r="G152" s="10">
        <f t="shared" si="39"/>
        <v>9.4333333333333336</v>
      </c>
      <c r="H152" s="4">
        <v>50</v>
      </c>
      <c r="I152" s="5">
        <f t="shared" si="44"/>
        <v>518.83333333333337</v>
      </c>
      <c r="J152" s="5">
        <f t="shared" si="45"/>
        <v>468.83333333333337</v>
      </c>
      <c r="K152">
        <v>31</v>
      </c>
      <c r="N152" s="119">
        <v>800</v>
      </c>
    </row>
    <row r="153" spans="1:17">
      <c r="A153" s="6">
        <v>46102</v>
      </c>
      <c r="B153" s="4">
        <v>9</v>
      </c>
      <c r="C153" s="4">
        <v>13</v>
      </c>
      <c r="D153" s="4">
        <v>55</v>
      </c>
      <c r="E153" s="4">
        <v>1</v>
      </c>
      <c r="F153" s="4">
        <v>50</v>
      </c>
      <c r="G153" s="10">
        <f t="shared" si="39"/>
        <v>9.2166666666666668</v>
      </c>
      <c r="H153" s="4">
        <v>50</v>
      </c>
      <c r="I153" s="5">
        <f t="shared" si="44"/>
        <v>506.91666666666669</v>
      </c>
      <c r="J153" s="5">
        <f>I153-H153</f>
        <v>456.91666666666669</v>
      </c>
      <c r="K153">
        <v>28</v>
      </c>
      <c r="N153" s="119">
        <v>660</v>
      </c>
    </row>
    <row r="154" spans="1:17" ht="16" thickBot="1">
      <c r="A154" s="6">
        <v>46103</v>
      </c>
      <c r="B154" s="4">
        <v>0</v>
      </c>
      <c r="C154" s="4">
        <v>0</v>
      </c>
      <c r="D154" s="4">
        <v>45</v>
      </c>
      <c r="E154" s="4">
        <v>0</v>
      </c>
      <c r="F154" s="4">
        <v>50</v>
      </c>
      <c r="G154" s="10">
        <f t="shared" si="39"/>
        <v>0</v>
      </c>
      <c r="H154" s="4">
        <v>0</v>
      </c>
      <c r="I154" s="5">
        <f>G154*D154</f>
        <v>0</v>
      </c>
      <c r="J154" s="5">
        <f>I154-H154</f>
        <v>0</v>
      </c>
      <c r="K154">
        <v>0</v>
      </c>
      <c r="N154" s="82">
        <f>640+320</f>
        <v>960</v>
      </c>
    </row>
    <row r="155" spans="1:17" s="86" customFormat="1" ht="20" thickBot="1">
      <c r="A155" s="91" t="s">
        <v>334</v>
      </c>
      <c r="B155" s="8">
        <f>SUM(B156:B162)</f>
        <v>54</v>
      </c>
      <c r="C155" s="8">
        <f>SUM(C156:C162)</f>
        <v>223</v>
      </c>
      <c r="D155" s="126">
        <f>SUM(D156)</f>
        <v>45</v>
      </c>
      <c r="E155" s="126">
        <f>SUM(E156:E162)</f>
        <v>7</v>
      </c>
      <c r="F155" s="126">
        <f>SUM(F156:F162)</f>
        <v>350</v>
      </c>
      <c r="G155" s="123">
        <f t="shared" si="39"/>
        <v>57.716666666666669</v>
      </c>
      <c r="H155" s="8">
        <f>SUM(H156:H162)</f>
        <v>300</v>
      </c>
      <c r="I155" s="14">
        <f>SUM(I156:I162)</f>
        <v>2597.25</v>
      </c>
      <c r="J155" s="14">
        <f>SUM(J156:J162)</f>
        <v>2297.25</v>
      </c>
      <c r="K155" s="8">
        <f>SUM(K156:K162)</f>
        <v>122</v>
      </c>
      <c r="L155" s="9">
        <v>0</v>
      </c>
      <c r="M155" s="96">
        <f>J155</f>
        <v>2297.25</v>
      </c>
      <c r="N155" s="102">
        <f>SUM(N156:N162)</f>
        <v>3613</v>
      </c>
      <c r="O155" s="98">
        <f>4009-N155</f>
        <v>396</v>
      </c>
    </row>
    <row r="156" spans="1:17">
      <c r="A156" s="6">
        <v>46097</v>
      </c>
      <c r="B156" s="4">
        <v>0</v>
      </c>
      <c r="C156" s="4">
        <v>0</v>
      </c>
      <c r="D156" s="4">
        <v>45</v>
      </c>
      <c r="E156" s="4">
        <v>1</v>
      </c>
      <c r="F156" s="4">
        <v>50</v>
      </c>
      <c r="G156" s="10">
        <f t="shared" si="39"/>
        <v>0</v>
      </c>
      <c r="H156" s="4">
        <v>0</v>
      </c>
      <c r="I156" s="5">
        <f>G156*D156</f>
        <v>0</v>
      </c>
      <c r="J156" s="5">
        <f>I156-H156</f>
        <v>0</v>
      </c>
      <c r="K156">
        <v>0</v>
      </c>
      <c r="N156" s="51">
        <v>0</v>
      </c>
      <c r="O156" s="51"/>
    </row>
    <row r="157" spans="1:17">
      <c r="A157" s="6">
        <v>46098</v>
      </c>
      <c r="B157" s="4">
        <v>8</v>
      </c>
      <c r="C157" s="4">
        <v>27</v>
      </c>
      <c r="D157" s="4">
        <v>45</v>
      </c>
      <c r="E157" s="4">
        <v>1</v>
      </c>
      <c r="F157" s="4">
        <v>50</v>
      </c>
      <c r="G157" s="10">
        <f t="shared" si="39"/>
        <v>8.4499999999999993</v>
      </c>
      <c r="H157" s="4">
        <v>50</v>
      </c>
      <c r="I157" s="5">
        <f>G157*D157</f>
        <v>380.24999999999994</v>
      </c>
      <c r="J157" s="5">
        <f>I157-H157</f>
        <v>330.24999999999994</v>
      </c>
      <c r="K157">
        <v>15</v>
      </c>
      <c r="N157" s="135">
        <v>260</v>
      </c>
    </row>
    <row r="158" spans="1:17">
      <c r="A158" s="6">
        <v>46099</v>
      </c>
      <c r="B158" s="4">
        <v>8</v>
      </c>
      <c r="C158" s="4">
        <v>14</v>
      </c>
      <c r="D158" s="4">
        <v>45</v>
      </c>
      <c r="E158" s="4">
        <v>1</v>
      </c>
      <c r="F158" s="4">
        <v>50</v>
      </c>
      <c r="G158" s="10">
        <f t="shared" si="39"/>
        <v>8.2333333333333325</v>
      </c>
      <c r="H158" s="4">
        <v>50</v>
      </c>
      <c r="I158" s="5">
        <f>G158*D158</f>
        <v>370.49999999999994</v>
      </c>
      <c r="J158" s="5">
        <f>I158-H158</f>
        <v>320.49999999999994</v>
      </c>
      <c r="K158">
        <v>21</v>
      </c>
      <c r="N158" s="51">
        <v>327</v>
      </c>
      <c r="Q158" t="s">
        <v>64</v>
      </c>
    </row>
    <row r="159" spans="1:17">
      <c r="A159" s="6">
        <v>46100</v>
      </c>
      <c r="B159" s="4">
        <v>10</v>
      </c>
      <c r="C159" s="4">
        <v>37</v>
      </c>
      <c r="D159" s="4">
        <v>45</v>
      </c>
      <c r="E159" s="4">
        <v>1</v>
      </c>
      <c r="F159" s="4">
        <v>50</v>
      </c>
      <c r="G159" s="10">
        <f t="shared" si="39"/>
        <v>10.616666666666667</v>
      </c>
      <c r="H159" s="4">
        <v>50</v>
      </c>
      <c r="I159" s="5">
        <f>G159*D159</f>
        <v>477.75</v>
      </c>
      <c r="J159" s="5">
        <f>I159-H159</f>
        <v>427.75</v>
      </c>
      <c r="K159">
        <v>20</v>
      </c>
      <c r="N159" s="51">
        <v>541</v>
      </c>
    </row>
    <row r="160" spans="1:17">
      <c r="A160" s="6">
        <v>46101</v>
      </c>
      <c r="B160" s="4">
        <v>10</v>
      </c>
      <c r="C160" s="4">
        <v>33</v>
      </c>
      <c r="D160" s="4">
        <v>45</v>
      </c>
      <c r="E160" s="4">
        <v>1</v>
      </c>
      <c r="F160" s="4">
        <v>50</v>
      </c>
      <c r="G160" s="10">
        <f t="shared" si="39"/>
        <v>10.55</v>
      </c>
      <c r="H160" s="4">
        <v>50</v>
      </c>
      <c r="I160" s="5">
        <f>G160*D160</f>
        <v>474.75000000000006</v>
      </c>
      <c r="J160" s="5">
        <f>I160-H160</f>
        <v>424.75000000000006</v>
      </c>
      <c r="K160">
        <v>19</v>
      </c>
      <c r="N160" s="135">
        <v>777</v>
      </c>
    </row>
    <row r="161" spans="1:17">
      <c r="A161" s="6">
        <v>46102</v>
      </c>
      <c r="B161" s="4">
        <v>9</v>
      </c>
      <c r="C161" s="4">
        <v>54</v>
      </c>
      <c r="D161" s="4">
        <v>45</v>
      </c>
      <c r="E161" s="4">
        <v>1</v>
      </c>
      <c r="F161" s="4">
        <v>50</v>
      </c>
      <c r="G161" s="10">
        <f t="shared" si="39"/>
        <v>9.9</v>
      </c>
      <c r="H161" s="4">
        <v>50</v>
      </c>
      <c r="I161" s="5">
        <f t="shared" ref="I161:I162" si="46">G161*D161</f>
        <v>445.5</v>
      </c>
      <c r="J161" s="5">
        <f t="shared" ref="J161:J162" si="47">I161-H161</f>
        <v>395.5</v>
      </c>
      <c r="K161">
        <v>21</v>
      </c>
      <c r="N161" s="51">
        <v>703</v>
      </c>
    </row>
    <row r="162" spans="1:17" ht="16" thickBot="1">
      <c r="A162" s="6">
        <v>46103</v>
      </c>
      <c r="B162" s="4">
        <v>9</v>
      </c>
      <c r="C162" s="4">
        <v>58</v>
      </c>
      <c r="D162" s="4">
        <v>45</v>
      </c>
      <c r="E162" s="4">
        <v>1</v>
      </c>
      <c r="F162" s="4">
        <v>50</v>
      </c>
      <c r="G162" s="10">
        <f t="shared" si="39"/>
        <v>9.9666666666666668</v>
      </c>
      <c r="H162" s="4">
        <v>50</v>
      </c>
      <c r="I162" s="5">
        <f t="shared" si="46"/>
        <v>448.5</v>
      </c>
      <c r="J162" s="5">
        <f t="shared" si="47"/>
        <v>398.5</v>
      </c>
      <c r="K162">
        <v>26</v>
      </c>
      <c r="N162" s="51">
        <v>1005</v>
      </c>
    </row>
    <row r="163" spans="1:17" s="86" customFormat="1" ht="20" thickBot="1">
      <c r="A163" s="91" t="s">
        <v>798</v>
      </c>
      <c r="B163" s="8">
        <f>SUM(B164:B170)</f>
        <v>21</v>
      </c>
      <c r="C163" s="8">
        <f>SUM(C164:C170)</f>
        <v>48</v>
      </c>
      <c r="D163" s="8">
        <f>SUM(D164)</f>
        <v>45</v>
      </c>
      <c r="E163" s="8">
        <f>SUM(E164:E170)</f>
        <v>7</v>
      </c>
      <c r="F163" s="8">
        <f>SUM(F164:F170)</f>
        <v>350</v>
      </c>
      <c r="G163" s="93">
        <f t="shared" ref="G163:G170" si="48">B163+C163/60</f>
        <v>21.8</v>
      </c>
      <c r="H163" s="8">
        <f>SUM(H164:H170)</f>
        <v>150</v>
      </c>
      <c r="I163" s="9">
        <f>SUM(I164:I170)</f>
        <v>981</v>
      </c>
      <c r="J163" s="14">
        <f>SUM(J164:J170)</f>
        <v>831</v>
      </c>
      <c r="K163" s="8">
        <f>SUM(K164:K170)</f>
        <v>36</v>
      </c>
      <c r="L163" s="9">
        <v>0</v>
      </c>
      <c r="M163" s="96">
        <f>J163</f>
        <v>831</v>
      </c>
      <c r="N163" s="102">
        <f>SUM(N164:N170)</f>
        <v>836</v>
      </c>
      <c r="O163" s="98">
        <f>977-N163</f>
        <v>141</v>
      </c>
    </row>
    <row r="164" spans="1:17">
      <c r="A164" s="6">
        <v>46097</v>
      </c>
      <c r="B164" s="4">
        <v>0</v>
      </c>
      <c r="C164" s="4">
        <v>0</v>
      </c>
      <c r="D164" s="4">
        <v>45</v>
      </c>
      <c r="E164" s="4">
        <v>1</v>
      </c>
      <c r="F164" s="4">
        <v>50</v>
      </c>
      <c r="G164" s="10">
        <f t="shared" si="48"/>
        <v>0</v>
      </c>
      <c r="H164" s="4">
        <v>0</v>
      </c>
      <c r="I164" s="5">
        <f t="shared" ref="I164:I170" si="49">G164*D164</f>
        <v>0</v>
      </c>
      <c r="J164" s="5">
        <f t="shared" ref="J164:J170" si="50">I164-H164</f>
        <v>0</v>
      </c>
      <c r="K164">
        <v>0</v>
      </c>
      <c r="N164" s="135">
        <v>0</v>
      </c>
      <c r="O164" s="51"/>
    </row>
    <row r="165" spans="1:17">
      <c r="A165" s="6">
        <v>46098</v>
      </c>
      <c r="B165" s="4">
        <v>0</v>
      </c>
      <c r="C165" s="4">
        <v>0</v>
      </c>
      <c r="D165" s="4">
        <v>45</v>
      </c>
      <c r="E165" s="4">
        <v>1</v>
      </c>
      <c r="F165" s="4">
        <v>50</v>
      </c>
      <c r="G165" s="10">
        <f t="shared" si="48"/>
        <v>0</v>
      </c>
      <c r="H165" s="4">
        <v>0</v>
      </c>
      <c r="I165" s="5">
        <f t="shared" si="49"/>
        <v>0</v>
      </c>
      <c r="J165" s="5">
        <f t="shared" si="50"/>
        <v>0</v>
      </c>
      <c r="K165">
        <v>0</v>
      </c>
      <c r="N165" s="51">
        <v>0</v>
      </c>
    </row>
    <row r="166" spans="1:17">
      <c r="A166" s="6">
        <v>46099</v>
      </c>
      <c r="B166" s="4">
        <v>0</v>
      </c>
      <c r="C166" s="4">
        <v>0</v>
      </c>
      <c r="D166" s="4">
        <v>45</v>
      </c>
      <c r="E166" s="4">
        <v>1</v>
      </c>
      <c r="F166" s="4">
        <v>50</v>
      </c>
      <c r="G166" s="10">
        <f t="shared" si="48"/>
        <v>0</v>
      </c>
      <c r="H166" s="4">
        <v>0</v>
      </c>
      <c r="I166" s="5">
        <f t="shared" si="49"/>
        <v>0</v>
      </c>
      <c r="J166" s="5">
        <f t="shared" si="50"/>
        <v>0</v>
      </c>
      <c r="K166">
        <v>0</v>
      </c>
      <c r="N166" s="51">
        <v>0</v>
      </c>
      <c r="Q166" t="s">
        <v>64</v>
      </c>
    </row>
    <row r="167" spans="1:17">
      <c r="A167" s="6">
        <v>46100</v>
      </c>
      <c r="B167" s="4">
        <v>0</v>
      </c>
      <c r="C167" s="4">
        <v>0</v>
      </c>
      <c r="D167" s="4">
        <v>45</v>
      </c>
      <c r="E167" s="4">
        <v>1</v>
      </c>
      <c r="F167" s="4">
        <v>50</v>
      </c>
      <c r="G167" s="10">
        <f t="shared" si="48"/>
        <v>0</v>
      </c>
      <c r="H167" s="4">
        <v>0</v>
      </c>
      <c r="I167" s="5">
        <f t="shared" si="49"/>
        <v>0</v>
      </c>
      <c r="J167" s="5">
        <f t="shared" si="50"/>
        <v>0</v>
      </c>
      <c r="K167">
        <v>0</v>
      </c>
      <c r="N167" s="51">
        <v>0</v>
      </c>
    </row>
    <row r="168" spans="1:17">
      <c r="A168" s="80" t="s">
        <v>766</v>
      </c>
      <c r="B168" s="4">
        <v>8</v>
      </c>
      <c r="C168" s="4">
        <v>10</v>
      </c>
      <c r="D168" s="4">
        <v>45</v>
      </c>
      <c r="E168" s="4">
        <v>1</v>
      </c>
      <c r="F168" s="4">
        <v>50</v>
      </c>
      <c r="G168" s="10">
        <f t="shared" si="48"/>
        <v>8.1666666666666661</v>
      </c>
      <c r="H168" s="4">
        <v>50</v>
      </c>
      <c r="I168" s="5">
        <f t="shared" si="49"/>
        <v>367.5</v>
      </c>
      <c r="J168" s="5">
        <f t="shared" si="50"/>
        <v>317.5</v>
      </c>
      <c r="K168">
        <v>14</v>
      </c>
      <c r="N168" s="51">
        <v>416</v>
      </c>
    </row>
    <row r="169" spans="1:17">
      <c r="A169" s="80" t="s">
        <v>790</v>
      </c>
      <c r="B169" s="4">
        <v>10</v>
      </c>
      <c r="C169" s="4">
        <v>35</v>
      </c>
      <c r="D169" s="4">
        <v>45</v>
      </c>
      <c r="E169" s="4">
        <v>1</v>
      </c>
      <c r="F169" s="4">
        <v>50</v>
      </c>
      <c r="G169" s="10">
        <f t="shared" si="48"/>
        <v>10.583333333333334</v>
      </c>
      <c r="H169" s="4">
        <v>50</v>
      </c>
      <c r="I169" s="5">
        <f t="shared" si="49"/>
        <v>476.25</v>
      </c>
      <c r="J169" s="5">
        <f t="shared" si="50"/>
        <v>426.25</v>
      </c>
      <c r="K169">
        <v>18</v>
      </c>
      <c r="N169" s="51">
        <f>285+100</f>
        <v>385</v>
      </c>
      <c r="P169" t="s">
        <v>799</v>
      </c>
    </row>
    <row r="170" spans="1:17" ht="16" thickBot="1">
      <c r="A170" s="80" t="s">
        <v>768</v>
      </c>
      <c r="B170" s="4">
        <v>3</v>
      </c>
      <c r="C170" s="4">
        <v>3</v>
      </c>
      <c r="D170" s="4">
        <v>45</v>
      </c>
      <c r="E170" s="4">
        <v>1</v>
      </c>
      <c r="F170" s="4">
        <v>50</v>
      </c>
      <c r="G170" s="10">
        <f t="shared" si="48"/>
        <v>3.05</v>
      </c>
      <c r="H170" s="4">
        <v>50</v>
      </c>
      <c r="I170" s="5">
        <f t="shared" si="49"/>
        <v>137.25</v>
      </c>
      <c r="J170" s="5">
        <f t="shared" si="50"/>
        <v>87.25</v>
      </c>
      <c r="K170">
        <v>4</v>
      </c>
      <c r="N170" s="135">
        <v>35</v>
      </c>
    </row>
    <row r="171" spans="1:17" s="86" customFormat="1" ht="20" thickBot="1">
      <c r="A171" s="91" t="s">
        <v>800</v>
      </c>
      <c r="B171" s="8">
        <f>SUM(B172:B178)</f>
        <v>64</v>
      </c>
      <c r="C171" s="8">
        <f>SUM(C172:C178)</f>
        <v>190</v>
      </c>
      <c r="D171" s="8">
        <f>SUM(D172)</f>
        <v>65</v>
      </c>
      <c r="E171" s="8">
        <f>SUM(E172:E178)</f>
        <v>7</v>
      </c>
      <c r="F171" s="8">
        <f>SUM(F172:F178)</f>
        <v>350</v>
      </c>
      <c r="G171" s="93">
        <f t="shared" ref="G171:G196" si="51">B171+C171/60</f>
        <v>67.166666666666671</v>
      </c>
      <c r="H171" s="8">
        <f>SUM(H172:H178)</f>
        <v>350</v>
      </c>
      <c r="I171" s="9">
        <f>SUM(I172:I178)</f>
        <v>4365.833333333333</v>
      </c>
      <c r="J171" s="14">
        <f>SUM(J172:J178)</f>
        <v>4015.8333333333335</v>
      </c>
      <c r="K171" s="8">
        <f>SUM(K172:K178)</f>
        <v>302</v>
      </c>
      <c r="L171" s="9">
        <v>300</v>
      </c>
      <c r="M171" s="96">
        <f>J171+L171</f>
        <v>4315.8333333333339</v>
      </c>
      <c r="N171" s="102">
        <f>SUM(N172:N178)</f>
        <v>8401</v>
      </c>
      <c r="O171" s="98">
        <f>8400-N171</f>
        <v>-1</v>
      </c>
      <c r="P171" s="86" t="s">
        <v>726</v>
      </c>
    </row>
    <row r="172" spans="1:17">
      <c r="A172" s="6">
        <v>46097</v>
      </c>
      <c r="B172" s="4">
        <v>10</v>
      </c>
      <c r="C172" s="4">
        <v>19</v>
      </c>
      <c r="D172" s="4">
        <v>65</v>
      </c>
      <c r="E172" s="4">
        <v>1</v>
      </c>
      <c r="F172" s="4">
        <v>50</v>
      </c>
      <c r="G172" s="10">
        <f t="shared" si="51"/>
        <v>10.316666666666666</v>
      </c>
      <c r="H172" s="4">
        <v>50</v>
      </c>
      <c r="I172" s="5">
        <f t="shared" ref="I172:I186" si="52">G172*D172</f>
        <v>670.58333333333337</v>
      </c>
      <c r="J172" s="5">
        <f t="shared" ref="J172:J178" si="53">I172-H172</f>
        <v>620.58333333333337</v>
      </c>
      <c r="K172">
        <v>43</v>
      </c>
      <c r="N172" s="136">
        <v>1284</v>
      </c>
      <c r="O172" s="51"/>
    </row>
    <row r="173" spans="1:17">
      <c r="A173" s="6">
        <v>46098</v>
      </c>
      <c r="B173" s="4">
        <v>9</v>
      </c>
      <c r="C173" s="4">
        <v>18</v>
      </c>
      <c r="D173" s="4">
        <v>65</v>
      </c>
      <c r="E173" s="4">
        <v>1</v>
      </c>
      <c r="F173" s="4">
        <v>50</v>
      </c>
      <c r="G173" s="10">
        <f t="shared" si="51"/>
        <v>9.3000000000000007</v>
      </c>
      <c r="H173" s="4">
        <v>50</v>
      </c>
      <c r="I173" s="5">
        <f t="shared" si="52"/>
        <v>604.5</v>
      </c>
      <c r="J173" s="5">
        <f t="shared" si="53"/>
        <v>554.5</v>
      </c>
      <c r="K173">
        <v>45</v>
      </c>
      <c r="N173" s="83">
        <v>1130</v>
      </c>
    </row>
    <row r="174" spans="1:17">
      <c r="A174" s="6">
        <v>46099</v>
      </c>
      <c r="B174" s="4">
        <v>8</v>
      </c>
      <c r="C174" s="4">
        <v>54</v>
      </c>
      <c r="D174" s="4">
        <v>65</v>
      </c>
      <c r="E174" s="4">
        <v>1</v>
      </c>
      <c r="F174" s="4">
        <v>50</v>
      </c>
      <c r="G174" s="10">
        <f t="shared" si="51"/>
        <v>8.9</v>
      </c>
      <c r="H174" s="4">
        <v>50</v>
      </c>
      <c r="I174" s="5">
        <f t="shared" si="52"/>
        <v>578.5</v>
      </c>
      <c r="J174" s="5">
        <f t="shared" si="53"/>
        <v>528.5</v>
      </c>
      <c r="K174">
        <v>42</v>
      </c>
      <c r="N174" s="137">
        <v>1124</v>
      </c>
      <c r="Q174" t="s">
        <v>64</v>
      </c>
    </row>
    <row r="175" spans="1:17">
      <c r="A175" s="6">
        <v>46100</v>
      </c>
      <c r="B175" s="4">
        <v>9</v>
      </c>
      <c r="C175" s="4">
        <v>22</v>
      </c>
      <c r="D175" s="4">
        <v>65</v>
      </c>
      <c r="E175" s="4">
        <v>1</v>
      </c>
      <c r="F175" s="4">
        <v>50</v>
      </c>
      <c r="G175" s="10">
        <f t="shared" si="51"/>
        <v>9.3666666666666671</v>
      </c>
      <c r="H175" s="4">
        <v>50</v>
      </c>
      <c r="I175" s="5">
        <f t="shared" si="52"/>
        <v>608.83333333333337</v>
      </c>
      <c r="J175" s="5">
        <f t="shared" si="53"/>
        <v>558.83333333333337</v>
      </c>
      <c r="K175">
        <v>45</v>
      </c>
      <c r="N175" s="119">
        <v>1183</v>
      </c>
    </row>
    <row r="176" spans="1:17">
      <c r="A176" s="6">
        <v>46101</v>
      </c>
      <c r="B176" s="4">
        <v>9</v>
      </c>
      <c r="C176" s="4">
        <v>9</v>
      </c>
      <c r="D176" s="4">
        <v>65</v>
      </c>
      <c r="E176" s="4">
        <v>1</v>
      </c>
      <c r="F176" s="4">
        <v>50</v>
      </c>
      <c r="G176" s="10">
        <f t="shared" si="51"/>
        <v>9.15</v>
      </c>
      <c r="H176" s="4">
        <v>50</v>
      </c>
      <c r="I176" s="5">
        <f t="shared" si="52"/>
        <v>594.75</v>
      </c>
      <c r="J176" s="5">
        <f t="shared" si="53"/>
        <v>544.75</v>
      </c>
      <c r="K176">
        <v>40</v>
      </c>
      <c r="N176" s="119">
        <f>704+150+150</f>
        <v>1004</v>
      </c>
      <c r="P176" t="s">
        <v>801</v>
      </c>
    </row>
    <row r="177" spans="1:17">
      <c r="A177" s="6">
        <v>46102</v>
      </c>
      <c r="B177" s="4">
        <v>10</v>
      </c>
      <c r="C177" s="4">
        <v>10</v>
      </c>
      <c r="D177" s="4">
        <v>65</v>
      </c>
      <c r="E177" s="4">
        <v>1</v>
      </c>
      <c r="F177" s="4">
        <v>50</v>
      </c>
      <c r="G177" s="10">
        <f t="shared" si="51"/>
        <v>10.166666666666666</v>
      </c>
      <c r="H177" s="4">
        <v>50</v>
      </c>
      <c r="I177" s="5">
        <f t="shared" si="52"/>
        <v>660.83333333333326</v>
      </c>
      <c r="J177" s="5">
        <f t="shared" si="53"/>
        <v>610.83333333333326</v>
      </c>
      <c r="K177">
        <v>36</v>
      </c>
      <c r="N177" s="119">
        <f>780+200+100</f>
        <v>1080</v>
      </c>
      <c r="P177" t="s">
        <v>802</v>
      </c>
    </row>
    <row r="178" spans="1:17" ht="16" thickBot="1">
      <c r="A178" s="6">
        <v>46103</v>
      </c>
      <c r="B178" s="4">
        <v>9</v>
      </c>
      <c r="C178" s="4">
        <v>58</v>
      </c>
      <c r="D178" s="7">
        <v>65</v>
      </c>
      <c r="E178" s="7">
        <v>1</v>
      </c>
      <c r="F178" s="7">
        <v>50</v>
      </c>
      <c r="G178" s="10">
        <f t="shared" si="51"/>
        <v>9.9666666666666668</v>
      </c>
      <c r="H178" s="4">
        <v>50</v>
      </c>
      <c r="I178" s="5">
        <f t="shared" si="52"/>
        <v>647.83333333333337</v>
      </c>
      <c r="J178" s="5">
        <f t="shared" si="53"/>
        <v>597.83333333333337</v>
      </c>
      <c r="K178">
        <v>51</v>
      </c>
      <c r="N178" s="119">
        <f>1206+200+100+90</f>
        <v>1596</v>
      </c>
      <c r="P178" t="s">
        <v>802</v>
      </c>
    </row>
    <row r="179" spans="1:17" s="86" customFormat="1" ht="20" thickBot="1">
      <c r="A179" s="91" t="s">
        <v>803</v>
      </c>
      <c r="B179" s="8">
        <f>SUM(B180:B186)</f>
        <v>50</v>
      </c>
      <c r="C179" s="8">
        <f>SUM(C180:C186)</f>
        <v>273</v>
      </c>
      <c r="D179" s="126">
        <f>SUM(D180)</f>
        <v>45</v>
      </c>
      <c r="E179" s="126">
        <f>SUM(E180:E186)</f>
        <v>7</v>
      </c>
      <c r="F179" s="126">
        <f>SUM(F180:F186)</f>
        <v>350</v>
      </c>
      <c r="G179" s="123">
        <f t="shared" si="51"/>
        <v>54.55</v>
      </c>
      <c r="H179" s="8">
        <f>SUM(H180:H186)</f>
        <v>300</v>
      </c>
      <c r="I179" s="14">
        <f>SUM(I180:I186)</f>
        <v>2748.083333333333</v>
      </c>
      <c r="J179" s="14">
        <f>SUM(J180:J186)</f>
        <v>2448.083333333333</v>
      </c>
      <c r="K179" s="8">
        <f>SUM(K180:K186)</f>
        <v>149</v>
      </c>
      <c r="L179" s="9">
        <v>0</v>
      </c>
      <c r="M179" s="96">
        <f>J179</f>
        <v>2448.083333333333</v>
      </c>
      <c r="N179" s="102">
        <f>SUM(N180:N186)</f>
        <v>3279</v>
      </c>
      <c r="O179" s="98">
        <f>3275-N179</f>
        <v>-4</v>
      </c>
      <c r="P179" s="86" t="s">
        <v>726</v>
      </c>
    </row>
    <row r="180" spans="1:17">
      <c r="A180" s="80" t="s">
        <v>781</v>
      </c>
      <c r="B180" s="7">
        <v>7</v>
      </c>
      <c r="C180" s="7">
        <v>40</v>
      </c>
      <c r="D180" s="4">
        <v>45</v>
      </c>
      <c r="E180" s="4">
        <v>1</v>
      </c>
      <c r="F180" s="4">
        <v>50</v>
      </c>
      <c r="G180" s="10">
        <f t="shared" si="51"/>
        <v>7.666666666666667</v>
      </c>
      <c r="H180" s="4">
        <v>50</v>
      </c>
      <c r="I180" s="5">
        <f t="shared" si="52"/>
        <v>345</v>
      </c>
      <c r="J180" s="5">
        <f t="shared" ref="J180:J186" si="54">I180-H180</f>
        <v>295</v>
      </c>
      <c r="K180">
        <v>22</v>
      </c>
      <c r="N180" s="119">
        <v>0</v>
      </c>
      <c r="O180" s="51"/>
    </row>
    <row r="181" spans="1:17">
      <c r="A181" s="80" t="s">
        <v>778</v>
      </c>
      <c r="B181" s="4">
        <v>8</v>
      </c>
      <c r="C181" s="4">
        <v>48</v>
      </c>
      <c r="D181" s="4">
        <v>45</v>
      </c>
      <c r="E181" s="4">
        <v>1</v>
      </c>
      <c r="F181" s="4">
        <v>50</v>
      </c>
      <c r="G181" s="10">
        <f t="shared" si="51"/>
        <v>8.8000000000000007</v>
      </c>
      <c r="H181" s="4">
        <v>50</v>
      </c>
      <c r="I181" s="5">
        <f t="shared" si="52"/>
        <v>396.00000000000006</v>
      </c>
      <c r="J181" s="5">
        <f t="shared" si="54"/>
        <v>346.00000000000006</v>
      </c>
      <c r="K181">
        <v>22</v>
      </c>
      <c r="N181" s="136">
        <f>406+100</f>
        <v>506</v>
      </c>
      <c r="P181" t="s">
        <v>745</v>
      </c>
    </row>
    <row r="182" spans="1:17">
      <c r="A182" s="80" t="s">
        <v>772</v>
      </c>
      <c r="B182" s="4">
        <v>0</v>
      </c>
      <c r="C182" s="4">
        <v>0</v>
      </c>
      <c r="D182" s="4">
        <v>45</v>
      </c>
      <c r="E182" s="4">
        <v>1</v>
      </c>
      <c r="F182" s="4">
        <v>50</v>
      </c>
      <c r="G182" s="10">
        <f t="shared" si="51"/>
        <v>0</v>
      </c>
      <c r="H182" s="4">
        <v>0</v>
      </c>
      <c r="I182" s="5">
        <f t="shared" si="52"/>
        <v>0</v>
      </c>
      <c r="J182" s="5">
        <f t="shared" si="54"/>
        <v>0</v>
      </c>
      <c r="K182">
        <v>0</v>
      </c>
      <c r="N182" s="119">
        <v>240</v>
      </c>
      <c r="Q182" t="s">
        <v>64</v>
      </c>
    </row>
    <row r="183" spans="1:17">
      <c r="A183" s="80" t="s">
        <v>765</v>
      </c>
      <c r="B183" s="4">
        <v>8</v>
      </c>
      <c r="C183" s="4">
        <v>44</v>
      </c>
      <c r="D183" s="4">
        <v>55</v>
      </c>
      <c r="E183" s="4">
        <v>1</v>
      </c>
      <c r="F183" s="4">
        <v>50</v>
      </c>
      <c r="G183" s="10">
        <f t="shared" si="51"/>
        <v>8.7333333333333325</v>
      </c>
      <c r="H183" s="4">
        <v>50</v>
      </c>
      <c r="I183" s="5">
        <f t="shared" si="52"/>
        <v>480.33333333333331</v>
      </c>
      <c r="J183" s="5">
        <f t="shared" si="54"/>
        <v>430.33333333333331</v>
      </c>
      <c r="K183">
        <v>27</v>
      </c>
      <c r="N183" s="136">
        <v>515</v>
      </c>
    </row>
    <row r="184" spans="1:17">
      <c r="A184" s="80" t="s">
        <v>766</v>
      </c>
      <c r="B184" s="4">
        <v>9</v>
      </c>
      <c r="C184" s="4">
        <v>58</v>
      </c>
      <c r="D184" s="4">
        <v>55</v>
      </c>
      <c r="E184" s="4">
        <v>1</v>
      </c>
      <c r="F184" s="4">
        <v>50</v>
      </c>
      <c r="G184" s="10">
        <f t="shared" si="51"/>
        <v>9.9666666666666668</v>
      </c>
      <c r="H184" s="4">
        <v>50</v>
      </c>
      <c r="I184" s="5">
        <f t="shared" si="52"/>
        <v>548.16666666666663</v>
      </c>
      <c r="J184" s="5">
        <f t="shared" si="54"/>
        <v>498.16666666666663</v>
      </c>
      <c r="K184">
        <v>27</v>
      </c>
      <c r="N184" s="119">
        <v>648</v>
      </c>
    </row>
    <row r="185" spans="1:17">
      <c r="A185" s="80" t="s">
        <v>790</v>
      </c>
      <c r="B185" s="4">
        <v>8</v>
      </c>
      <c r="C185" s="4">
        <v>45</v>
      </c>
      <c r="D185" s="4">
        <v>45</v>
      </c>
      <c r="E185" s="4">
        <v>1</v>
      </c>
      <c r="F185" s="4">
        <v>50</v>
      </c>
      <c r="G185" s="10">
        <f t="shared" si="51"/>
        <v>8.75</v>
      </c>
      <c r="H185" s="4">
        <v>50</v>
      </c>
      <c r="I185" s="5">
        <f t="shared" si="52"/>
        <v>393.75</v>
      </c>
      <c r="J185" s="5">
        <f t="shared" si="54"/>
        <v>343.75</v>
      </c>
      <c r="K185">
        <v>24</v>
      </c>
      <c r="N185" s="136">
        <f>648+200</f>
        <v>848</v>
      </c>
      <c r="P185" t="s">
        <v>736</v>
      </c>
    </row>
    <row r="186" spans="1:17" ht="16" thickBot="1">
      <c r="A186" s="80" t="s">
        <v>768</v>
      </c>
      <c r="B186" s="4">
        <v>10</v>
      </c>
      <c r="C186" s="4">
        <v>38</v>
      </c>
      <c r="D186" s="4">
        <v>55</v>
      </c>
      <c r="E186" s="4">
        <v>1</v>
      </c>
      <c r="F186" s="4">
        <v>50</v>
      </c>
      <c r="G186" s="10">
        <f t="shared" si="51"/>
        <v>10.633333333333333</v>
      </c>
      <c r="H186" s="4">
        <v>50</v>
      </c>
      <c r="I186" s="5">
        <f t="shared" si="52"/>
        <v>584.83333333333326</v>
      </c>
      <c r="J186" s="5">
        <f t="shared" si="54"/>
        <v>534.83333333333326</v>
      </c>
      <c r="K186">
        <v>27</v>
      </c>
      <c r="N186" s="119">
        <v>522</v>
      </c>
    </row>
    <row r="187" spans="1:17" ht="20" thickBot="1">
      <c r="A187" s="91" t="s">
        <v>751</v>
      </c>
      <c r="B187" s="8">
        <f>SUM(B188:B194)</f>
        <v>37</v>
      </c>
      <c r="C187" s="8">
        <f>SUM(C188:C194)</f>
        <v>161</v>
      </c>
      <c r="D187" s="8">
        <v>45</v>
      </c>
      <c r="E187" s="8">
        <f>SUM(E188:E194)</f>
        <v>7</v>
      </c>
      <c r="F187" s="8">
        <f>SUM(F188:F194)</f>
        <v>350</v>
      </c>
      <c r="G187" s="93">
        <f t="shared" si="51"/>
        <v>39.68333333333333</v>
      </c>
      <c r="H187" s="8">
        <f>SUM(H188:H194)</f>
        <v>200</v>
      </c>
      <c r="I187" s="9">
        <f>SUM(I188:I194)</f>
        <v>1785.75</v>
      </c>
      <c r="J187" s="14">
        <f>SUM(J188:J194)</f>
        <v>1585.75</v>
      </c>
      <c r="K187" s="8">
        <f>SUM(K188:K194)</f>
        <v>88</v>
      </c>
      <c r="L187" s="9">
        <v>0</v>
      </c>
      <c r="M187" s="96">
        <f>J187</f>
        <v>1585.75</v>
      </c>
      <c r="N187" s="102">
        <f>SUM(N188:N194)</f>
        <v>2342</v>
      </c>
      <c r="O187" s="98">
        <f>2417-N187</f>
        <v>75</v>
      </c>
      <c r="P187" s="86"/>
      <c r="Q187" s="86"/>
    </row>
    <row r="188" spans="1:17">
      <c r="A188" s="6">
        <v>46097</v>
      </c>
      <c r="B188" s="4">
        <v>9</v>
      </c>
      <c r="C188" s="4">
        <v>15</v>
      </c>
      <c r="D188" s="4">
        <v>45</v>
      </c>
      <c r="E188" s="4">
        <v>1</v>
      </c>
      <c r="F188" s="4">
        <v>50</v>
      </c>
      <c r="G188" s="10">
        <f t="shared" si="51"/>
        <v>9.25</v>
      </c>
      <c r="H188" s="4">
        <v>50</v>
      </c>
      <c r="I188" s="5">
        <f t="shared" ref="I188:I194" si="55">G188*D188</f>
        <v>416.25</v>
      </c>
      <c r="J188" s="5">
        <f t="shared" ref="J188:J194" si="56">I188-H188</f>
        <v>366.25</v>
      </c>
      <c r="K188">
        <v>20</v>
      </c>
      <c r="N188" s="119">
        <f>280+200</f>
        <v>480</v>
      </c>
      <c r="O188" s="51"/>
    </row>
    <row r="189" spans="1:17">
      <c r="A189" s="6">
        <v>46098</v>
      </c>
      <c r="B189" s="4">
        <v>9</v>
      </c>
      <c r="C189" s="4">
        <v>57</v>
      </c>
      <c r="D189" s="4">
        <v>45</v>
      </c>
      <c r="E189" s="4">
        <v>1</v>
      </c>
      <c r="F189" s="4">
        <v>50</v>
      </c>
      <c r="G189" s="10">
        <f t="shared" si="51"/>
        <v>9.9499999999999993</v>
      </c>
      <c r="H189" s="4">
        <v>50</v>
      </c>
      <c r="I189" s="5">
        <f t="shared" si="55"/>
        <v>447.74999999999994</v>
      </c>
      <c r="J189" s="5">
        <f t="shared" si="56"/>
        <v>397.74999999999994</v>
      </c>
      <c r="K189">
        <v>24</v>
      </c>
      <c r="N189" s="119">
        <v>485</v>
      </c>
    </row>
    <row r="190" spans="1:17">
      <c r="A190" s="6">
        <v>46099</v>
      </c>
      <c r="B190" s="4">
        <v>10</v>
      </c>
      <c r="C190" s="4">
        <v>47</v>
      </c>
      <c r="D190" s="4">
        <v>45</v>
      </c>
      <c r="E190" s="4">
        <v>1</v>
      </c>
      <c r="F190" s="4">
        <v>50</v>
      </c>
      <c r="G190" s="10">
        <f t="shared" si="51"/>
        <v>10.783333333333333</v>
      </c>
      <c r="H190" s="4">
        <v>50</v>
      </c>
      <c r="I190" s="5">
        <f t="shared" si="55"/>
        <v>485.25</v>
      </c>
      <c r="J190" s="5">
        <f t="shared" si="56"/>
        <v>435.25</v>
      </c>
      <c r="K190">
        <v>22</v>
      </c>
      <c r="N190" s="119">
        <v>465</v>
      </c>
      <c r="Q190" t="s">
        <v>64</v>
      </c>
    </row>
    <row r="191" spans="1:17">
      <c r="A191" s="6">
        <v>46100</v>
      </c>
      <c r="B191" s="4">
        <v>9</v>
      </c>
      <c r="C191" s="4">
        <v>42</v>
      </c>
      <c r="D191" s="4">
        <v>45</v>
      </c>
      <c r="E191" s="4">
        <v>1</v>
      </c>
      <c r="F191" s="4">
        <v>50</v>
      </c>
      <c r="G191" s="10">
        <f t="shared" si="51"/>
        <v>9.6999999999999993</v>
      </c>
      <c r="H191" s="4">
        <v>50</v>
      </c>
      <c r="I191" s="5">
        <f t="shared" si="55"/>
        <v>436.49999999999994</v>
      </c>
      <c r="J191" s="5">
        <f t="shared" si="56"/>
        <v>386.49999999999994</v>
      </c>
      <c r="K191">
        <v>22</v>
      </c>
      <c r="N191" s="119">
        <v>412</v>
      </c>
    </row>
    <row r="192" spans="1:17">
      <c r="A192" s="6">
        <v>46101</v>
      </c>
      <c r="B192" s="4">
        <v>0</v>
      </c>
      <c r="C192" s="4">
        <v>0</v>
      </c>
      <c r="D192" s="4">
        <v>45</v>
      </c>
      <c r="E192" s="4">
        <v>1</v>
      </c>
      <c r="F192" s="4">
        <v>50</v>
      </c>
      <c r="G192" s="10">
        <f t="shared" si="51"/>
        <v>0</v>
      </c>
      <c r="H192" s="4">
        <v>0</v>
      </c>
      <c r="I192" s="5">
        <f t="shared" si="55"/>
        <v>0</v>
      </c>
      <c r="J192" s="5">
        <f t="shared" si="56"/>
        <v>0</v>
      </c>
      <c r="K192">
        <v>0</v>
      </c>
      <c r="N192" s="136">
        <v>500</v>
      </c>
    </row>
    <row r="193" spans="1:17">
      <c r="A193" s="6">
        <v>46102</v>
      </c>
      <c r="B193" s="4">
        <v>0</v>
      </c>
      <c r="C193" s="4">
        <v>0</v>
      </c>
      <c r="D193" s="4">
        <v>45</v>
      </c>
      <c r="E193" s="4">
        <v>1</v>
      </c>
      <c r="F193" s="4">
        <v>50</v>
      </c>
      <c r="G193" s="10">
        <f t="shared" si="51"/>
        <v>0</v>
      </c>
      <c r="H193" s="4">
        <v>0</v>
      </c>
      <c r="I193" s="5">
        <f t="shared" si="55"/>
        <v>0</v>
      </c>
      <c r="J193" s="5">
        <f t="shared" si="56"/>
        <v>0</v>
      </c>
      <c r="K193">
        <v>0</v>
      </c>
      <c r="N193" s="119">
        <v>0</v>
      </c>
    </row>
    <row r="194" spans="1:17" ht="16" thickBot="1">
      <c r="A194" s="6">
        <v>46103</v>
      </c>
      <c r="B194" s="4">
        <v>0</v>
      </c>
      <c r="C194" s="4">
        <v>0</v>
      </c>
      <c r="D194" s="4">
        <v>45</v>
      </c>
      <c r="E194" s="4">
        <v>1</v>
      </c>
      <c r="F194" s="4">
        <v>50</v>
      </c>
      <c r="G194" s="10">
        <f t="shared" si="51"/>
        <v>0</v>
      </c>
      <c r="H194" s="4">
        <v>0</v>
      </c>
      <c r="I194" s="5">
        <f t="shared" si="55"/>
        <v>0</v>
      </c>
      <c r="J194" s="5">
        <f t="shared" si="56"/>
        <v>0</v>
      </c>
      <c r="K194">
        <v>0</v>
      </c>
      <c r="N194" s="119">
        <v>0</v>
      </c>
    </row>
    <row r="195" spans="1:17" s="86" customFormat="1" ht="20" thickBot="1">
      <c r="A195" s="91" t="s">
        <v>450</v>
      </c>
      <c r="B195" s="8">
        <f>SUM(B196:B202)</f>
        <v>0</v>
      </c>
      <c r="C195" s="8">
        <f>SUM(C196:C202)</f>
        <v>0</v>
      </c>
      <c r="D195" s="8">
        <f>SUM(D196)</f>
        <v>45</v>
      </c>
      <c r="E195" s="8">
        <f>SUM(E196:E202)</f>
        <v>7</v>
      </c>
      <c r="F195" s="8">
        <f>SUM(F196:F202)</f>
        <v>350</v>
      </c>
      <c r="G195" s="93">
        <f t="shared" si="51"/>
        <v>0</v>
      </c>
      <c r="H195" s="8">
        <f>SUM(H196:H202)</f>
        <v>0</v>
      </c>
      <c r="I195" s="9">
        <f>SUM(I196:I199)</f>
        <v>0</v>
      </c>
      <c r="J195" s="14">
        <f>SUM(J196:J199)</f>
        <v>0</v>
      </c>
      <c r="K195" s="8">
        <f>SUM(K196:K202)</f>
        <v>0</v>
      </c>
      <c r="L195" s="9">
        <v>0</v>
      </c>
      <c r="M195" s="96">
        <f>J195</f>
        <v>0</v>
      </c>
      <c r="N195" s="102">
        <f>SUM(N196:N199)</f>
        <v>0</v>
      </c>
      <c r="O195" s="151">
        <v>0</v>
      </c>
    </row>
    <row r="196" spans="1:17">
      <c r="A196" s="6">
        <v>46097</v>
      </c>
      <c r="B196" s="4">
        <v>0</v>
      </c>
      <c r="C196" s="4">
        <v>0</v>
      </c>
      <c r="D196" s="4">
        <v>45</v>
      </c>
      <c r="E196" s="4">
        <v>1</v>
      </c>
      <c r="F196" s="4">
        <v>50</v>
      </c>
      <c r="G196" s="10">
        <f t="shared" si="51"/>
        <v>0</v>
      </c>
      <c r="H196" s="4">
        <v>0</v>
      </c>
      <c r="I196" s="5">
        <f t="shared" ref="I196:I201" si="57">G196*D196</f>
        <v>0</v>
      </c>
      <c r="J196" s="5">
        <f>I196-H196</f>
        <v>0</v>
      </c>
      <c r="K196">
        <v>0</v>
      </c>
      <c r="N196" s="119">
        <v>0</v>
      </c>
      <c r="O196" s="51"/>
    </row>
    <row r="197" spans="1:17">
      <c r="A197" s="6">
        <v>46098</v>
      </c>
      <c r="B197" s="4">
        <v>0</v>
      </c>
      <c r="C197" s="4">
        <v>0</v>
      </c>
      <c r="D197" s="4">
        <v>45</v>
      </c>
      <c r="E197" s="4">
        <v>1</v>
      </c>
      <c r="F197" s="4">
        <v>50</v>
      </c>
      <c r="G197" s="10">
        <v>0</v>
      </c>
      <c r="H197" s="4">
        <v>0</v>
      </c>
      <c r="I197" s="5">
        <f t="shared" si="57"/>
        <v>0</v>
      </c>
      <c r="J197" s="5">
        <f>I197-H197</f>
        <v>0</v>
      </c>
      <c r="K197">
        <v>0</v>
      </c>
      <c r="N197" s="119">
        <v>0</v>
      </c>
    </row>
    <row r="198" spans="1:17">
      <c r="A198" s="6">
        <v>46099</v>
      </c>
      <c r="B198" s="4">
        <v>0</v>
      </c>
      <c r="C198" s="4">
        <v>0</v>
      </c>
      <c r="D198" s="4">
        <v>45</v>
      </c>
      <c r="E198" s="4">
        <v>1</v>
      </c>
      <c r="F198" s="4">
        <v>50</v>
      </c>
      <c r="G198" s="10">
        <f>B198+C198/60</f>
        <v>0</v>
      </c>
      <c r="H198" s="4">
        <v>0</v>
      </c>
      <c r="I198" s="5">
        <f t="shared" si="57"/>
        <v>0</v>
      </c>
      <c r="J198" s="5">
        <v>0</v>
      </c>
      <c r="K198">
        <v>0</v>
      </c>
      <c r="N198" s="136">
        <v>0</v>
      </c>
      <c r="Q198" t="s">
        <v>64</v>
      </c>
    </row>
    <row r="199" spans="1:17">
      <c r="A199" s="6">
        <v>46100</v>
      </c>
      <c r="B199" s="4">
        <v>0</v>
      </c>
      <c r="C199" s="4">
        <v>0</v>
      </c>
      <c r="D199" s="4">
        <v>45</v>
      </c>
      <c r="E199" s="4">
        <v>1</v>
      </c>
      <c r="F199" s="4">
        <v>50</v>
      </c>
      <c r="G199" s="10">
        <f>B199+C199/60</f>
        <v>0</v>
      </c>
      <c r="H199" s="4">
        <v>0</v>
      </c>
      <c r="I199" s="5">
        <f t="shared" si="57"/>
        <v>0</v>
      </c>
      <c r="J199" s="5">
        <v>0</v>
      </c>
      <c r="K199">
        <v>0</v>
      </c>
      <c r="N199" s="119">
        <v>0</v>
      </c>
    </row>
    <row r="200" spans="1:17">
      <c r="A200" s="6">
        <v>46101</v>
      </c>
      <c r="B200" s="4">
        <v>0</v>
      </c>
      <c r="C200" s="4">
        <v>0</v>
      </c>
      <c r="D200" s="4">
        <v>45</v>
      </c>
      <c r="E200" s="4">
        <v>1</v>
      </c>
      <c r="F200" s="4">
        <v>50</v>
      </c>
      <c r="G200" s="10">
        <f>B200+C200/60</f>
        <v>0</v>
      </c>
      <c r="H200" s="4">
        <v>0</v>
      </c>
      <c r="I200" s="5">
        <f t="shared" si="57"/>
        <v>0</v>
      </c>
      <c r="J200" s="5">
        <f>I200-H200</f>
        <v>0</v>
      </c>
      <c r="K200">
        <v>0</v>
      </c>
      <c r="N200" s="119">
        <v>0</v>
      </c>
    </row>
    <row r="201" spans="1:17">
      <c r="A201" s="6">
        <v>46102</v>
      </c>
      <c r="B201" s="4">
        <v>0</v>
      </c>
      <c r="C201" s="4">
        <v>0</v>
      </c>
      <c r="D201" s="4">
        <v>45</v>
      </c>
      <c r="E201" s="4">
        <v>1</v>
      </c>
      <c r="F201" s="4">
        <v>50</v>
      </c>
      <c r="G201" s="10">
        <f>B201+C201/60</f>
        <v>0</v>
      </c>
      <c r="H201" s="4">
        <v>0</v>
      </c>
      <c r="I201" s="5">
        <f t="shared" si="57"/>
        <v>0</v>
      </c>
      <c r="J201" s="5">
        <v>0</v>
      </c>
      <c r="K201">
        <v>0</v>
      </c>
      <c r="N201" s="136">
        <v>0</v>
      </c>
    </row>
    <row r="202" spans="1:17" ht="16" thickBot="1">
      <c r="A202" s="6">
        <v>46103</v>
      </c>
      <c r="B202" s="4">
        <v>0</v>
      </c>
      <c r="C202" s="4">
        <v>0</v>
      </c>
      <c r="D202" s="4">
        <v>45</v>
      </c>
      <c r="E202" s="4">
        <v>1</v>
      </c>
      <c r="F202" s="4">
        <v>50</v>
      </c>
      <c r="G202" s="10">
        <v>0</v>
      </c>
      <c r="H202" s="4">
        <v>0</v>
      </c>
      <c r="I202" s="5">
        <v>0</v>
      </c>
      <c r="J202" s="5">
        <v>0</v>
      </c>
      <c r="K202">
        <v>0</v>
      </c>
      <c r="N202" s="119">
        <v>0</v>
      </c>
    </row>
    <row r="203" spans="1:17" s="86" customFormat="1" ht="20" thickBot="1">
      <c r="A203" s="91" t="s">
        <v>452</v>
      </c>
      <c r="B203" s="8">
        <f>SUM(B204:B210)</f>
        <v>0</v>
      </c>
      <c r="C203" s="8">
        <f>SUM(C204:C210)</f>
        <v>0</v>
      </c>
      <c r="D203" s="8">
        <f>SUM(D204)</f>
        <v>45</v>
      </c>
      <c r="E203" s="8">
        <f>SUM(E204:E210)</f>
        <v>7</v>
      </c>
      <c r="F203" s="8">
        <f>SUM(F204:F210)</f>
        <v>350</v>
      </c>
      <c r="G203" s="93">
        <f t="shared" ref="G203:G210" si="58">B203+C203/60</f>
        <v>0</v>
      </c>
      <c r="H203" s="8">
        <f>SUM(H204:H210)</f>
        <v>0</v>
      </c>
      <c r="I203" s="9">
        <f>SUM(I204:I210)</f>
        <v>0</v>
      </c>
      <c r="J203" s="14">
        <f>SUM(J204:J210)</f>
        <v>0</v>
      </c>
      <c r="K203" s="8">
        <f>SUM(K204:K210)</f>
        <v>0</v>
      </c>
      <c r="L203" s="9">
        <v>0</v>
      </c>
      <c r="M203" s="96">
        <f>J203</f>
        <v>0</v>
      </c>
      <c r="N203" s="102">
        <f>SUM(N204:N210)</f>
        <v>0</v>
      </c>
      <c r="O203" s="98">
        <f>-N203</f>
        <v>0</v>
      </c>
    </row>
    <row r="204" spans="1:17">
      <c r="A204" s="6">
        <v>46097</v>
      </c>
      <c r="B204" s="4">
        <v>0</v>
      </c>
      <c r="C204" s="4">
        <v>0</v>
      </c>
      <c r="D204" s="4">
        <v>45</v>
      </c>
      <c r="E204" s="4">
        <v>1</v>
      </c>
      <c r="F204" s="4">
        <v>50</v>
      </c>
      <c r="G204" s="10">
        <f t="shared" si="58"/>
        <v>0</v>
      </c>
      <c r="H204" s="4">
        <v>0</v>
      </c>
      <c r="I204" s="5">
        <f t="shared" ref="I204:I210" si="59">G204*D204</f>
        <v>0</v>
      </c>
      <c r="J204" s="5">
        <f t="shared" ref="J204:J210" si="60">I204-H204</f>
        <v>0</v>
      </c>
      <c r="K204">
        <v>0</v>
      </c>
      <c r="N204" s="135">
        <v>0</v>
      </c>
      <c r="O204" s="51"/>
    </row>
    <row r="205" spans="1:17">
      <c r="A205" s="6">
        <v>46098</v>
      </c>
      <c r="B205" s="4">
        <v>0</v>
      </c>
      <c r="C205" s="4">
        <v>0</v>
      </c>
      <c r="D205" s="4">
        <v>45</v>
      </c>
      <c r="E205" s="4">
        <v>1</v>
      </c>
      <c r="F205" s="4">
        <v>50</v>
      </c>
      <c r="G205" s="10">
        <f t="shared" si="58"/>
        <v>0</v>
      </c>
      <c r="H205" s="4">
        <v>0</v>
      </c>
      <c r="I205" s="5">
        <f t="shared" si="59"/>
        <v>0</v>
      </c>
      <c r="J205" s="5">
        <f t="shared" si="60"/>
        <v>0</v>
      </c>
      <c r="K205">
        <v>0</v>
      </c>
      <c r="N205" s="51">
        <v>0</v>
      </c>
    </row>
    <row r="206" spans="1:17">
      <c r="A206" s="6">
        <v>46099</v>
      </c>
      <c r="B206" s="4">
        <v>0</v>
      </c>
      <c r="C206" s="4">
        <v>0</v>
      </c>
      <c r="D206" s="4">
        <v>45</v>
      </c>
      <c r="E206" s="4">
        <v>1</v>
      </c>
      <c r="F206" s="4">
        <v>50</v>
      </c>
      <c r="G206" s="10">
        <f t="shared" si="58"/>
        <v>0</v>
      </c>
      <c r="H206" s="4">
        <v>0</v>
      </c>
      <c r="I206" s="5">
        <f t="shared" si="59"/>
        <v>0</v>
      </c>
      <c r="J206" s="5">
        <f t="shared" si="60"/>
        <v>0</v>
      </c>
      <c r="K206">
        <v>0</v>
      </c>
      <c r="N206" s="51">
        <v>0</v>
      </c>
      <c r="Q206" t="s">
        <v>64</v>
      </c>
    </row>
    <row r="207" spans="1:17">
      <c r="A207" s="6">
        <v>46100</v>
      </c>
      <c r="B207" s="4">
        <v>0</v>
      </c>
      <c r="C207" s="4">
        <v>0</v>
      </c>
      <c r="D207" s="4">
        <v>45</v>
      </c>
      <c r="E207" s="4">
        <v>1</v>
      </c>
      <c r="F207" s="4">
        <v>50</v>
      </c>
      <c r="G207" s="10">
        <f t="shared" si="58"/>
        <v>0</v>
      </c>
      <c r="H207" s="4">
        <v>0</v>
      </c>
      <c r="I207" s="5">
        <f t="shared" si="59"/>
        <v>0</v>
      </c>
      <c r="J207" s="5">
        <f t="shared" si="60"/>
        <v>0</v>
      </c>
      <c r="K207">
        <v>0</v>
      </c>
      <c r="N207" s="51">
        <v>0</v>
      </c>
    </row>
    <row r="208" spans="1:17">
      <c r="A208" s="6">
        <v>46101</v>
      </c>
      <c r="B208" s="4">
        <v>0</v>
      </c>
      <c r="C208" s="4">
        <v>0</v>
      </c>
      <c r="D208" s="4">
        <v>45</v>
      </c>
      <c r="E208" s="4">
        <v>1</v>
      </c>
      <c r="F208" s="4">
        <v>50</v>
      </c>
      <c r="G208" s="10">
        <f t="shared" si="58"/>
        <v>0</v>
      </c>
      <c r="H208" s="4">
        <v>0</v>
      </c>
      <c r="I208" s="5">
        <f t="shared" si="59"/>
        <v>0</v>
      </c>
      <c r="J208" s="5">
        <f t="shared" si="60"/>
        <v>0</v>
      </c>
      <c r="K208">
        <v>0</v>
      </c>
      <c r="N208" s="51">
        <v>0</v>
      </c>
    </row>
    <row r="209" spans="1:15">
      <c r="A209" s="6">
        <v>46102</v>
      </c>
      <c r="B209" s="4">
        <v>0</v>
      </c>
      <c r="C209" s="4">
        <v>0</v>
      </c>
      <c r="D209" s="4">
        <v>45</v>
      </c>
      <c r="E209" s="4">
        <v>1</v>
      </c>
      <c r="F209" s="4">
        <v>50</v>
      </c>
      <c r="G209" s="10">
        <f t="shared" si="58"/>
        <v>0</v>
      </c>
      <c r="H209" s="4">
        <v>0</v>
      </c>
      <c r="I209" s="5">
        <f t="shared" si="59"/>
        <v>0</v>
      </c>
      <c r="J209" s="5">
        <f t="shared" si="60"/>
        <v>0</v>
      </c>
      <c r="K209">
        <v>0</v>
      </c>
      <c r="N209" s="51">
        <v>0</v>
      </c>
    </row>
    <row r="210" spans="1:15">
      <c r="A210" s="6">
        <v>46103</v>
      </c>
      <c r="B210" s="4">
        <v>0</v>
      </c>
      <c r="C210" s="4">
        <v>0</v>
      </c>
      <c r="D210" s="4">
        <v>45</v>
      </c>
      <c r="E210" s="4">
        <v>1</v>
      </c>
      <c r="F210" s="4">
        <v>50</v>
      </c>
      <c r="G210" s="10">
        <f t="shared" si="58"/>
        <v>0</v>
      </c>
      <c r="H210" s="4">
        <v>0</v>
      </c>
      <c r="I210" s="5">
        <f t="shared" si="59"/>
        <v>0</v>
      </c>
      <c r="J210" s="5">
        <f t="shared" si="60"/>
        <v>0</v>
      </c>
      <c r="K210">
        <v>0</v>
      </c>
      <c r="N210" s="135">
        <v>0</v>
      </c>
    </row>
    <row r="211" spans="1:15">
      <c r="A211" s="6"/>
      <c r="G211" s="133"/>
      <c r="H211" s="131"/>
      <c r="I211" s="132"/>
      <c r="J211" s="132"/>
      <c r="N211" s="136"/>
    </row>
    <row r="212" spans="1:15" ht="33" customHeight="1" thickBot="1">
      <c r="A212" t="s">
        <v>17</v>
      </c>
      <c r="H212" s="121">
        <f>H3+H11+H19+H27+H35+H43+H51+H59+H67+H75+H83+H91+H99+H107+H115+H123+H131+H139+H147+H155+H163+H171+H179+H187</f>
        <v>6608.2000000000007</v>
      </c>
      <c r="I212" s="121">
        <f t="shared" ref="I212:O212" si="61">I3+I11+I19+I27+I35+I43+I51+I59+I67+I75+I83+I91+I99+I107+I115+I123+I131+I139+I147+I155+I163+I171+I179+I187</f>
        <v>51281.833333333336</v>
      </c>
      <c r="J212" s="121">
        <f t="shared" si="61"/>
        <v>44673.633333333346</v>
      </c>
      <c r="K212" s="122">
        <f t="shared" si="61"/>
        <v>2637</v>
      </c>
      <c r="L212" s="121">
        <f t="shared" si="61"/>
        <v>600</v>
      </c>
      <c r="M212" s="121">
        <f t="shared" si="61"/>
        <v>45273.633333333346</v>
      </c>
      <c r="N212" s="121">
        <f t="shared" si="61"/>
        <v>69299.299999999988</v>
      </c>
      <c r="O212" s="121">
        <f t="shared" si="61"/>
        <v>1435.7000000000003</v>
      </c>
    </row>
    <row r="213" spans="1:15" ht="16" thickTop="1"/>
  </sheetData>
  <pageMargins left="0.7" right="0.7" top="0.75" bottom="0.75" header="0.3" footer="0.3"/>
  <ignoredErrors>
    <ignoredError sqref="A180:A184" twoDigitTextYear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935E-1E5C-1E45-8D01-E18362530682}">
  <dimension ref="A1:Q213"/>
  <sheetViews>
    <sheetView workbookViewId="0">
      <pane xSplit="1" ySplit="1" topLeftCell="B6" activePane="bottomRight" state="frozen"/>
      <selection pane="topRight" activeCell="B1" sqref="B1"/>
      <selection pane="bottomLeft" activeCell="A2" sqref="A2"/>
      <selection pane="bottomRight" activeCell="G212" sqref="G212"/>
    </sheetView>
  </sheetViews>
  <sheetFormatPr baseColWidth="10" defaultColWidth="8.6640625" defaultRowHeight="15"/>
  <cols>
    <col min="1" max="1" width="27.6640625" bestFit="1" customWidth="1"/>
    <col min="3" max="3" width="13.33203125" customWidth="1"/>
    <col min="4" max="4" width="17.6640625" customWidth="1"/>
    <col min="6" max="6" width="16.6640625" customWidth="1"/>
    <col min="7" max="7" width="19" customWidth="1"/>
    <col min="8" max="8" width="18" customWidth="1"/>
    <col min="9" max="9" width="20.5" customWidth="1"/>
    <col min="10" max="10" width="17.33203125" customWidth="1"/>
    <col min="11" max="12" width="11.6640625" bestFit="1" customWidth="1"/>
    <col min="13" max="13" width="17" bestFit="1" customWidth="1"/>
    <col min="14" max="14" width="15.33203125" bestFit="1" customWidth="1"/>
    <col min="15" max="15" width="22.6640625" bestFit="1" customWidth="1"/>
    <col min="16" max="16" width="175.5" customWidth="1"/>
  </cols>
  <sheetData>
    <row r="1" spans="1:16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6" ht="20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6" s="86" customFormat="1" ht="20" thickBot="1">
      <c r="A3" s="91" t="s">
        <v>453</v>
      </c>
      <c r="B3" s="8">
        <f>SUM(B4:B10)</f>
        <v>35</v>
      </c>
      <c r="C3" s="8">
        <f>SUM(C4:C8)</f>
        <v>48</v>
      </c>
      <c r="D3" s="8">
        <f>SUM(D4)</f>
        <v>45</v>
      </c>
      <c r="E3" s="8">
        <f>SUM(E4:E10)</f>
        <v>6</v>
      </c>
      <c r="F3" s="8">
        <f>SUM(F4:F10)</f>
        <v>300</v>
      </c>
      <c r="G3" s="93">
        <f t="shared" ref="G3" si="0">B3+C3/60</f>
        <v>35.799999999999997</v>
      </c>
      <c r="H3" s="8">
        <f>SUM(H4:H10)</f>
        <v>200</v>
      </c>
      <c r="I3" s="9">
        <f>SUM(I4:I10)</f>
        <v>1810.4166666666667</v>
      </c>
      <c r="J3" s="14">
        <f>SUM(J4:J10)</f>
        <v>1610.4166666666667</v>
      </c>
      <c r="K3" s="8">
        <f>SUM(K4:K10)</f>
        <v>98</v>
      </c>
      <c r="L3" s="159">
        <v>0</v>
      </c>
      <c r="M3" s="160">
        <f>J3+L3</f>
        <v>1610.4166666666667</v>
      </c>
      <c r="N3" s="153">
        <f>SUM(N4:N10)</f>
        <v>3181</v>
      </c>
      <c r="O3" s="161">
        <f>3176-N3</f>
        <v>-5</v>
      </c>
    </row>
    <row r="4" spans="1:16">
      <c r="A4" s="6">
        <v>46104</v>
      </c>
      <c r="B4" s="4">
        <v>0</v>
      </c>
      <c r="C4" s="4">
        <v>0</v>
      </c>
      <c r="D4" s="4">
        <v>45</v>
      </c>
      <c r="E4" s="4">
        <v>1</v>
      </c>
      <c r="F4" s="4">
        <v>50</v>
      </c>
      <c r="G4" s="10">
        <v>0</v>
      </c>
      <c r="H4" s="4">
        <v>0</v>
      </c>
      <c r="I4" s="5">
        <v>0</v>
      </c>
      <c r="J4" s="5">
        <f>I4-H4</f>
        <v>0</v>
      </c>
      <c r="K4">
        <v>0</v>
      </c>
      <c r="N4" s="83">
        <v>0</v>
      </c>
      <c r="O4" s="162"/>
    </row>
    <row r="5" spans="1:16">
      <c r="A5" s="6">
        <v>46105</v>
      </c>
      <c r="B5" s="4">
        <v>10</v>
      </c>
      <c r="C5" s="4">
        <v>7</v>
      </c>
      <c r="D5" s="4">
        <v>55</v>
      </c>
      <c r="E5" s="4">
        <v>1</v>
      </c>
      <c r="F5" s="4">
        <v>50</v>
      </c>
      <c r="G5" s="10">
        <f t="shared" ref="G5:G10" si="1">B5+C5/60</f>
        <v>10.116666666666667</v>
      </c>
      <c r="H5" s="4">
        <v>50</v>
      </c>
      <c r="I5" s="5">
        <f t="shared" ref="I5:I10" si="2">G5*D5</f>
        <v>556.41666666666674</v>
      </c>
      <c r="J5" s="5">
        <f>I5-H5</f>
        <v>506.41666666666674</v>
      </c>
      <c r="K5">
        <v>27</v>
      </c>
      <c r="N5" s="83">
        <v>450</v>
      </c>
      <c r="O5" s="162"/>
    </row>
    <row r="6" spans="1:16">
      <c r="A6" s="6">
        <v>46106</v>
      </c>
      <c r="B6" s="4">
        <v>0</v>
      </c>
      <c r="C6" s="4">
        <v>0</v>
      </c>
      <c r="D6" s="4">
        <v>45</v>
      </c>
      <c r="E6" s="4">
        <v>0</v>
      </c>
      <c r="F6" s="4">
        <v>0</v>
      </c>
      <c r="G6" s="10">
        <f t="shared" si="1"/>
        <v>0</v>
      </c>
      <c r="H6" s="4">
        <v>0</v>
      </c>
      <c r="I6" s="5">
        <f t="shared" si="2"/>
        <v>0</v>
      </c>
      <c r="J6" s="5">
        <f>I6-H6</f>
        <v>0</v>
      </c>
      <c r="K6">
        <v>0</v>
      </c>
      <c r="N6" s="83">
        <v>0</v>
      </c>
      <c r="O6" s="162"/>
    </row>
    <row r="7" spans="1:16">
      <c r="A7" s="6">
        <v>46107</v>
      </c>
      <c r="B7" s="4">
        <v>8</v>
      </c>
      <c r="C7" s="4">
        <v>35</v>
      </c>
      <c r="D7" s="4">
        <v>45</v>
      </c>
      <c r="E7" s="4">
        <v>1</v>
      </c>
      <c r="F7" s="4">
        <v>50</v>
      </c>
      <c r="G7" s="10">
        <f t="shared" si="1"/>
        <v>8.5833333333333339</v>
      </c>
      <c r="H7" s="4">
        <v>50</v>
      </c>
      <c r="I7" s="5">
        <f t="shared" si="2"/>
        <v>386.25</v>
      </c>
      <c r="J7" s="5">
        <f>I7-H7</f>
        <v>336.25</v>
      </c>
      <c r="K7">
        <v>22</v>
      </c>
      <c r="N7" s="83">
        <v>370</v>
      </c>
      <c r="O7" s="162"/>
    </row>
    <row r="8" spans="1:16">
      <c r="A8" s="6">
        <v>46108</v>
      </c>
      <c r="B8" s="4">
        <v>8</v>
      </c>
      <c r="C8" s="4">
        <v>6</v>
      </c>
      <c r="D8" s="4">
        <v>45</v>
      </c>
      <c r="E8" s="4">
        <v>1</v>
      </c>
      <c r="F8" s="4">
        <v>50</v>
      </c>
      <c r="G8" s="10">
        <f t="shared" si="1"/>
        <v>8.1</v>
      </c>
      <c r="H8" s="4">
        <v>50</v>
      </c>
      <c r="I8" s="5">
        <f t="shared" si="2"/>
        <v>364.5</v>
      </c>
      <c r="J8" s="5">
        <f>I8-H8</f>
        <v>314.5</v>
      </c>
      <c r="K8">
        <v>22</v>
      </c>
      <c r="N8" s="83">
        <v>488</v>
      </c>
      <c r="O8" s="162"/>
    </row>
    <row r="9" spans="1:16">
      <c r="A9" s="6">
        <v>46109</v>
      </c>
      <c r="B9" s="4">
        <v>9</v>
      </c>
      <c r="C9" s="4">
        <v>9</v>
      </c>
      <c r="D9" s="4">
        <v>55</v>
      </c>
      <c r="E9" s="4">
        <v>1</v>
      </c>
      <c r="F9" s="4">
        <v>50</v>
      </c>
      <c r="G9" s="10">
        <f t="shared" si="1"/>
        <v>9.15</v>
      </c>
      <c r="H9" s="4">
        <v>50</v>
      </c>
      <c r="I9" s="5">
        <f t="shared" si="2"/>
        <v>503.25</v>
      </c>
      <c r="J9" s="5">
        <f t="shared" ref="J9:J10" si="3">I9-H9</f>
        <v>453.25</v>
      </c>
      <c r="K9">
        <v>27</v>
      </c>
      <c r="N9" s="83">
        <v>843</v>
      </c>
      <c r="O9" s="162"/>
    </row>
    <row r="10" spans="1:16" ht="16" thickBot="1">
      <c r="A10" s="6">
        <v>46110</v>
      </c>
      <c r="B10" s="4">
        <v>0</v>
      </c>
      <c r="C10" s="4">
        <v>0</v>
      </c>
      <c r="D10" s="4">
        <v>45</v>
      </c>
      <c r="E10" s="4">
        <v>1</v>
      </c>
      <c r="F10" s="4">
        <v>50</v>
      </c>
      <c r="G10" s="10">
        <f t="shared" si="1"/>
        <v>0</v>
      </c>
      <c r="H10" s="4">
        <v>0</v>
      </c>
      <c r="I10" s="5">
        <f t="shared" si="2"/>
        <v>0</v>
      </c>
      <c r="J10" s="5">
        <f t="shared" si="3"/>
        <v>0</v>
      </c>
      <c r="K10">
        <v>0</v>
      </c>
      <c r="N10" s="83">
        <f>880+150</f>
        <v>1030</v>
      </c>
      <c r="O10" s="162"/>
    </row>
    <row r="11" spans="1:16" s="86" customFormat="1" ht="20" thickBot="1">
      <c r="A11" s="91" t="s">
        <v>463</v>
      </c>
      <c r="B11" s="92">
        <f>SUM(B12:B18)</f>
        <v>60</v>
      </c>
      <c r="C11" s="92">
        <f>SUM(C12:C18)</f>
        <v>193</v>
      </c>
      <c r="D11" s="92">
        <f>SUM(D12)</f>
        <v>55</v>
      </c>
      <c r="E11" s="92">
        <f>SUM(E12:E18)</f>
        <v>6</v>
      </c>
      <c r="F11" s="92">
        <f>SUM(F12:F18)</f>
        <v>300</v>
      </c>
      <c r="G11" s="93">
        <f>B11+C11/60</f>
        <v>63.216666666666669</v>
      </c>
      <c r="H11" s="92">
        <f>SUM(H12:H18)</f>
        <v>300</v>
      </c>
      <c r="I11" s="94">
        <f>SUM(I12:I18)</f>
        <v>3477.083333333333</v>
      </c>
      <c r="J11" s="95">
        <f>SUM(J12:J18)</f>
        <v>3177.083333333333</v>
      </c>
      <c r="K11" s="8">
        <f>SUM(K12:K18)</f>
        <v>168</v>
      </c>
      <c r="L11" s="159">
        <v>0</v>
      </c>
      <c r="M11" s="160">
        <f>J11+L11</f>
        <v>3177.083333333333</v>
      </c>
      <c r="N11" s="153">
        <f>SUM(N12:N18)</f>
        <v>5797</v>
      </c>
      <c r="O11" s="161">
        <f>5795-N11</f>
        <v>-2</v>
      </c>
    </row>
    <row r="12" spans="1:16">
      <c r="A12" s="6">
        <v>46104</v>
      </c>
      <c r="B12" s="4">
        <v>10</v>
      </c>
      <c r="C12" s="4">
        <v>0</v>
      </c>
      <c r="D12" s="4">
        <v>55</v>
      </c>
      <c r="E12" s="4">
        <v>1</v>
      </c>
      <c r="F12" s="4">
        <v>50</v>
      </c>
      <c r="G12" s="10">
        <f>B12+C12/60</f>
        <v>10</v>
      </c>
      <c r="H12" s="4">
        <v>50</v>
      </c>
      <c r="I12" s="5">
        <f>G12*D12</f>
        <v>550</v>
      </c>
      <c r="J12" s="5">
        <f>I12-H12</f>
        <v>500</v>
      </c>
      <c r="K12">
        <v>27</v>
      </c>
      <c r="M12" t="s">
        <v>26</v>
      </c>
      <c r="N12" s="83">
        <v>908</v>
      </c>
      <c r="O12" s="162"/>
    </row>
    <row r="13" spans="1:16">
      <c r="A13" s="6">
        <v>46105</v>
      </c>
      <c r="B13" s="4">
        <v>10</v>
      </c>
      <c r="C13" s="4">
        <v>36</v>
      </c>
      <c r="D13" s="4">
        <v>45</v>
      </c>
      <c r="E13" s="4">
        <v>1</v>
      </c>
      <c r="F13" s="4">
        <v>50</v>
      </c>
      <c r="G13" s="10">
        <f t="shared" ref="G13:G67" si="4">B13+C13/60</f>
        <v>10.6</v>
      </c>
      <c r="H13" s="4">
        <v>50</v>
      </c>
      <c r="I13" s="5">
        <f>G13*D13</f>
        <v>477</v>
      </c>
      <c r="J13" s="5">
        <f t="shared" ref="J13:J18" si="5">I13-H13</f>
        <v>427</v>
      </c>
      <c r="K13">
        <v>22</v>
      </c>
      <c r="N13" s="83">
        <v>540</v>
      </c>
      <c r="O13" s="162"/>
    </row>
    <row r="14" spans="1:16">
      <c r="A14" s="6">
        <v>46106</v>
      </c>
      <c r="B14" s="4">
        <v>10</v>
      </c>
      <c r="C14" s="4">
        <v>34</v>
      </c>
      <c r="D14" s="4">
        <v>55</v>
      </c>
      <c r="E14" s="4">
        <v>1</v>
      </c>
      <c r="F14" s="4">
        <v>50</v>
      </c>
      <c r="G14" s="10">
        <f t="shared" si="4"/>
        <v>10.566666666666666</v>
      </c>
      <c r="H14" s="4">
        <v>50</v>
      </c>
      <c r="I14" s="5">
        <f t="shared" ref="I14:I18" si="6">G14*D14</f>
        <v>581.16666666666663</v>
      </c>
      <c r="J14" s="5">
        <f t="shared" si="5"/>
        <v>531.16666666666663</v>
      </c>
      <c r="K14">
        <v>27</v>
      </c>
      <c r="N14" s="83">
        <v>675</v>
      </c>
      <c r="O14" s="162"/>
    </row>
    <row r="15" spans="1:16">
      <c r="A15" s="6">
        <v>46107</v>
      </c>
      <c r="B15" s="4">
        <v>10</v>
      </c>
      <c r="C15" s="4">
        <v>43</v>
      </c>
      <c r="D15" s="4">
        <v>55</v>
      </c>
      <c r="E15" s="4">
        <v>1</v>
      </c>
      <c r="F15" s="4">
        <v>50</v>
      </c>
      <c r="G15" s="10">
        <f t="shared" si="4"/>
        <v>10.716666666666667</v>
      </c>
      <c r="H15" s="4">
        <v>50</v>
      </c>
      <c r="I15" s="5">
        <f t="shared" si="6"/>
        <v>589.41666666666663</v>
      </c>
      <c r="J15" s="5">
        <f t="shared" si="5"/>
        <v>539.41666666666663</v>
      </c>
      <c r="K15">
        <v>28</v>
      </c>
      <c r="N15" s="83">
        <v>711</v>
      </c>
      <c r="O15" s="162"/>
    </row>
    <row r="16" spans="1:16">
      <c r="A16" s="6">
        <v>46108</v>
      </c>
      <c r="B16" s="4">
        <v>10</v>
      </c>
      <c r="C16" s="4">
        <v>43</v>
      </c>
      <c r="D16" s="4">
        <v>55</v>
      </c>
      <c r="E16" s="4">
        <v>1</v>
      </c>
      <c r="F16" s="4">
        <v>50</v>
      </c>
      <c r="G16" s="10">
        <f t="shared" si="4"/>
        <v>10.716666666666667</v>
      </c>
      <c r="H16" s="4">
        <v>50</v>
      </c>
      <c r="I16" s="5">
        <f t="shared" si="6"/>
        <v>589.41666666666663</v>
      </c>
      <c r="J16" s="5">
        <f t="shared" si="5"/>
        <v>539.41666666666663</v>
      </c>
      <c r="K16">
        <v>28</v>
      </c>
      <c r="N16" s="83">
        <v>755</v>
      </c>
      <c r="O16" s="162"/>
    </row>
    <row r="17" spans="1:16">
      <c r="A17" s="6">
        <v>46109</v>
      </c>
      <c r="B17" s="4">
        <v>10</v>
      </c>
      <c r="C17" s="4">
        <v>37</v>
      </c>
      <c r="D17" s="4">
        <v>65</v>
      </c>
      <c r="E17" s="4">
        <v>1</v>
      </c>
      <c r="F17" s="4">
        <v>50</v>
      </c>
      <c r="G17" s="10">
        <f t="shared" si="4"/>
        <v>10.616666666666667</v>
      </c>
      <c r="H17" s="4">
        <v>50</v>
      </c>
      <c r="I17" s="5">
        <f t="shared" si="6"/>
        <v>690.08333333333337</v>
      </c>
      <c r="J17" s="5">
        <f t="shared" si="5"/>
        <v>640.08333333333337</v>
      </c>
      <c r="K17">
        <v>36</v>
      </c>
      <c r="N17" s="83">
        <v>913</v>
      </c>
      <c r="O17" s="162"/>
    </row>
    <row r="18" spans="1:16" ht="16" thickBot="1">
      <c r="A18" s="6">
        <v>46110</v>
      </c>
      <c r="B18" s="4">
        <v>0</v>
      </c>
      <c r="C18" s="4">
        <v>0</v>
      </c>
      <c r="D18" s="4">
        <v>45</v>
      </c>
      <c r="E18" s="4">
        <v>0</v>
      </c>
      <c r="F18" s="4">
        <v>0</v>
      </c>
      <c r="G18" s="10">
        <f t="shared" si="4"/>
        <v>0</v>
      </c>
      <c r="H18" s="4">
        <v>0</v>
      </c>
      <c r="I18" s="5">
        <f t="shared" si="6"/>
        <v>0</v>
      </c>
      <c r="J18" s="5">
        <f t="shared" si="5"/>
        <v>0</v>
      </c>
      <c r="K18">
        <v>0</v>
      </c>
      <c r="N18" s="51">
        <v>1295</v>
      </c>
      <c r="O18" s="162"/>
    </row>
    <row r="19" spans="1:16" s="86" customFormat="1" ht="20" thickBot="1">
      <c r="A19" s="91" t="s">
        <v>465</v>
      </c>
      <c r="B19" s="8">
        <f>SUM(B20:B26)</f>
        <v>51</v>
      </c>
      <c r="C19" s="8">
        <f>SUM(C20:C26)</f>
        <v>182</v>
      </c>
      <c r="D19" s="8">
        <f>SUM(D20)</f>
        <v>45</v>
      </c>
      <c r="E19" s="8">
        <f>SUM(E20:E26)</f>
        <v>7</v>
      </c>
      <c r="F19" s="8">
        <f>SUM(F20:F26)</f>
        <v>350</v>
      </c>
      <c r="G19" s="93">
        <f t="shared" si="4"/>
        <v>54.033333333333331</v>
      </c>
      <c r="H19" s="8">
        <f>SUM(H20:H26)</f>
        <v>250</v>
      </c>
      <c r="I19" s="9">
        <f>SUM(I20:I26)</f>
        <v>3403.6666666666665</v>
      </c>
      <c r="J19" s="14">
        <f>SUM(J20:J26)</f>
        <v>3153.6666666666665</v>
      </c>
      <c r="K19" s="8">
        <f>SUM(K20:K26)</f>
        <v>161</v>
      </c>
      <c r="L19" s="159">
        <v>0</v>
      </c>
      <c r="M19" s="160">
        <f>J19+L19</f>
        <v>3153.6666666666665</v>
      </c>
      <c r="N19" s="154">
        <f>SUM(N20:N26)</f>
        <v>5807</v>
      </c>
      <c r="O19" s="161">
        <f>5807-N19</f>
        <v>0</v>
      </c>
    </row>
    <row r="20" spans="1:16">
      <c r="A20" s="6">
        <v>46104</v>
      </c>
      <c r="B20" s="4">
        <v>0</v>
      </c>
      <c r="C20" s="4">
        <v>0</v>
      </c>
      <c r="D20" s="4">
        <v>45</v>
      </c>
      <c r="E20" s="4">
        <v>1</v>
      </c>
      <c r="F20" s="4">
        <v>50</v>
      </c>
      <c r="G20" s="10">
        <f>B20+C20/60</f>
        <v>0</v>
      </c>
      <c r="H20" s="4">
        <v>0</v>
      </c>
      <c r="I20" s="5">
        <f t="shared" ref="I20:I50" si="7">G20*D20</f>
        <v>0</v>
      </c>
      <c r="J20" s="5">
        <f t="shared" ref="J20:J58" si="8">I20-H20</f>
        <v>0</v>
      </c>
      <c r="K20">
        <v>0</v>
      </c>
      <c r="N20" s="83">
        <v>0</v>
      </c>
      <c r="O20" s="162"/>
    </row>
    <row r="21" spans="1:16">
      <c r="A21" s="80" t="s">
        <v>804</v>
      </c>
      <c r="B21" s="4">
        <v>10</v>
      </c>
      <c r="C21" s="4">
        <v>51</v>
      </c>
      <c r="D21" s="4">
        <v>55</v>
      </c>
      <c r="E21" s="4">
        <v>1</v>
      </c>
      <c r="F21" s="4">
        <v>50</v>
      </c>
      <c r="G21" s="10">
        <f t="shared" ref="G21:G26" si="9">B21+C21/60</f>
        <v>10.85</v>
      </c>
      <c r="H21" s="4">
        <v>50</v>
      </c>
      <c r="I21" s="5">
        <f t="shared" si="7"/>
        <v>596.75</v>
      </c>
      <c r="J21" s="5">
        <f t="shared" si="8"/>
        <v>546.75</v>
      </c>
      <c r="K21">
        <v>30</v>
      </c>
      <c r="N21" s="83">
        <v>900</v>
      </c>
      <c r="O21" s="162"/>
    </row>
    <row r="22" spans="1:16">
      <c r="A22" s="80" t="s">
        <v>805</v>
      </c>
      <c r="B22" s="4">
        <v>11</v>
      </c>
      <c r="C22" s="4">
        <v>11</v>
      </c>
      <c r="D22" s="4">
        <v>65</v>
      </c>
      <c r="E22" s="4">
        <v>1</v>
      </c>
      <c r="F22" s="4">
        <v>50</v>
      </c>
      <c r="G22" s="10">
        <f t="shared" si="9"/>
        <v>11.183333333333334</v>
      </c>
      <c r="H22" s="4">
        <v>50</v>
      </c>
      <c r="I22" s="5">
        <f t="shared" si="7"/>
        <v>726.91666666666663</v>
      </c>
      <c r="J22" s="5">
        <f t="shared" si="8"/>
        <v>676.91666666666663</v>
      </c>
      <c r="K22">
        <v>33</v>
      </c>
      <c r="N22" s="83">
        <f>200+700</f>
        <v>900</v>
      </c>
      <c r="O22" s="162"/>
      <c r="P22" t="s">
        <v>743</v>
      </c>
    </row>
    <row r="23" spans="1:16">
      <c r="A23" s="80" t="s">
        <v>806</v>
      </c>
      <c r="B23" s="4">
        <v>10</v>
      </c>
      <c r="C23" s="4">
        <v>35</v>
      </c>
      <c r="D23" s="4">
        <v>65</v>
      </c>
      <c r="E23" s="4">
        <v>1</v>
      </c>
      <c r="F23" s="4">
        <v>50</v>
      </c>
      <c r="G23" s="10">
        <f t="shared" si="9"/>
        <v>10.583333333333334</v>
      </c>
      <c r="H23" s="4">
        <v>50</v>
      </c>
      <c r="I23" s="5">
        <f t="shared" si="7"/>
        <v>687.91666666666674</v>
      </c>
      <c r="J23" s="5">
        <f t="shared" si="8"/>
        <v>637.91666666666674</v>
      </c>
      <c r="K23">
        <v>32</v>
      </c>
      <c r="N23" s="83">
        <v>900</v>
      </c>
      <c r="O23" s="162"/>
    </row>
    <row r="24" spans="1:16">
      <c r="A24" s="80" t="s">
        <v>807</v>
      </c>
      <c r="B24" s="4">
        <v>10</v>
      </c>
      <c r="C24" s="4">
        <v>26</v>
      </c>
      <c r="D24" s="4">
        <v>65</v>
      </c>
      <c r="E24" s="4">
        <v>1</v>
      </c>
      <c r="F24" s="4">
        <v>50</v>
      </c>
      <c r="G24" s="10">
        <f t="shared" si="9"/>
        <v>10.433333333333334</v>
      </c>
      <c r="H24" s="4">
        <v>50</v>
      </c>
      <c r="I24" s="5">
        <f t="shared" si="7"/>
        <v>678.16666666666663</v>
      </c>
      <c r="J24" s="5">
        <f t="shared" si="8"/>
        <v>628.16666666666663</v>
      </c>
      <c r="K24">
        <v>34</v>
      </c>
      <c r="N24" s="83">
        <v>1050</v>
      </c>
      <c r="O24" s="162"/>
    </row>
    <row r="25" spans="1:16">
      <c r="A25" s="80" t="s">
        <v>808</v>
      </c>
      <c r="B25" s="4">
        <v>10</v>
      </c>
      <c r="C25" s="4">
        <v>59</v>
      </c>
      <c r="D25" s="4">
        <v>65</v>
      </c>
      <c r="E25" s="4">
        <v>1</v>
      </c>
      <c r="F25" s="4">
        <v>50</v>
      </c>
      <c r="G25" s="10">
        <f t="shared" si="9"/>
        <v>10.983333333333333</v>
      </c>
      <c r="H25" s="4">
        <v>50</v>
      </c>
      <c r="I25" s="5">
        <f t="shared" si="7"/>
        <v>713.91666666666663</v>
      </c>
      <c r="J25" s="5">
        <f t="shared" si="8"/>
        <v>663.91666666666663</v>
      </c>
      <c r="K25">
        <v>32</v>
      </c>
      <c r="N25" s="83">
        <v>800</v>
      </c>
      <c r="O25" s="162"/>
    </row>
    <row r="26" spans="1:16" ht="16" thickBot="1">
      <c r="A26" s="80" t="s">
        <v>809</v>
      </c>
      <c r="B26" s="4">
        <v>0</v>
      </c>
      <c r="C26" s="4">
        <v>0</v>
      </c>
      <c r="D26" s="4">
        <v>45</v>
      </c>
      <c r="E26" s="4">
        <v>1</v>
      </c>
      <c r="F26" s="4">
        <v>50</v>
      </c>
      <c r="G26" s="10">
        <f t="shared" si="9"/>
        <v>0</v>
      </c>
      <c r="H26" s="4">
        <v>0</v>
      </c>
      <c r="I26" s="5">
        <f t="shared" si="7"/>
        <v>0</v>
      </c>
      <c r="J26" s="5">
        <f t="shared" si="8"/>
        <v>0</v>
      </c>
      <c r="K26">
        <v>0</v>
      </c>
      <c r="N26" s="83">
        <v>1257</v>
      </c>
      <c r="O26" s="162"/>
    </row>
    <row r="27" spans="1:16" s="86" customFormat="1" ht="20" thickBot="1">
      <c r="A27" s="91" t="s">
        <v>468</v>
      </c>
      <c r="B27" s="8">
        <f>SUM(B28:B34)</f>
        <v>52</v>
      </c>
      <c r="C27" s="8">
        <f>SUM(C28:C34)</f>
        <v>163</v>
      </c>
      <c r="D27" s="8">
        <f>SUM(D28)</f>
        <v>45</v>
      </c>
      <c r="E27" s="8">
        <f>SUM(E28:E34)</f>
        <v>6</v>
      </c>
      <c r="F27" s="8">
        <f>SUM(F28:F34)</f>
        <v>300</v>
      </c>
      <c r="G27" s="93">
        <f>B27+C27/60</f>
        <v>54.716666666666669</v>
      </c>
      <c r="H27" s="8">
        <f>SUM(H28:H34)</f>
        <v>300</v>
      </c>
      <c r="I27" s="9">
        <f>SUM(I28:I34)</f>
        <v>3498.5833333333335</v>
      </c>
      <c r="J27" s="14">
        <f>SUM(J28:J34)</f>
        <v>3198.5833333333335</v>
      </c>
      <c r="K27" s="8">
        <f>SUM(K28:K34)</f>
        <v>199</v>
      </c>
      <c r="L27" s="159">
        <v>0</v>
      </c>
      <c r="M27" s="160">
        <f>J27+L27</f>
        <v>3198.5833333333335</v>
      </c>
      <c r="N27" s="154">
        <f>SUM(N28:N34)</f>
        <v>5120</v>
      </c>
      <c r="O27" s="161">
        <f>5186-N27</f>
        <v>66</v>
      </c>
    </row>
    <row r="28" spans="1:16">
      <c r="A28" s="6">
        <v>46104</v>
      </c>
      <c r="B28" s="4">
        <v>2</v>
      </c>
      <c r="C28" s="4">
        <v>54</v>
      </c>
      <c r="D28" s="4">
        <v>45</v>
      </c>
      <c r="E28" s="4">
        <v>1</v>
      </c>
      <c r="F28" s="4">
        <v>50</v>
      </c>
      <c r="G28" s="10">
        <f>B28+C28/60</f>
        <v>2.9</v>
      </c>
      <c r="H28" s="4">
        <v>50</v>
      </c>
      <c r="I28" s="5">
        <f>G28*D28</f>
        <v>130.5</v>
      </c>
      <c r="J28" s="5">
        <f>I28-H28</f>
        <v>80.5</v>
      </c>
      <c r="K28">
        <v>8</v>
      </c>
      <c r="N28" s="83">
        <v>0</v>
      </c>
      <c r="O28" s="162"/>
    </row>
    <row r="29" spans="1:16">
      <c r="A29" s="6">
        <v>46105</v>
      </c>
      <c r="B29" s="4">
        <v>10</v>
      </c>
      <c r="C29" s="4">
        <v>8</v>
      </c>
      <c r="D29" s="4">
        <v>65</v>
      </c>
      <c r="E29" s="4">
        <v>1</v>
      </c>
      <c r="F29" s="4">
        <v>50</v>
      </c>
      <c r="G29" s="10">
        <f t="shared" ref="G29:G34" si="10">B29+C29/60</f>
        <v>10.133333333333333</v>
      </c>
      <c r="H29" s="4">
        <v>50</v>
      </c>
      <c r="I29" s="5">
        <f>G29*D29</f>
        <v>658.66666666666663</v>
      </c>
      <c r="J29" s="5">
        <f>I29-H29</f>
        <v>608.66666666666663</v>
      </c>
      <c r="K29">
        <v>35</v>
      </c>
      <c r="N29" s="83">
        <v>750</v>
      </c>
      <c r="O29" s="162"/>
    </row>
    <row r="30" spans="1:16">
      <c r="A30" s="6">
        <v>46106</v>
      </c>
      <c r="B30" s="4">
        <v>10</v>
      </c>
      <c r="C30" s="4">
        <v>28</v>
      </c>
      <c r="D30" s="4">
        <v>65</v>
      </c>
      <c r="E30" s="4">
        <v>1</v>
      </c>
      <c r="F30" s="4">
        <v>50</v>
      </c>
      <c r="G30" s="10">
        <f t="shared" si="10"/>
        <v>10.466666666666667</v>
      </c>
      <c r="H30" s="4">
        <v>50</v>
      </c>
      <c r="I30" s="5">
        <f t="shared" ref="I30:I34" si="11">G30*D30</f>
        <v>680.33333333333337</v>
      </c>
      <c r="J30" s="5">
        <f t="shared" ref="J30:J34" si="12">I30-H30</f>
        <v>630.33333333333337</v>
      </c>
      <c r="K30">
        <v>41</v>
      </c>
      <c r="N30" s="83">
        <f>190+400</f>
        <v>590</v>
      </c>
      <c r="O30" s="162"/>
      <c r="P30" t="s">
        <v>810</v>
      </c>
    </row>
    <row r="31" spans="1:16">
      <c r="A31" s="6">
        <v>46107</v>
      </c>
      <c r="B31" s="4">
        <v>11</v>
      </c>
      <c r="C31" s="4">
        <v>6</v>
      </c>
      <c r="D31" s="4">
        <v>65</v>
      </c>
      <c r="E31" s="4">
        <v>1</v>
      </c>
      <c r="F31" s="4">
        <v>50</v>
      </c>
      <c r="G31" s="10">
        <f t="shared" si="10"/>
        <v>11.1</v>
      </c>
      <c r="H31" s="4">
        <v>50</v>
      </c>
      <c r="I31" s="5">
        <f t="shared" si="11"/>
        <v>721.5</v>
      </c>
      <c r="J31" s="5">
        <f t="shared" si="12"/>
        <v>671.5</v>
      </c>
      <c r="K31">
        <v>38</v>
      </c>
      <c r="N31" s="83">
        <v>800</v>
      </c>
      <c r="O31" s="162"/>
    </row>
    <row r="32" spans="1:16">
      <c r="A32" s="6">
        <v>46108</v>
      </c>
      <c r="B32" s="4">
        <v>10</v>
      </c>
      <c r="C32" s="4">
        <v>33</v>
      </c>
      <c r="D32" s="4">
        <v>65</v>
      </c>
      <c r="E32" s="4">
        <v>1</v>
      </c>
      <c r="F32" s="7">
        <v>50</v>
      </c>
      <c r="G32" s="10">
        <f t="shared" si="10"/>
        <v>10.55</v>
      </c>
      <c r="H32" s="4">
        <v>50</v>
      </c>
      <c r="I32" s="5">
        <f t="shared" si="11"/>
        <v>685.75</v>
      </c>
      <c r="J32" s="5">
        <f t="shared" si="12"/>
        <v>635.75</v>
      </c>
      <c r="K32">
        <v>41</v>
      </c>
      <c r="N32" s="83">
        <v>1200</v>
      </c>
      <c r="O32" s="162"/>
    </row>
    <row r="33" spans="1:16">
      <c r="A33" s="6">
        <v>46109</v>
      </c>
      <c r="B33" s="4">
        <v>9</v>
      </c>
      <c r="C33" s="4">
        <v>34</v>
      </c>
      <c r="D33" s="4">
        <v>65</v>
      </c>
      <c r="E33" s="4">
        <v>1</v>
      </c>
      <c r="F33" s="4">
        <v>50</v>
      </c>
      <c r="G33" s="10">
        <f>B33+C33/60</f>
        <v>9.5666666666666664</v>
      </c>
      <c r="H33" s="4">
        <v>50</v>
      </c>
      <c r="I33" s="5">
        <f>G33*D33</f>
        <v>621.83333333333337</v>
      </c>
      <c r="J33" s="5">
        <f>I33-H33</f>
        <v>571.83333333333337</v>
      </c>
      <c r="K33">
        <v>36</v>
      </c>
      <c r="N33" s="83">
        <v>780</v>
      </c>
      <c r="O33" s="162"/>
    </row>
    <row r="34" spans="1:16" ht="16" thickBot="1">
      <c r="A34" s="6">
        <v>46110</v>
      </c>
      <c r="B34" s="4">
        <v>0</v>
      </c>
      <c r="C34" s="4">
        <v>0</v>
      </c>
      <c r="D34" s="4">
        <v>45</v>
      </c>
      <c r="E34" s="4">
        <v>0</v>
      </c>
      <c r="F34" s="4">
        <v>0</v>
      </c>
      <c r="G34" s="10">
        <f t="shared" si="10"/>
        <v>0</v>
      </c>
      <c r="H34" s="4">
        <v>0</v>
      </c>
      <c r="I34" s="5">
        <f t="shared" si="11"/>
        <v>0</v>
      </c>
      <c r="J34" s="5">
        <f t="shared" si="12"/>
        <v>0</v>
      </c>
      <c r="K34">
        <v>0</v>
      </c>
      <c r="N34" s="83">
        <v>1000</v>
      </c>
      <c r="O34" s="162"/>
    </row>
    <row r="35" spans="1:16" s="86" customFormat="1" ht="20" thickBot="1">
      <c r="A35" s="91" t="s">
        <v>475</v>
      </c>
      <c r="B35" s="8">
        <f>SUM(B36:B42)</f>
        <v>42</v>
      </c>
      <c r="C35" s="8">
        <f>SUM(C36:C42)</f>
        <v>83</v>
      </c>
      <c r="D35" s="8">
        <f>SUM(D36)</f>
        <v>45</v>
      </c>
      <c r="E35" s="8">
        <f>SUM(E36:E42)</f>
        <v>6</v>
      </c>
      <c r="F35" s="8">
        <f>SUM(F36:F42)</f>
        <v>250</v>
      </c>
      <c r="G35" s="93">
        <f t="shared" si="4"/>
        <v>43.383333333333333</v>
      </c>
      <c r="H35" s="8">
        <f>SUM(H36:H42)</f>
        <v>255.5</v>
      </c>
      <c r="I35" s="9">
        <f>SUM(I36:I42)</f>
        <v>2067.9166666666665</v>
      </c>
      <c r="J35" s="14">
        <f>SUM(J36:J42)</f>
        <v>1812.4166666666665</v>
      </c>
      <c r="K35" s="8">
        <f>SUM(K36:K42)</f>
        <v>94</v>
      </c>
      <c r="L35" s="159">
        <v>0</v>
      </c>
      <c r="M35" s="160">
        <f>J35+L35</f>
        <v>1812.4166666666665</v>
      </c>
      <c r="N35" s="155">
        <f>SUM(N36:N42)</f>
        <v>2934.2</v>
      </c>
      <c r="O35" s="161">
        <f>2935-N35</f>
        <v>0.8000000000001819</v>
      </c>
    </row>
    <row r="36" spans="1:16" ht="16.25" customHeight="1">
      <c r="A36" s="145">
        <v>46104</v>
      </c>
      <c r="B36" s="4">
        <v>0</v>
      </c>
      <c r="C36" s="4">
        <v>0</v>
      </c>
      <c r="D36" s="4">
        <v>45</v>
      </c>
      <c r="E36" s="4">
        <v>1</v>
      </c>
      <c r="F36" s="4">
        <v>50</v>
      </c>
      <c r="G36" s="10">
        <f>B36+C36/60</f>
        <v>0</v>
      </c>
      <c r="H36" s="4">
        <v>0</v>
      </c>
      <c r="I36" s="5">
        <f t="shared" ref="I36:I42" si="13">G36*D36</f>
        <v>0</v>
      </c>
      <c r="J36" s="5">
        <f t="shared" ref="J36:J42" si="14">I36-H36</f>
        <v>0</v>
      </c>
      <c r="K36">
        <v>0</v>
      </c>
      <c r="N36" s="83">
        <v>0</v>
      </c>
      <c r="O36" s="49"/>
    </row>
    <row r="37" spans="1:16" ht="16.25" customHeight="1">
      <c r="A37" s="145">
        <v>46105</v>
      </c>
      <c r="B37" s="4">
        <v>10</v>
      </c>
      <c r="C37" s="4">
        <v>29</v>
      </c>
      <c r="D37" s="4">
        <v>45</v>
      </c>
      <c r="E37" s="4">
        <v>1</v>
      </c>
      <c r="F37" s="4">
        <v>50</v>
      </c>
      <c r="G37" s="10">
        <f t="shared" ref="G37:G41" si="15">B37+C37/60</f>
        <v>10.483333333333333</v>
      </c>
      <c r="H37" s="4">
        <f>50+55.5</f>
        <v>105.5</v>
      </c>
      <c r="I37" s="5">
        <f t="shared" si="13"/>
        <v>471.74999999999994</v>
      </c>
      <c r="J37" s="5">
        <f t="shared" si="14"/>
        <v>366.24999999999994</v>
      </c>
      <c r="K37">
        <v>17</v>
      </c>
      <c r="N37" s="83">
        <v>661</v>
      </c>
      <c r="O37" s="49"/>
      <c r="P37" t="s">
        <v>811</v>
      </c>
    </row>
    <row r="38" spans="1:16">
      <c r="A38" s="145">
        <v>46106</v>
      </c>
      <c r="B38" s="4">
        <v>10</v>
      </c>
      <c r="C38" s="4">
        <v>5</v>
      </c>
      <c r="D38" s="4">
        <v>45</v>
      </c>
      <c r="E38" s="4">
        <v>1</v>
      </c>
      <c r="F38" s="4">
        <v>50</v>
      </c>
      <c r="G38" s="10">
        <f t="shared" si="15"/>
        <v>10.083333333333334</v>
      </c>
      <c r="H38" s="4">
        <v>50</v>
      </c>
      <c r="I38" s="5">
        <f t="shared" si="13"/>
        <v>453.75</v>
      </c>
      <c r="J38" s="5">
        <f t="shared" si="14"/>
        <v>403.75</v>
      </c>
      <c r="K38">
        <v>26</v>
      </c>
      <c r="N38" s="83">
        <v>661</v>
      </c>
      <c r="O38" s="162"/>
    </row>
    <row r="39" spans="1:16">
      <c r="A39" s="145">
        <v>46107</v>
      </c>
      <c r="B39" s="4">
        <v>0</v>
      </c>
      <c r="C39" s="4">
        <v>0</v>
      </c>
      <c r="D39" s="4">
        <v>45</v>
      </c>
      <c r="E39" s="4">
        <v>1</v>
      </c>
      <c r="F39" s="4">
        <v>0</v>
      </c>
      <c r="G39" s="10">
        <f t="shared" si="15"/>
        <v>0</v>
      </c>
      <c r="H39" s="4">
        <v>0</v>
      </c>
      <c r="I39" s="5">
        <f t="shared" si="13"/>
        <v>0</v>
      </c>
      <c r="J39" s="5">
        <f t="shared" si="14"/>
        <v>0</v>
      </c>
      <c r="K39">
        <v>0</v>
      </c>
      <c r="N39" s="83">
        <v>0</v>
      </c>
      <c r="O39" s="162"/>
    </row>
    <row r="40" spans="1:16">
      <c r="A40" s="145">
        <v>46108</v>
      </c>
      <c r="B40" s="4">
        <v>11</v>
      </c>
      <c r="C40" s="4">
        <v>15</v>
      </c>
      <c r="D40" s="4">
        <v>45</v>
      </c>
      <c r="E40" s="4">
        <v>1</v>
      </c>
      <c r="F40" s="4">
        <v>50</v>
      </c>
      <c r="G40" s="10">
        <f t="shared" si="15"/>
        <v>11.25</v>
      </c>
      <c r="H40" s="4">
        <v>50</v>
      </c>
      <c r="I40" s="5">
        <f t="shared" si="13"/>
        <v>506.25</v>
      </c>
      <c r="J40" s="5">
        <f t="shared" si="14"/>
        <v>456.25</v>
      </c>
      <c r="K40">
        <v>24</v>
      </c>
      <c r="N40" s="83">
        <v>877</v>
      </c>
      <c r="O40" s="162"/>
    </row>
    <row r="41" spans="1:16">
      <c r="A41" s="145">
        <v>46109</v>
      </c>
      <c r="B41" s="4">
        <v>11</v>
      </c>
      <c r="C41" s="4">
        <v>34</v>
      </c>
      <c r="D41" s="4">
        <v>55</v>
      </c>
      <c r="E41" s="4">
        <v>1</v>
      </c>
      <c r="F41" s="4">
        <v>50</v>
      </c>
      <c r="G41" s="10">
        <f t="shared" si="15"/>
        <v>11.566666666666666</v>
      </c>
      <c r="H41" s="4">
        <v>50</v>
      </c>
      <c r="I41" s="5">
        <f t="shared" si="13"/>
        <v>636.16666666666663</v>
      </c>
      <c r="J41" s="5">
        <f t="shared" si="14"/>
        <v>586.16666666666663</v>
      </c>
      <c r="K41">
        <v>27</v>
      </c>
      <c r="N41" s="83">
        <v>523.20000000000005</v>
      </c>
      <c r="O41" s="162"/>
      <c r="P41" s="51"/>
    </row>
    <row r="42" spans="1:16" ht="16" thickBot="1">
      <c r="A42" s="145">
        <v>46110</v>
      </c>
      <c r="B42" s="4">
        <v>0</v>
      </c>
      <c r="C42" s="4">
        <v>0</v>
      </c>
      <c r="D42" s="4">
        <v>45</v>
      </c>
      <c r="E42" s="4">
        <v>0</v>
      </c>
      <c r="F42" s="4">
        <v>0</v>
      </c>
      <c r="G42" s="10">
        <v>0</v>
      </c>
      <c r="H42" s="4">
        <v>0</v>
      </c>
      <c r="I42" s="5">
        <f t="shared" si="13"/>
        <v>0</v>
      </c>
      <c r="J42" s="5">
        <f t="shared" si="14"/>
        <v>0</v>
      </c>
      <c r="K42">
        <v>0</v>
      </c>
      <c r="L42" s="1"/>
      <c r="N42" s="83">
        <v>212</v>
      </c>
      <c r="O42" s="162"/>
    </row>
    <row r="43" spans="1:16" s="86" customFormat="1" ht="20" hidden="1" thickBot="1">
      <c r="A43" s="91" t="s">
        <v>482</v>
      </c>
      <c r="B43" s="8">
        <f>SUM(B44:B50)</f>
        <v>0</v>
      </c>
      <c r="C43" s="8">
        <f>SUM(C44:C50)</f>
        <v>0</v>
      </c>
      <c r="D43" s="8">
        <f>SUM(D44)</f>
        <v>45</v>
      </c>
      <c r="E43" s="8">
        <f>SUM(E44:E50)</f>
        <v>7</v>
      </c>
      <c r="F43" s="8">
        <f>SUM(F44:F50)</f>
        <v>350</v>
      </c>
      <c r="G43" s="93">
        <f t="shared" si="4"/>
        <v>0</v>
      </c>
      <c r="H43" s="8">
        <f>SUM(H44:H50)</f>
        <v>0</v>
      </c>
      <c r="I43" s="100">
        <f>SUM(I44:I50)</f>
        <v>0</v>
      </c>
      <c r="J43" s="101">
        <f>SUM(J44:J50)</f>
        <v>0</v>
      </c>
      <c r="K43" s="8">
        <f>SUM(K44:K50)</f>
        <v>0</v>
      </c>
      <c r="L43" s="164">
        <v>0</v>
      </c>
      <c r="M43" s="160">
        <f>J43+L43</f>
        <v>0</v>
      </c>
      <c r="N43" s="154">
        <f>SUM(N44:N50)</f>
        <v>0</v>
      </c>
      <c r="O43" s="161">
        <f>N43</f>
        <v>0</v>
      </c>
    </row>
    <row r="44" spans="1:16" hidden="1">
      <c r="A44" s="145">
        <v>46104</v>
      </c>
      <c r="B44" s="4">
        <v>0</v>
      </c>
      <c r="C44" s="4">
        <v>0</v>
      </c>
      <c r="D44" s="4">
        <v>45</v>
      </c>
      <c r="E44" s="4">
        <v>1</v>
      </c>
      <c r="F44" s="4">
        <v>50</v>
      </c>
      <c r="G44" s="10">
        <f t="shared" si="4"/>
        <v>0</v>
      </c>
      <c r="H44" s="4">
        <v>0</v>
      </c>
      <c r="I44" s="5">
        <f t="shared" si="7"/>
        <v>0</v>
      </c>
      <c r="J44" s="5">
        <f>I44-H44</f>
        <v>0</v>
      </c>
      <c r="K44">
        <v>0</v>
      </c>
      <c r="N44" s="81">
        <v>0</v>
      </c>
      <c r="O44" s="162"/>
    </row>
    <row r="45" spans="1:16" hidden="1">
      <c r="A45" s="145">
        <v>46105</v>
      </c>
      <c r="B45" s="4">
        <v>0</v>
      </c>
      <c r="C45" s="4">
        <v>0</v>
      </c>
      <c r="D45" s="4">
        <v>45</v>
      </c>
      <c r="E45" s="4">
        <v>1</v>
      </c>
      <c r="F45" s="4">
        <v>50</v>
      </c>
      <c r="G45" s="10">
        <f t="shared" si="4"/>
        <v>0</v>
      </c>
      <c r="H45" s="4">
        <v>0</v>
      </c>
      <c r="I45" s="5">
        <f t="shared" si="7"/>
        <v>0</v>
      </c>
      <c r="J45" s="5">
        <f t="shared" ref="J45:J50" si="16">I45-H45</f>
        <v>0</v>
      </c>
      <c r="K45">
        <v>0</v>
      </c>
      <c r="N45" s="81">
        <v>0</v>
      </c>
      <c r="O45" s="162"/>
    </row>
    <row r="46" spans="1:16" hidden="1">
      <c r="A46" s="145">
        <v>46106</v>
      </c>
      <c r="B46" s="4">
        <v>0</v>
      </c>
      <c r="C46" s="4">
        <v>0</v>
      </c>
      <c r="D46" s="4">
        <v>45</v>
      </c>
      <c r="E46" s="4">
        <v>1</v>
      </c>
      <c r="F46" s="4">
        <v>50</v>
      </c>
      <c r="G46" s="10">
        <f t="shared" si="4"/>
        <v>0</v>
      </c>
      <c r="H46" s="4">
        <v>0</v>
      </c>
      <c r="I46" s="5">
        <f t="shared" si="7"/>
        <v>0</v>
      </c>
      <c r="J46" s="5">
        <f t="shared" si="16"/>
        <v>0</v>
      </c>
      <c r="K46">
        <v>0</v>
      </c>
      <c r="N46" s="81">
        <v>0</v>
      </c>
      <c r="O46" s="162"/>
    </row>
    <row r="47" spans="1:16" hidden="1">
      <c r="A47" s="145">
        <v>46107</v>
      </c>
      <c r="B47" s="4">
        <v>0</v>
      </c>
      <c r="C47" s="4">
        <v>0</v>
      </c>
      <c r="D47" s="4">
        <v>45</v>
      </c>
      <c r="E47" s="4">
        <v>1</v>
      </c>
      <c r="F47" s="4">
        <v>50</v>
      </c>
      <c r="G47" s="10">
        <f t="shared" si="4"/>
        <v>0</v>
      </c>
      <c r="H47" s="4">
        <v>0</v>
      </c>
      <c r="I47" s="5">
        <f t="shared" si="7"/>
        <v>0</v>
      </c>
      <c r="J47" s="5">
        <f t="shared" si="16"/>
        <v>0</v>
      </c>
      <c r="K47">
        <v>0</v>
      </c>
      <c r="N47" s="81">
        <v>0</v>
      </c>
      <c r="O47" s="162"/>
    </row>
    <row r="48" spans="1:16" hidden="1">
      <c r="A48" s="145">
        <v>46108</v>
      </c>
      <c r="B48" s="4">
        <v>0</v>
      </c>
      <c r="C48" s="4">
        <v>0</v>
      </c>
      <c r="D48" s="4">
        <v>45</v>
      </c>
      <c r="E48" s="4">
        <v>1</v>
      </c>
      <c r="F48" s="4">
        <v>50</v>
      </c>
      <c r="G48" s="10">
        <f t="shared" si="4"/>
        <v>0</v>
      </c>
      <c r="H48" s="4">
        <v>0</v>
      </c>
      <c r="I48" s="5">
        <f t="shared" si="7"/>
        <v>0</v>
      </c>
      <c r="J48" s="5">
        <f t="shared" si="16"/>
        <v>0</v>
      </c>
      <c r="K48">
        <v>0</v>
      </c>
      <c r="N48" s="81">
        <v>0</v>
      </c>
      <c r="O48" s="162"/>
    </row>
    <row r="49" spans="1:17" hidden="1">
      <c r="A49" s="145">
        <v>46109</v>
      </c>
      <c r="B49" s="4">
        <v>0</v>
      </c>
      <c r="C49" s="4">
        <v>0</v>
      </c>
      <c r="D49" s="4">
        <v>45</v>
      </c>
      <c r="E49" s="4">
        <v>1</v>
      </c>
      <c r="F49" s="4">
        <v>50</v>
      </c>
      <c r="G49" s="10">
        <f t="shared" si="4"/>
        <v>0</v>
      </c>
      <c r="H49" s="4">
        <v>0</v>
      </c>
      <c r="I49" s="5">
        <f t="shared" si="7"/>
        <v>0</v>
      </c>
      <c r="J49" s="5">
        <f t="shared" si="16"/>
        <v>0</v>
      </c>
      <c r="K49">
        <v>0</v>
      </c>
      <c r="N49" s="81">
        <v>0</v>
      </c>
      <c r="O49" s="162"/>
    </row>
    <row r="50" spans="1:17" ht="16" hidden="1" thickBot="1">
      <c r="A50" s="145">
        <v>46110</v>
      </c>
      <c r="B50" s="4">
        <v>0</v>
      </c>
      <c r="C50" s="4">
        <v>0</v>
      </c>
      <c r="D50" s="4">
        <v>45</v>
      </c>
      <c r="E50" s="4">
        <v>1</v>
      </c>
      <c r="F50" s="4">
        <v>50</v>
      </c>
      <c r="G50" s="10">
        <f t="shared" si="4"/>
        <v>0</v>
      </c>
      <c r="H50" s="4">
        <v>0</v>
      </c>
      <c r="I50" s="5">
        <f t="shared" si="7"/>
        <v>0</v>
      </c>
      <c r="J50" s="5">
        <f t="shared" si="16"/>
        <v>0</v>
      </c>
      <c r="K50">
        <v>0</v>
      </c>
      <c r="N50" s="81">
        <v>0</v>
      </c>
      <c r="O50" s="162"/>
    </row>
    <row r="51" spans="1:17" s="86" customFormat="1" ht="20" thickBot="1">
      <c r="A51" s="91" t="s">
        <v>483</v>
      </c>
      <c r="B51" s="8">
        <f>SUM(B52:B58)</f>
        <v>46</v>
      </c>
      <c r="C51" s="8">
        <f>SUM(C52:C58)</f>
        <v>187</v>
      </c>
      <c r="D51" s="8">
        <f>SUM(D52)</f>
        <v>45</v>
      </c>
      <c r="E51" s="8">
        <f>SUM(E52:E58)</f>
        <v>7</v>
      </c>
      <c r="F51" s="8">
        <f>SUM(F52:F58)</f>
        <v>300</v>
      </c>
      <c r="G51" s="93">
        <f t="shared" si="4"/>
        <v>49.116666666666667</v>
      </c>
      <c r="H51" s="8">
        <f>SUM(H52:H58)</f>
        <v>944.69999999999993</v>
      </c>
      <c r="I51" s="9">
        <f>SUM(I52:I58)</f>
        <v>2524.4166666666665</v>
      </c>
      <c r="J51" s="14">
        <f>SUM(J52:J58)</f>
        <v>1579.7166666666667</v>
      </c>
      <c r="K51" s="8">
        <f>SUM(K52:K58)</f>
        <v>140</v>
      </c>
      <c r="L51" s="159">
        <v>0</v>
      </c>
      <c r="M51" s="160">
        <f>J51</f>
        <v>1579.7166666666667</v>
      </c>
      <c r="N51" s="156">
        <f>SUM(N52:N58)</f>
        <v>4072</v>
      </c>
      <c r="O51" s="161">
        <f>3980-N51</f>
        <v>-92</v>
      </c>
    </row>
    <row r="52" spans="1:17" ht="19">
      <c r="A52" s="145">
        <v>46104</v>
      </c>
      <c r="B52" s="4">
        <v>3</v>
      </c>
      <c r="C52" s="4">
        <v>28</v>
      </c>
      <c r="D52" s="4">
        <v>45</v>
      </c>
      <c r="E52" s="4">
        <v>1</v>
      </c>
      <c r="F52" s="4">
        <v>50</v>
      </c>
      <c r="G52" s="10">
        <f>B52+C52/60</f>
        <v>3.4666666666666668</v>
      </c>
      <c r="H52" s="4">
        <f>50+271.2</f>
        <v>321.2</v>
      </c>
      <c r="I52" s="5">
        <f>G52*D52</f>
        <v>156</v>
      </c>
      <c r="J52" s="138">
        <f>I52-H52</f>
        <v>-165.2</v>
      </c>
      <c r="K52">
        <v>9</v>
      </c>
      <c r="N52" s="83">
        <v>0</v>
      </c>
      <c r="O52" s="49"/>
    </row>
    <row r="53" spans="1:17">
      <c r="A53" s="80" t="s">
        <v>804</v>
      </c>
      <c r="B53" s="4">
        <v>8</v>
      </c>
      <c r="C53" s="4">
        <v>57</v>
      </c>
      <c r="D53" s="4">
        <v>55</v>
      </c>
      <c r="E53" s="4">
        <v>1</v>
      </c>
      <c r="F53" s="4">
        <v>50</v>
      </c>
      <c r="G53" s="10">
        <f t="shared" ref="G53:G58" si="17">B53+C53/60</f>
        <v>8.9499999999999993</v>
      </c>
      <c r="H53" s="4">
        <f>50+161.1</f>
        <v>211.1</v>
      </c>
      <c r="I53" s="5">
        <f t="shared" ref="I53" si="18">G53*D53</f>
        <v>492.24999999999994</v>
      </c>
      <c r="J53" s="5">
        <f>I53-H53</f>
        <v>281.14999999999998</v>
      </c>
      <c r="K53">
        <v>27</v>
      </c>
      <c r="N53" s="83">
        <v>277</v>
      </c>
      <c r="O53" s="162"/>
    </row>
    <row r="54" spans="1:17">
      <c r="A54" s="80" t="s">
        <v>805</v>
      </c>
      <c r="B54" s="4">
        <v>6</v>
      </c>
      <c r="C54" s="4">
        <v>47</v>
      </c>
      <c r="D54" s="4">
        <v>45</v>
      </c>
      <c r="E54" s="4">
        <v>1</v>
      </c>
      <c r="F54" s="4">
        <v>50</v>
      </c>
      <c r="G54" s="10">
        <f t="shared" si="17"/>
        <v>6.7833333333333332</v>
      </c>
      <c r="H54" s="4">
        <f>50+134.4</f>
        <v>184.4</v>
      </c>
      <c r="I54" s="5">
        <f>G54*D54</f>
        <v>305.25</v>
      </c>
      <c r="J54" s="5">
        <f>I54-H54</f>
        <v>120.85</v>
      </c>
      <c r="K54">
        <v>24</v>
      </c>
      <c r="N54" s="83">
        <v>740</v>
      </c>
      <c r="O54" s="162"/>
    </row>
    <row r="55" spans="1:17">
      <c r="A55" s="80" t="s">
        <v>806</v>
      </c>
      <c r="B55" s="4">
        <v>11</v>
      </c>
      <c r="C55" s="4">
        <v>14</v>
      </c>
      <c r="D55" s="4">
        <v>65</v>
      </c>
      <c r="E55" s="4">
        <v>1</v>
      </c>
      <c r="F55" s="4">
        <v>50</v>
      </c>
      <c r="G55" s="10">
        <f t="shared" si="17"/>
        <v>11.233333333333333</v>
      </c>
      <c r="H55" s="4">
        <v>50</v>
      </c>
      <c r="I55" s="5">
        <f t="shared" ref="I55:I58" si="19">G55*D55</f>
        <v>730.16666666666663</v>
      </c>
      <c r="J55" s="5">
        <f>I55-H55</f>
        <v>680.16666666666663</v>
      </c>
      <c r="K55">
        <v>34</v>
      </c>
      <c r="N55" s="83">
        <v>620</v>
      </c>
      <c r="O55" s="162"/>
    </row>
    <row r="56" spans="1:17">
      <c r="A56" s="80" t="s">
        <v>807</v>
      </c>
      <c r="B56" s="4">
        <v>10</v>
      </c>
      <c r="C56" s="4">
        <v>2</v>
      </c>
      <c r="D56" s="4">
        <v>45</v>
      </c>
      <c r="E56" s="4">
        <v>1</v>
      </c>
      <c r="F56" s="4">
        <v>50</v>
      </c>
      <c r="G56" s="10">
        <f t="shared" si="17"/>
        <v>10.033333333333333</v>
      </c>
      <c r="H56" s="4">
        <f>50+78</f>
        <v>128</v>
      </c>
      <c r="I56" s="5">
        <f t="shared" si="19"/>
        <v>451.5</v>
      </c>
      <c r="J56" s="5">
        <f t="shared" si="8"/>
        <v>323.5</v>
      </c>
      <c r="K56">
        <v>24</v>
      </c>
      <c r="N56" s="83">
        <v>825</v>
      </c>
      <c r="O56" s="162"/>
    </row>
    <row r="57" spans="1:17">
      <c r="A57" s="80" t="s">
        <v>808</v>
      </c>
      <c r="B57" s="4">
        <v>8</v>
      </c>
      <c r="C57" s="4">
        <v>39</v>
      </c>
      <c r="D57" s="4">
        <v>45</v>
      </c>
      <c r="E57" s="4">
        <v>1</v>
      </c>
      <c r="F57" s="4">
        <v>50</v>
      </c>
      <c r="G57" s="10">
        <f t="shared" si="17"/>
        <v>8.65</v>
      </c>
      <c r="H57" s="4">
        <v>50</v>
      </c>
      <c r="I57" s="5">
        <f t="shared" si="19"/>
        <v>389.25</v>
      </c>
      <c r="J57" s="5">
        <f t="shared" si="8"/>
        <v>339.25</v>
      </c>
      <c r="K57">
        <v>22</v>
      </c>
      <c r="N57" s="83">
        <f>780+150</f>
        <v>930</v>
      </c>
      <c r="O57" s="162"/>
      <c r="P57" t="s">
        <v>553</v>
      </c>
    </row>
    <row r="58" spans="1:17" ht="16" thickBot="1">
      <c r="A58" s="80" t="s">
        <v>809</v>
      </c>
      <c r="B58" s="4">
        <v>0</v>
      </c>
      <c r="C58" s="4">
        <v>0</v>
      </c>
      <c r="D58" s="4">
        <v>45</v>
      </c>
      <c r="E58" s="4">
        <v>1</v>
      </c>
      <c r="F58" s="4">
        <v>0</v>
      </c>
      <c r="G58" s="10">
        <f t="shared" si="17"/>
        <v>0</v>
      </c>
      <c r="H58" s="4">
        <v>0</v>
      </c>
      <c r="I58" s="5">
        <f t="shared" si="19"/>
        <v>0</v>
      </c>
      <c r="J58" s="5">
        <f t="shared" si="8"/>
        <v>0</v>
      </c>
      <c r="K58">
        <v>0</v>
      </c>
      <c r="N58" s="83">
        <v>680</v>
      </c>
      <c r="O58" s="162"/>
    </row>
    <row r="59" spans="1:17" s="86" customFormat="1" ht="20" thickBot="1">
      <c r="A59" s="91" t="s">
        <v>484</v>
      </c>
      <c r="B59" s="8">
        <f>SUM(B60:B66)</f>
        <v>53</v>
      </c>
      <c r="C59" s="8">
        <f>SUM(C60:C66)</f>
        <v>186</v>
      </c>
      <c r="D59" s="8">
        <f>SUM(D60)</f>
        <v>45</v>
      </c>
      <c r="E59" s="8">
        <f>SUM(E60:E66)</f>
        <v>6</v>
      </c>
      <c r="F59" s="8">
        <f>SUM(F60:F66)</f>
        <v>300</v>
      </c>
      <c r="G59" s="93">
        <f t="shared" si="4"/>
        <v>56.1</v>
      </c>
      <c r="H59" s="8">
        <f>SUM(H60:H66)</f>
        <v>300</v>
      </c>
      <c r="I59" s="9">
        <f>SUM(I60:I66)</f>
        <v>2947.6666666666665</v>
      </c>
      <c r="J59" s="14">
        <f>SUM(J60:J66)</f>
        <v>2647.6666666666665</v>
      </c>
      <c r="K59" s="8">
        <f>SUM(K60:K66)</f>
        <v>158</v>
      </c>
      <c r="L59" s="159">
        <v>0</v>
      </c>
      <c r="M59" s="160">
        <f>J59</f>
        <v>2647.6666666666665</v>
      </c>
      <c r="N59" s="156">
        <f>SUM(N60:N66)</f>
        <v>4414</v>
      </c>
      <c r="O59" s="161">
        <f>4407-N59</f>
        <v>-7</v>
      </c>
    </row>
    <row r="60" spans="1:17">
      <c r="A60" s="146" t="s">
        <v>812</v>
      </c>
      <c r="B60" s="4">
        <v>7</v>
      </c>
      <c r="C60" s="4">
        <v>46</v>
      </c>
      <c r="D60" s="4">
        <v>45</v>
      </c>
      <c r="E60" s="4">
        <v>1</v>
      </c>
      <c r="F60" s="4">
        <v>50</v>
      </c>
      <c r="G60" s="10">
        <f t="shared" si="4"/>
        <v>7.7666666666666666</v>
      </c>
      <c r="H60" s="4">
        <v>50</v>
      </c>
      <c r="I60" s="5">
        <f t="shared" ref="I60:I66" si="20">G60*D60</f>
        <v>349.5</v>
      </c>
      <c r="J60" s="5">
        <f t="shared" ref="J60:J62" si="21">I60-H60</f>
        <v>299.5</v>
      </c>
      <c r="K60">
        <v>20</v>
      </c>
      <c r="N60" s="83">
        <v>0</v>
      </c>
      <c r="O60" s="163"/>
    </row>
    <row r="61" spans="1:17">
      <c r="A61" s="80" t="s">
        <v>804</v>
      </c>
      <c r="B61" s="4">
        <v>8</v>
      </c>
      <c r="C61" s="4">
        <v>32</v>
      </c>
      <c r="D61" s="4">
        <v>45</v>
      </c>
      <c r="E61" s="4">
        <v>1</v>
      </c>
      <c r="F61" s="4">
        <v>50</v>
      </c>
      <c r="G61" s="10">
        <f t="shared" si="4"/>
        <v>8.5333333333333332</v>
      </c>
      <c r="H61" s="4">
        <v>50</v>
      </c>
      <c r="I61" s="5">
        <f t="shared" si="20"/>
        <v>384</v>
      </c>
      <c r="J61" s="5">
        <f t="shared" si="21"/>
        <v>334</v>
      </c>
      <c r="K61">
        <v>22</v>
      </c>
      <c r="N61" s="83">
        <f>284+200</f>
        <v>484</v>
      </c>
      <c r="O61" s="162"/>
      <c r="P61" t="s">
        <v>743</v>
      </c>
    </row>
    <row r="62" spans="1:17">
      <c r="A62" s="80" t="s">
        <v>805</v>
      </c>
      <c r="B62" s="4">
        <v>9</v>
      </c>
      <c r="C62" s="4">
        <v>25</v>
      </c>
      <c r="D62" s="4">
        <v>55</v>
      </c>
      <c r="E62" s="4">
        <v>1</v>
      </c>
      <c r="F62" s="4">
        <v>50</v>
      </c>
      <c r="G62" s="10">
        <f t="shared" si="4"/>
        <v>9.4166666666666661</v>
      </c>
      <c r="H62" s="4">
        <v>50</v>
      </c>
      <c r="I62" s="5">
        <f t="shared" si="20"/>
        <v>517.91666666666663</v>
      </c>
      <c r="J62" s="5">
        <f t="shared" si="21"/>
        <v>467.91666666666663</v>
      </c>
      <c r="K62">
        <v>28</v>
      </c>
      <c r="N62" s="83">
        <v>431</v>
      </c>
      <c r="O62" s="162"/>
      <c r="Q62" t="s">
        <v>64</v>
      </c>
    </row>
    <row r="63" spans="1:17">
      <c r="A63" s="80" t="s">
        <v>806</v>
      </c>
      <c r="B63" s="4">
        <v>8</v>
      </c>
      <c r="C63" s="4">
        <v>51</v>
      </c>
      <c r="D63" s="4">
        <v>45</v>
      </c>
      <c r="E63" s="4">
        <v>1</v>
      </c>
      <c r="F63" s="4">
        <v>50</v>
      </c>
      <c r="G63" s="10">
        <f t="shared" si="4"/>
        <v>8.85</v>
      </c>
      <c r="H63" s="4">
        <v>50</v>
      </c>
      <c r="I63" s="5">
        <f t="shared" si="20"/>
        <v>398.25</v>
      </c>
      <c r="J63" s="5">
        <f>I63-H63</f>
        <v>348.25</v>
      </c>
      <c r="K63">
        <v>25</v>
      </c>
      <c r="N63" s="83">
        <v>569</v>
      </c>
      <c r="O63" s="162"/>
    </row>
    <row r="64" spans="1:17">
      <c r="A64" s="80" t="s">
        <v>807</v>
      </c>
      <c r="B64" s="4">
        <v>11</v>
      </c>
      <c r="C64" s="4">
        <v>22</v>
      </c>
      <c r="D64" s="4">
        <v>65</v>
      </c>
      <c r="E64" s="4">
        <v>1</v>
      </c>
      <c r="F64" s="4">
        <v>50</v>
      </c>
      <c r="G64" s="10">
        <f t="shared" si="4"/>
        <v>11.366666666666667</v>
      </c>
      <c r="H64" s="4">
        <v>50</v>
      </c>
      <c r="I64" s="5">
        <f t="shared" si="20"/>
        <v>738.83333333333337</v>
      </c>
      <c r="J64" s="5">
        <f>I64-H64</f>
        <v>688.83333333333337</v>
      </c>
      <c r="K64">
        <v>35</v>
      </c>
      <c r="N64" s="83">
        <v>807</v>
      </c>
      <c r="O64" s="162"/>
      <c r="Q64" t="s">
        <v>64</v>
      </c>
    </row>
    <row r="65" spans="1:17">
      <c r="A65" s="80" t="s">
        <v>808</v>
      </c>
      <c r="B65" s="4">
        <v>10</v>
      </c>
      <c r="C65" s="4">
        <v>10</v>
      </c>
      <c r="D65" s="4">
        <v>55</v>
      </c>
      <c r="E65" s="4">
        <v>1</v>
      </c>
      <c r="F65" s="4">
        <v>50</v>
      </c>
      <c r="G65" s="10">
        <f t="shared" si="4"/>
        <v>10.166666666666666</v>
      </c>
      <c r="H65" s="4">
        <v>50</v>
      </c>
      <c r="I65" s="5">
        <f t="shared" si="20"/>
        <v>559.16666666666663</v>
      </c>
      <c r="J65" s="5">
        <f>I65-H65</f>
        <v>509.16666666666663</v>
      </c>
      <c r="K65">
        <v>28</v>
      </c>
      <c r="N65" s="83">
        <v>862</v>
      </c>
      <c r="O65" s="162"/>
    </row>
    <row r="66" spans="1:17" ht="16" thickBot="1">
      <c r="A66" s="80" t="s">
        <v>809</v>
      </c>
      <c r="B66" s="4">
        <v>0</v>
      </c>
      <c r="C66" s="4">
        <v>0</v>
      </c>
      <c r="D66" s="4">
        <v>45</v>
      </c>
      <c r="E66" s="4">
        <v>0</v>
      </c>
      <c r="F66" s="4">
        <v>0</v>
      </c>
      <c r="G66" s="10">
        <f t="shared" si="4"/>
        <v>0</v>
      </c>
      <c r="H66" s="4">
        <v>0</v>
      </c>
      <c r="I66" s="5">
        <f t="shared" si="20"/>
        <v>0</v>
      </c>
      <c r="J66" s="5">
        <v>0</v>
      </c>
      <c r="K66">
        <v>0</v>
      </c>
      <c r="N66" s="83">
        <f>871+390</f>
        <v>1261</v>
      </c>
      <c r="O66" s="162"/>
    </row>
    <row r="67" spans="1:17" s="86" customFormat="1" ht="20" thickBot="1">
      <c r="A67" s="91" t="s">
        <v>813</v>
      </c>
      <c r="B67" s="8">
        <f>SUM(B68:B74)</f>
        <v>20</v>
      </c>
      <c r="C67" s="8">
        <f>SUM(C68:C74)</f>
        <v>127</v>
      </c>
      <c r="D67" s="8">
        <f>SUM(D68)</f>
        <v>45</v>
      </c>
      <c r="E67" s="8">
        <f>SUM(E68:E74)</f>
        <v>3</v>
      </c>
      <c r="F67" s="8">
        <f>SUM(F68:F74)</f>
        <v>150</v>
      </c>
      <c r="G67" s="93">
        <f t="shared" si="4"/>
        <v>22.116666666666667</v>
      </c>
      <c r="H67" s="8">
        <f>SUM(H68:H74)</f>
        <v>150</v>
      </c>
      <c r="I67" s="9">
        <f>SUM(I68:I74)</f>
        <v>995.25</v>
      </c>
      <c r="J67" s="14">
        <f>SUM(J68:J74)</f>
        <v>845.25</v>
      </c>
      <c r="K67" s="8">
        <f>SUM(K68:K74)</f>
        <v>33</v>
      </c>
      <c r="L67" s="159">
        <v>0</v>
      </c>
      <c r="M67" s="160">
        <f>J67</f>
        <v>845.25</v>
      </c>
      <c r="N67" s="156">
        <f>SUM(N68:N74)</f>
        <v>909</v>
      </c>
      <c r="O67" s="161">
        <f>878-N67</f>
        <v>-31</v>
      </c>
    </row>
    <row r="68" spans="1:17">
      <c r="A68" s="145">
        <v>46104</v>
      </c>
      <c r="B68" s="4">
        <v>0</v>
      </c>
      <c r="C68" s="4">
        <v>0</v>
      </c>
      <c r="D68" s="4">
        <v>45</v>
      </c>
      <c r="E68" s="4">
        <v>0</v>
      </c>
      <c r="F68" s="4">
        <v>0</v>
      </c>
      <c r="G68" s="10">
        <f>B68+C68/60</f>
        <v>0</v>
      </c>
      <c r="H68" s="4">
        <v>0</v>
      </c>
      <c r="I68" s="5">
        <f t="shared" ref="I68:I74" si="22">G68*D68</f>
        <v>0</v>
      </c>
      <c r="J68" s="5">
        <f>I68-H68</f>
        <v>0</v>
      </c>
      <c r="K68">
        <v>0</v>
      </c>
      <c r="N68" s="83">
        <v>0</v>
      </c>
      <c r="O68" s="163"/>
    </row>
    <row r="69" spans="1:17">
      <c r="A69" s="145">
        <v>46105</v>
      </c>
      <c r="B69" s="4">
        <v>0</v>
      </c>
      <c r="C69" s="4">
        <v>0</v>
      </c>
      <c r="D69" s="4">
        <v>45</v>
      </c>
      <c r="E69" s="4">
        <v>0</v>
      </c>
      <c r="F69" s="4">
        <v>0</v>
      </c>
      <c r="G69" s="10">
        <f t="shared" ref="G69:G71" si="23">B69+C69/60</f>
        <v>0</v>
      </c>
      <c r="H69" s="4">
        <v>0</v>
      </c>
      <c r="I69" s="5">
        <f t="shared" si="22"/>
        <v>0</v>
      </c>
      <c r="J69" s="5">
        <f>I69-H69</f>
        <v>0</v>
      </c>
      <c r="K69">
        <v>0</v>
      </c>
      <c r="N69" s="83">
        <v>0</v>
      </c>
      <c r="O69" s="162"/>
    </row>
    <row r="70" spans="1:17">
      <c r="A70" s="145">
        <v>46106</v>
      </c>
      <c r="B70" s="4">
        <v>0</v>
      </c>
      <c r="C70" s="4">
        <v>0</v>
      </c>
      <c r="D70" s="4">
        <v>45</v>
      </c>
      <c r="E70" s="4">
        <v>0</v>
      </c>
      <c r="F70" s="4">
        <v>0</v>
      </c>
      <c r="G70" s="10">
        <f t="shared" si="23"/>
        <v>0</v>
      </c>
      <c r="H70" s="4">
        <v>0</v>
      </c>
      <c r="I70" s="5">
        <f t="shared" si="22"/>
        <v>0</v>
      </c>
      <c r="J70" s="5">
        <v>0</v>
      </c>
      <c r="K70">
        <v>0</v>
      </c>
      <c r="N70" s="83">
        <v>0</v>
      </c>
      <c r="O70" s="162"/>
      <c r="Q70" t="s">
        <v>64</v>
      </c>
    </row>
    <row r="71" spans="1:17">
      <c r="A71" s="145">
        <v>46107</v>
      </c>
      <c r="B71" s="4">
        <v>0</v>
      </c>
      <c r="C71" s="4">
        <v>0</v>
      </c>
      <c r="D71" s="4">
        <v>45</v>
      </c>
      <c r="E71" s="4">
        <v>0</v>
      </c>
      <c r="F71" s="4">
        <v>0</v>
      </c>
      <c r="G71" s="10">
        <f t="shared" si="23"/>
        <v>0</v>
      </c>
      <c r="H71" s="4">
        <v>0</v>
      </c>
      <c r="I71" s="5">
        <f t="shared" si="22"/>
        <v>0</v>
      </c>
      <c r="J71" s="5">
        <v>0</v>
      </c>
      <c r="K71">
        <v>0</v>
      </c>
      <c r="N71" s="83">
        <v>0</v>
      </c>
      <c r="O71" s="162"/>
    </row>
    <row r="72" spans="1:17">
      <c r="A72" s="145">
        <v>46108</v>
      </c>
      <c r="B72" s="4">
        <v>4</v>
      </c>
      <c r="C72" s="4">
        <v>31</v>
      </c>
      <c r="D72" s="4">
        <v>45</v>
      </c>
      <c r="E72" s="4">
        <v>1</v>
      </c>
      <c r="F72" s="4">
        <v>50</v>
      </c>
      <c r="G72" s="10">
        <f>B72+C72/60</f>
        <v>4.5166666666666666</v>
      </c>
      <c r="H72" s="4">
        <v>50</v>
      </c>
      <c r="I72" s="5">
        <f t="shared" si="22"/>
        <v>203.25</v>
      </c>
      <c r="J72" s="5">
        <f>I72-H72</f>
        <v>153.25</v>
      </c>
      <c r="K72">
        <v>5</v>
      </c>
      <c r="N72" s="83">
        <v>70</v>
      </c>
      <c r="O72" s="162"/>
    </row>
    <row r="73" spans="1:17">
      <c r="A73" s="145">
        <v>46109</v>
      </c>
      <c r="B73" s="4">
        <v>9</v>
      </c>
      <c r="C73" s="4">
        <v>56</v>
      </c>
      <c r="D73" s="4">
        <v>45</v>
      </c>
      <c r="E73" s="4">
        <v>1</v>
      </c>
      <c r="F73" s="4">
        <v>50</v>
      </c>
      <c r="G73" s="10">
        <f>B73+C73/60</f>
        <v>9.9333333333333336</v>
      </c>
      <c r="H73" s="4">
        <v>50</v>
      </c>
      <c r="I73" s="5">
        <f t="shared" si="22"/>
        <v>447</v>
      </c>
      <c r="J73" s="5">
        <f t="shared" ref="J73:J74" si="24">I73-H73</f>
        <v>397</v>
      </c>
      <c r="K73">
        <v>12</v>
      </c>
      <c r="N73" s="83">
        <v>305</v>
      </c>
      <c r="O73" s="162"/>
    </row>
    <row r="74" spans="1:17" ht="16" thickBot="1">
      <c r="A74" s="145">
        <v>46110</v>
      </c>
      <c r="B74" s="4">
        <v>7</v>
      </c>
      <c r="C74" s="4">
        <v>40</v>
      </c>
      <c r="D74" s="4">
        <v>45</v>
      </c>
      <c r="E74" s="4">
        <v>1</v>
      </c>
      <c r="F74" s="4">
        <v>50</v>
      </c>
      <c r="G74" s="10">
        <f>B74+C74/60</f>
        <v>7.666666666666667</v>
      </c>
      <c r="H74" s="4">
        <v>50</v>
      </c>
      <c r="I74" s="5">
        <f t="shared" si="22"/>
        <v>345</v>
      </c>
      <c r="J74" s="5">
        <f t="shared" si="24"/>
        <v>295</v>
      </c>
      <c r="K74">
        <v>16</v>
      </c>
      <c r="N74" s="83">
        <v>534</v>
      </c>
      <c r="O74" s="162"/>
    </row>
    <row r="75" spans="1:17" s="86" customFormat="1" ht="20" thickBot="1">
      <c r="A75" s="91" t="s">
        <v>591</v>
      </c>
      <c r="B75" s="8">
        <f>SUM(B76:B82)</f>
        <v>56</v>
      </c>
      <c r="C75" s="8">
        <f>SUM(C76:C82)</f>
        <v>288</v>
      </c>
      <c r="D75" s="8">
        <f>SUM(D76)</f>
        <v>45</v>
      </c>
      <c r="E75" s="8">
        <f>SUM(E76:E82)</f>
        <v>6</v>
      </c>
      <c r="F75" s="8">
        <f>SUM(F76:F82)</f>
        <v>300</v>
      </c>
      <c r="G75" s="93">
        <f t="shared" ref="G75" si="25">B75+C75/60</f>
        <v>60.8</v>
      </c>
      <c r="H75" s="8">
        <f>SUM(H76:H82)</f>
        <v>512.70000000000005</v>
      </c>
      <c r="I75" s="9">
        <f>SUM(I76:I82)</f>
        <v>2843.666666666667</v>
      </c>
      <c r="J75" s="14">
        <f>SUM(J76:J82)</f>
        <v>2330.9666666666672</v>
      </c>
      <c r="K75" s="8">
        <f>SUM(K76:K82)</f>
        <v>125</v>
      </c>
      <c r="L75" s="159">
        <v>0</v>
      </c>
      <c r="M75" s="160">
        <f>J75</f>
        <v>2330.9666666666672</v>
      </c>
      <c r="N75" s="156">
        <f>SUM(N76:N82)</f>
        <v>4372</v>
      </c>
      <c r="O75" s="161">
        <f>4372-N75</f>
        <v>0</v>
      </c>
    </row>
    <row r="76" spans="1:17">
      <c r="A76" s="146" t="s">
        <v>812</v>
      </c>
      <c r="B76" s="4">
        <v>9</v>
      </c>
      <c r="C76" s="4">
        <v>59</v>
      </c>
      <c r="D76" s="4">
        <v>45</v>
      </c>
      <c r="E76" s="4">
        <v>1</v>
      </c>
      <c r="F76" s="4">
        <v>50</v>
      </c>
      <c r="G76" s="10">
        <f>B76+C76/60</f>
        <v>9.9833333333333325</v>
      </c>
      <c r="H76" s="4">
        <f>50+102.6</f>
        <v>152.6</v>
      </c>
      <c r="I76" s="5">
        <f t="shared" ref="I76:I81" si="26">G76*D76</f>
        <v>449.24999999999994</v>
      </c>
      <c r="J76" s="5">
        <f>I76-H76</f>
        <v>296.64999999999998</v>
      </c>
      <c r="K76">
        <v>23</v>
      </c>
      <c r="N76" s="83">
        <v>0</v>
      </c>
      <c r="O76" s="163"/>
    </row>
    <row r="77" spans="1:17">
      <c r="A77" s="146" t="s">
        <v>804</v>
      </c>
      <c r="B77" s="4">
        <v>11</v>
      </c>
      <c r="C77" s="4">
        <v>30</v>
      </c>
      <c r="D77" s="4">
        <v>45</v>
      </c>
      <c r="E77" s="4">
        <v>1</v>
      </c>
      <c r="F77" s="4">
        <v>50</v>
      </c>
      <c r="G77" s="10">
        <f t="shared" ref="G77:G79" si="27">B77+C77/60</f>
        <v>11.5</v>
      </c>
      <c r="H77" s="4">
        <v>50</v>
      </c>
      <c r="I77" s="5">
        <f t="shared" si="26"/>
        <v>517.5</v>
      </c>
      <c r="J77" s="5">
        <f>I77-H77</f>
        <v>467.5</v>
      </c>
      <c r="K77">
        <v>21</v>
      </c>
      <c r="N77" s="83">
        <v>647</v>
      </c>
      <c r="O77" s="162"/>
    </row>
    <row r="78" spans="1:17">
      <c r="A78" s="146" t="s">
        <v>805</v>
      </c>
      <c r="B78" s="4">
        <v>10</v>
      </c>
      <c r="C78" s="4">
        <v>48</v>
      </c>
      <c r="D78" s="4">
        <v>45</v>
      </c>
      <c r="E78" s="4">
        <v>1</v>
      </c>
      <c r="F78" s="4">
        <v>50</v>
      </c>
      <c r="G78" s="10">
        <f t="shared" si="27"/>
        <v>10.8</v>
      </c>
      <c r="H78" s="4">
        <v>50</v>
      </c>
      <c r="I78" s="5">
        <f t="shared" si="26"/>
        <v>486.00000000000006</v>
      </c>
      <c r="J78" s="5">
        <f t="shared" ref="J78:J82" si="28">I78-H78</f>
        <v>436.00000000000006</v>
      </c>
      <c r="K78">
        <v>22</v>
      </c>
      <c r="N78" s="83">
        <v>570</v>
      </c>
      <c r="O78" s="162"/>
      <c r="Q78" t="s">
        <v>64</v>
      </c>
    </row>
    <row r="79" spans="1:17">
      <c r="A79" s="146" t="s">
        <v>806</v>
      </c>
      <c r="B79" s="4">
        <v>10</v>
      </c>
      <c r="C79" s="4">
        <v>46</v>
      </c>
      <c r="D79" s="4">
        <v>55</v>
      </c>
      <c r="E79" s="4">
        <v>1</v>
      </c>
      <c r="F79" s="4">
        <v>50</v>
      </c>
      <c r="G79" s="10">
        <f t="shared" si="27"/>
        <v>10.766666666666667</v>
      </c>
      <c r="H79" s="4">
        <f>50</f>
        <v>50</v>
      </c>
      <c r="I79" s="5">
        <f t="shared" si="26"/>
        <v>592.16666666666674</v>
      </c>
      <c r="J79" s="5">
        <f t="shared" si="28"/>
        <v>542.16666666666674</v>
      </c>
      <c r="K79">
        <v>27</v>
      </c>
      <c r="N79" s="83">
        <v>900</v>
      </c>
      <c r="O79" s="162"/>
    </row>
    <row r="80" spans="1:17">
      <c r="A80" s="146" t="s">
        <v>807</v>
      </c>
      <c r="B80" s="4">
        <v>8</v>
      </c>
      <c r="C80" s="4">
        <v>53</v>
      </c>
      <c r="D80" s="4">
        <v>45</v>
      </c>
      <c r="E80" s="4">
        <v>1</v>
      </c>
      <c r="F80" s="4">
        <v>50</v>
      </c>
      <c r="G80" s="10">
        <f>B80+C80/60</f>
        <v>8.8833333333333329</v>
      </c>
      <c r="H80" s="4">
        <f>50+110.1</f>
        <v>160.1</v>
      </c>
      <c r="I80" s="5">
        <f t="shared" si="26"/>
        <v>399.75</v>
      </c>
      <c r="J80" s="5">
        <f t="shared" si="28"/>
        <v>239.65</v>
      </c>
      <c r="K80">
        <v>18</v>
      </c>
      <c r="N80" s="83">
        <v>655</v>
      </c>
      <c r="O80" s="162"/>
    </row>
    <row r="81" spans="1:17">
      <c r="A81" s="146" t="s">
        <v>808</v>
      </c>
      <c r="B81" s="4">
        <v>8</v>
      </c>
      <c r="C81" s="4">
        <v>52</v>
      </c>
      <c r="D81" s="4">
        <v>45</v>
      </c>
      <c r="E81" s="4">
        <v>1</v>
      </c>
      <c r="F81" s="4">
        <v>50</v>
      </c>
      <c r="G81" s="10">
        <f>B81+C81/60</f>
        <v>8.8666666666666671</v>
      </c>
      <c r="H81" s="4">
        <v>50</v>
      </c>
      <c r="I81" s="5">
        <f t="shared" si="26"/>
        <v>399</v>
      </c>
      <c r="J81" s="5">
        <f t="shared" si="28"/>
        <v>349</v>
      </c>
      <c r="K81">
        <v>14</v>
      </c>
      <c r="N81" s="83">
        <v>855</v>
      </c>
      <c r="O81" s="162"/>
    </row>
    <row r="82" spans="1:17" ht="16" thickBot="1">
      <c r="A82" s="146" t="s">
        <v>809</v>
      </c>
      <c r="B82" s="4">
        <v>0</v>
      </c>
      <c r="C82" s="4">
        <v>0</v>
      </c>
      <c r="D82" s="4">
        <v>45</v>
      </c>
      <c r="E82" s="4">
        <v>0</v>
      </c>
      <c r="F82" s="4">
        <v>0</v>
      </c>
      <c r="G82" s="10">
        <v>0</v>
      </c>
      <c r="H82" s="4">
        <v>0</v>
      </c>
      <c r="I82" s="5">
        <v>0</v>
      </c>
      <c r="J82" s="5">
        <f t="shared" si="28"/>
        <v>0</v>
      </c>
      <c r="K82">
        <v>0</v>
      </c>
      <c r="N82" s="83">
        <f>590+155</f>
        <v>745</v>
      </c>
      <c r="O82" s="162"/>
    </row>
    <row r="83" spans="1:17" ht="20" thickBot="1">
      <c r="A83" s="91" t="s">
        <v>502</v>
      </c>
      <c r="B83" s="8">
        <f>SUM(B84:B90)</f>
        <v>41</v>
      </c>
      <c r="C83" s="8">
        <f>SUM(C84:C90)</f>
        <v>86</v>
      </c>
      <c r="D83" s="8">
        <f>SUM(D84)</f>
        <v>45</v>
      </c>
      <c r="E83" s="8">
        <f>SUM(E84:E90)</f>
        <v>5</v>
      </c>
      <c r="F83" s="8">
        <f>SUM(F84:F90)</f>
        <v>250</v>
      </c>
      <c r="G83" s="93">
        <f t="shared" ref="G83:G107" si="29">B83+C83/60</f>
        <v>42.43333333333333</v>
      </c>
      <c r="H83" s="8">
        <f>SUM(H84:H90)</f>
        <v>347.8</v>
      </c>
      <c r="I83" s="9">
        <f>SUM(I84:I90)</f>
        <v>1909.5</v>
      </c>
      <c r="J83" s="14">
        <f>SUM(J84:J90)</f>
        <v>1561.7</v>
      </c>
      <c r="K83" s="8">
        <f>SUM(K84:K90)</f>
        <v>100</v>
      </c>
      <c r="L83" s="159">
        <v>0</v>
      </c>
      <c r="M83" s="160">
        <f>J83</f>
        <v>1561.7</v>
      </c>
      <c r="N83" s="156">
        <f>SUM(N84:N90)</f>
        <v>3373</v>
      </c>
      <c r="O83" s="161">
        <f>3373-N83</f>
        <v>0</v>
      </c>
      <c r="P83" s="86"/>
      <c r="Q83" s="86"/>
    </row>
    <row r="84" spans="1:17">
      <c r="A84" s="146" t="s">
        <v>812</v>
      </c>
      <c r="B84" s="4">
        <v>9</v>
      </c>
      <c r="C84" s="4">
        <v>0</v>
      </c>
      <c r="D84" s="4">
        <v>45</v>
      </c>
      <c r="E84" s="4">
        <v>1</v>
      </c>
      <c r="F84" s="4">
        <v>50</v>
      </c>
      <c r="G84" s="10">
        <f t="shared" si="29"/>
        <v>9</v>
      </c>
      <c r="H84" s="4">
        <v>50</v>
      </c>
      <c r="I84" s="5">
        <f t="shared" ref="I84:I90" si="30">G84*D84</f>
        <v>405</v>
      </c>
      <c r="J84" s="5">
        <f t="shared" ref="J84:J90" si="31">I84-H84</f>
        <v>355</v>
      </c>
      <c r="K84">
        <v>20</v>
      </c>
      <c r="N84" s="83">
        <f>250+100</f>
        <v>350</v>
      </c>
      <c r="O84" s="163"/>
      <c r="P84" s="116" t="s">
        <v>745</v>
      </c>
    </row>
    <row r="85" spans="1:17">
      <c r="A85" s="145">
        <v>46105</v>
      </c>
      <c r="B85" s="4">
        <v>0</v>
      </c>
      <c r="C85" s="4">
        <v>0</v>
      </c>
      <c r="D85" s="4">
        <v>45</v>
      </c>
      <c r="E85" s="4">
        <v>0</v>
      </c>
      <c r="F85" s="4">
        <v>0</v>
      </c>
      <c r="G85" s="10">
        <f>B85+C85/60</f>
        <v>0</v>
      </c>
      <c r="H85" s="4">
        <v>0</v>
      </c>
      <c r="I85" s="5">
        <f t="shared" si="30"/>
        <v>0</v>
      </c>
      <c r="J85" s="5">
        <f t="shared" si="31"/>
        <v>0</v>
      </c>
      <c r="K85">
        <v>0</v>
      </c>
      <c r="N85" s="83">
        <v>0</v>
      </c>
      <c r="O85" s="162"/>
    </row>
    <row r="86" spans="1:17">
      <c r="A86" s="145">
        <v>46106</v>
      </c>
      <c r="B86" s="4">
        <v>0</v>
      </c>
      <c r="C86" s="4">
        <v>0</v>
      </c>
      <c r="D86" s="4">
        <v>45</v>
      </c>
      <c r="E86" s="4">
        <v>0</v>
      </c>
      <c r="F86" s="4">
        <v>0</v>
      </c>
      <c r="G86" s="10">
        <f t="shared" si="29"/>
        <v>0</v>
      </c>
      <c r="H86" s="4">
        <v>0</v>
      </c>
      <c r="I86" s="5">
        <f t="shared" si="30"/>
        <v>0</v>
      </c>
      <c r="J86" s="5">
        <f t="shared" si="31"/>
        <v>0</v>
      </c>
      <c r="K86">
        <v>0</v>
      </c>
      <c r="N86" s="83">
        <v>0</v>
      </c>
      <c r="O86" s="162"/>
      <c r="Q86" t="s">
        <v>64</v>
      </c>
    </row>
    <row r="87" spans="1:17">
      <c r="A87" s="146" t="s">
        <v>806</v>
      </c>
      <c r="B87" s="4">
        <v>9</v>
      </c>
      <c r="C87" s="4">
        <v>20</v>
      </c>
      <c r="D87" s="4">
        <v>45</v>
      </c>
      <c r="E87" s="4">
        <v>1</v>
      </c>
      <c r="F87" s="4">
        <v>50</v>
      </c>
      <c r="G87" s="10">
        <f t="shared" si="29"/>
        <v>9.3333333333333339</v>
      </c>
      <c r="H87" s="4">
        <v>50</v>
      </c>
      <c r="I87" s="5">
        <f t="shared" si="30"/>
        <v>420</v>
      </c>
      <c r="J87" s="5">
        <f t="shared" si="31"/>
        <v>370</v>
      </c>
      <c r="K87">
        <v>25</v>
      </c>
      <c r="N87" s="83">
        <v>342</v>
      </c>
      <c r="O87" s="162"/>
    </row>
    <row r="88" spans="1:17">
      <c r="A88" s="146" t="s">
        <v>807</v>
      </c>
      <c r="B88" s="4">
        <v>8</v>
      </c>
      <c r="C88" s="4">
        <v>3</v>
      </c>
      <c r="D88" s="4">
        <v>45</v>
      </c>
      <c r="E88" s="4">
        <v>1</v>
      </c>
      <c r="F88" s="4">
        <v>50</v>
      </c>
      <c r="G88" s="10">
        <f t="shared" si="29"/>
        <v>8.0500000000000007</v>
      </c>
      <c r="H88" s="4">
        <v>50</v>
      </c>
      <c r="I88" s="5">
        <f t="shared" si="30"/>
        <v>362.25000000000006</v>
      </c>
      <c r="J88" s="5">
        <f t="shared" si="31"/>
        <v>312.25000000000006</v>
      </c>
      <c r="K88">
        <v>19</v>
      </c>
      <c r="N88" s="83">
        <v>598</v>
      </c>
      <c r="O88" s="162"/>
    </row>
    <row r="89" spans="1:17">
      <c r="A89" s="146" t="s">
        <v>808</v>
      </c>
      <c r="B89" s="4">
        <v>6</v>
      </c>
      <c r="C89" s="4">
        <v>53</v>
      </c>
      <c r="D89" s="4">
        <v>45</v>
      </c>
      <c r="E89" s="4">
        <v>1</v>
      </c>
      <c r="F89" s="4">
        <v>50</v>
      </c>
      <c r="G89" s="10">
        <f t="shared" si="29"/>
        <v>6.8833333333333329</v>
      </c>
      <c r="H89" s="4">
        <v>50</v>
      </c>
      <c r="I89" s="5">
        <f t="shared" si="30"/>
        <v>309.75</v>
      </c>
      <c r="J89" s="5">
        <f t="shared" si="31"/>
        <v>259.75</v>
      </c>
      <c r="K89">
        <v>18</v>
      </c>
      <c r="N89" s="83">
        <v>500</v>
      </c>
      <c r="O89" s="162"/>
      <c r="P89" t="s">
        <v>814</v>
      </c>
    </row>
    <row r="90" spans="1:17" ht="16" thickBot="1">
      <c r="A90" s="146" t="s">
        <v>809</v>
      </c>
      <c r="B90" s="4">
        <v>9</v>
      </c>
      <c r="C90" s="4">
        <v>10</v>
      </c>
      <c r="D90" s="4">
        <v>45</v>
      </c>
      <c r="E90" s="4">
        <v>1</v>
      </c>
      <c r="F90" s="4">
        <v>50</v>
      </c>
      <c r="G90" s="10">
        <f t="shared" si="29"/>
        <v>9.1666666666666661</v>
      </c>
      <c r="H90" s="4">
        <f>50+97.8</f>
        <v>147.80000000000001</v>
      </c>
      <c r="I90" s="5">
        <f t="shared" si="30"/>
        <v>412.5</v>
      </c>
      <c r="J90" s="5">
        <f t="shared" si="31"/>
        <v>264.7</v>
      </c>
      <c r="K90">
        <v>18</v>
      </c>
      <c r="N90" s="82">
        <f>920+663</f>
        <v>1583</v>
      </c>
      <c r="O90" s="162"/>
    </row>
    <row r="91" spans="1:17" ht="20" thickBot="1">
      <c r="A91" s="91" t="s">
        <v>505</v>
      </c>
      <c r="B91" s="8">
        <f>SUM(B92:B98)</f>
        <v>53</v>
      </c>
      <c r="C91" s="8">
        <f>SUM(C92:C98)</f>
        <v>221</v>
      </c>
      <c r="D91" s="8">
        <v>45</v>
      </c>
      <c r="E91" s="8">
        <f>SUM(E92:E98)</f>
        <v>6</v>
      </c>
      <c r="F91" s="8">
        <f>SUM(F92:F98)</f>
        <v>300</v>
      </c>
      <c r="G91" s="93">
        <f t="shared" si="29"/>
        <v>56.68333333333333</v>
      </c>
      <c r="H91" s="8">
        <f>SUM(H92:H98)</f>
        <v>300</v>
      </c>
      <c r="I91" s="9">
        <f>SUM(I92:I98)</f>
        <v>2550.75</v>
      </c>
      <c r="J91" s="14">
        <f>SUM(J92:J98)</f>
        <v>2250.75</v>
      </c>
      <c r="K91" s="8">
        <f>SUM(K92:K98)</f>
        <v>136</v>
      </c>
      <c r="L91" s="159">
        <v>0</v>
      </c>
      <c r="M91" s="160">
        <f>J91</f>
        <v>2250.75</v>
      </c>
      <c r="N91" s="156">
        <f>SUM(N92:N98)</f>
        <v>4126</v>
      </c>
      <c r="O91" s="161">
        <f>4122-N91</f>
        <v>-4</v>
      </c>
      <c r="P91" s="86"/>
      <c r="Q91" s="86"/>
    </row>
    <row r="92" spans="1:17">
      <c r="A92" s="146" t="s">
        <v>812</v>
      </c>
      <c r="B92" s="4">
        <v>9</v>
      </c>
      <c r="C92" s="4">
        <v>47</v>
      </c>
      <c r="D92" s="4">
        <v>45</v>
      </c>
      <c r="E92" s="4">
        <v>1</v>
      </c>
      <c r="F92" s="4">
        <v>50</v>
      </c>
      <c r="G92" s="10">
        <f t="shared" si="29"/>
        <v>9.7833333333333332</v>
      </c>
      <c r="H92" s="4">
        <v>50</v>
      </c>
      <c r="I92" s="5">
        <f t="shared" ref="I92:I98" si="32">G92*D92</f>
        <v>440.25</v>
      </c>
      <c r="J92" s="5">
        <f t="shared" ref="J92:J98" si="33">I92-H92</f>
        <v>390.25</v>
      </c>
      <c r="K92">
        <v>22</v>
      </c>
      <c r="N92" s="83">
        <v>0</v>
      </c>
      <c r="O92" s="163"/>
    </row>
    <row r="93" spans="1:17">
      <c r="A93" s="146" t="s">
        <v>804</v>
      </c>
      <c r="B93" s="4">
        <v>9</v>
      </c>
      <c r="C93" s="4">
        <v>33</v>
      </c>
      <c r="D93" s="4">
        <v>45</v>
      </c>
      <c r="E93" s="4">
        <v>1</v>
      </c>
      <c r="F93" s="4">
        <v>50</v>
      </c>
      <c r="G93" s="10">
        <f t="shared" si="29"/>
        <v>9.5500000000000007</v>
      </c>
      <c r="H93" s="4">
        <v>50</v>
      </c>
      <c r="I93" s="5">
        <f t="shared" si="32"/>
        <v>429.75000000000006</v>
      </c>
      <c r="J93" s="5">
        <f t="shared" si="33"/>
        <v>379.75000000000006</v>
      </c>
      <c r="K93">
        <v>20</v>
      </c>
      <c r="N93" s="83">
        <v>430</v>
      </c>
      <c r="O93" s="162"/>
    </row>
    <row r="94" spans="1:17">
      <c r="A94" s="146" t="s">
        <v>805</v>
      </c>
      <c r="B94" s="4">
        <v>9</v>
      </c>
      <c r="C94" s="4">
        <v>36</v>
      </c>
      <c r="D94" s="4">
        <v>45</v>
      </c>
      <c r="E94" s="4">
        <v>1</v>
      </c>
      <c r="F94" s="4">
        <v>50</v>
      </c>
      <c r="G94" s="10">
        <f t="shared" si="29"/>
        <v>9.6</v>
      </c>
      <c r="H94" s="4">
        <v>50</v>
      </c>
      <c r="I94" s="5">
        <f t="shared" si="32"/>
        <v>432</v>
      </c>
      <c r="J94" s="5">
        <f t="shared" si="33"/>
        <v>382</v>
      </c>
      <c r="K94">
        <v>25</v>
      </c>
      <c r="N94" s="83">
        <v>540</v>
      </c>
      <c r="O94" s="162"/>
      <c r="Q94" t="s">
        <v>64</v>
      </c>
    </row>
    <row r="95" spans="1:17">
      <c r="A95" s="146" t="s">
        <v>806</v>
      </c>
      <c r="B95" s="4">
        <v>9</v>
      </c>
      <c r="C95" s="4">
        <v>41</v>
      </c>
      <c r="D95" s="4">
        <v>45</v>
      </c>
      <c r="E95" s="4">
        <v>1</v>
      </c>
      <c r="F95" s="4">
        <v>50</v>
      </c>
      <c r="G95" s="10">
        <f t="shared" si="29"/>
        <v>9.6833333333333336</v>
      </c>
      <c r="H95" s="4">
        <v>50</v>
      </c>
      <c r="I95" s="5">
        <f t="shared" si="32"/>
        <v>435.75</v>
      </c>
      <c r="J95" s="5">
        <f t="shared" si="33"/>
        <v>385.75</v>
      </c>
      <c r="K95">
        <v>21</v>
      </c>
      <c r="N95" s="83">
        <v>781</v>
      </c>
      <c r="O95" s="162"/>
    </row>
    <row r="96" spans="1:17">
      <c r="A96" s="146" t="s">
        <v>807</v>
      </c>
      <c r="B96" s="4">
        <v>8</v>
      </c>
      <c r="C96" s="4">
        <v>35</v>
      </c>
      <c r="D96" s="4">
        <v>45</v>
      </c>
      <c r="E96" s="4">
        <v>1</v>
      </c>
      <c r="F96" s="4">
        <v>50</v>
      </c>
      <c r="G96" s="10">
        <f t="shared" si="29"/>
        <v>8.5833333333333339</v>
      </c>
      <c r="H96" s="4">
        <v>50</v>
      </c>
      <c r="I96" s="5">
        <f t="shared" si="32"/>
        <v>386.25</v>
      </c>
      <c r="J96" s="5">
        <f t="shared" si="33"/>
        <v>336.25</v>
      </c>
      <c r="K96">
        <v>22</v>
      </c>
      <c r="N96" s="83">
        <v>685</v>
      </c>
      <c r="O96" s="162"/>
    </row>
    <row r="97" spans="1:17">
      <c r="A97" s="146" t="s">
        <v>808</v>
      </c>
      <c r="B97" s="4">
        <v>9</v>
      </c>
      <c r="C97" s="4">
        <v>29</v>
      </c>
      <c r="D97" s="4">
        <v>45</v>
      </c>
      <c r="E97" s="4">
        <v>1</v>
      </c>
      <c r="F97" s="4">
        <v>50</v>
      </c>
      <c r="G97" s="10">
        <f t="shared" si="29"/>
        <v>9.4833333333333325</v>
      </c>
      <c r="H97" s="4">
        <v>50</v>
      </c>
      <c r="I97" s="5">
        <f t="shared" si="32"/>
        <v>426.74999999999994</v>
      </c>
      <c r="J97" s="5">
        <f t="shared" si="33"/>
        <v>376.74999999999994</v>
      </c>
      <c r="K97">
        <v>26</v>
      </c>
      <c r="N97" s="83">
        <v>860</v>
      </c>
      <c r="O97" s="162"/>
    </row>
    <row r="98" spans="1:17" ht="16" thickBot="1">
      <c r="A98" s="146" t="s">
        <v>809</v>
      </c>
      <c r="B98" s="4">
        <v>0</v>
      </c>
      <c r="C98" s="4">
        <v>0</v>
      </c>
      <c r="D98" s="4">
        <v>45</v>
      </c>
      <c r="E98" s="4">
        <v>0</v>
      </c>
      <c r="F98" s="4">
        <v>0</v>
      </c>
      <c r="G98" s="10">
        <f t="shared" si="29"/>
        <v>0</v>
      </c>
      <c r="H98" s="4">
        <v>0</v>
      </c>
      <c r="I98" s="5">
        <f t="shared" si="32"/>
        <v>0</v>
      </c>
      <c r="J98" s="5">
        <f t="shared" si="33"/>
        <v>0</v>
      </c>
      <c r="K98">
        <v>0</v>
      </c>
      <c r="N98" s="83">
        <v>830</v>
      </c>
      <c r="O98" s="162"/>
    </row>
    <row r="99" spans="1:17" s="86" customFormat="1" ht="20" thickBot="1">
      <c r="A99" s="91" t="s">
        <v>815</v>
      </c>
      <c r="B99" s="8">
        <f>SUM(B100:B106)</f>
        <v>42</v>
      </c>
      <c r="C99" s="8">
        <f>SUM(C100:C106)</f>
        <v>202</v>
      </c>
      <c r="D99" s="8">
        <v>45</v>
      </c>
      <c r="E99" s="8">
        <f>SUM(E100:E106)</f>
        <v>6</v>
      </c>
      <c r="F99" s="8">
        <f>SUM(F100:F106)</f>
        <v>300</v>
      </c>
      <c r="G99" s="93">
        <f t="shared" si="29"/>
        <v>45.366666666666667</v>
      </c>
      <c r="H99" s="8">
        <f>SUM(H100:H106)</f>
        <v>324.10000000000002</v>
      </c>
      <c r="I99" s="14">
        <f>SUM(I100:I106)</f>
        <v>2450.8333333333335</v>
      </c>
      <c r="J99" s="14">
        <f>SUM(J100:J106)</f>
        <v>2126.7333333333336</v>
      </c>
      <c r="K99" s="8">
        <f>SUM(K100:K106)</f>
        <v>126</v>
      </c>
      <c r="L99" s="159">
        <v>0</v>
      </c>
      <c r="M99" s="160">
        <f>J99</f>
        <v>2126.7333333333336</v>
      </c>
      <c r="N99" s="156">
        <f>SUM(N100:N106)</f>
        <v>3479</v>
      </c>
      <c r="O99" s="161">
        <f>3479-N99</f>
        <v>0</v>
      </c>
    </row>
    <row r="100" spans="1:17">
      <c r="A100" s="146" t="s">
        <v>812</v>
      </c>
      <c r="B100" s="4">
        <v>9</v>
      </c>
      <c r="C100" s="4">
        <v>32</v>
      </c>
      <c r="D100" s="4">
        <v>45</v>
      </c>
      <c r="E100" s="4">
        <v>1</v>
      </c>
      <c r="F100" s="4">
        <v>50</v>
      </c>
      <c r="G100" s="10">
        <f t="shared" si="29"/>
        <v>9.5333333333333332</v>
      </c>
      <c r="H100" s="4">
        <v>50</v>
      </c>
      <c r="I100" s="5">
        <f t="shared" ref="I100:I106" si="34">G100*D100</f>
        <v>429</v>
      </c>
      <c r="J100" s="5">
        <f t="shared" ref="J100:J106" si="35">I100-H100</f>
        <v>379</v>
      </c>
      <c r="K100">
        <v>25</v>
      </c>
      <c r="N100" s="83">
        <v>300</v>
      </c>
      <c r="O100" s="163"/>
    </row>
    <row r="101" spans="1:17">
      <c r="A101" s="146" t="s">
        <v>804</v>
      </c>
      <c r="B101" s="4">
        <v>5</v>
      </c>
      <c r="C101" s="4">
        <v>30</v>
      </c>
      <c r="D101" s="4">
        <v>45</v>
      </c>
      <c r="E101" s="4">
        <v>1</v>
      </c>
      <c r="F101" s="4">
        <v>50</v>
      </c>
      <c r="G101" s="10">
        <f t="shared" si="29"/>
        <v>5.5</v>
      </c>
      <c r="H101" s="4">
        <v>50</v>
      </c>
      <c r="I101" s="5">
        <f t="shared" si="34"/>
        <v>247.5</v>
      </c>
      <c r="J101" s="5">
        <f t="shared" si="35"/>
        <v>197.5</v>
      </c>
      <c r="K101">
        <v>11</v>
      </c>
      <c r="N101" s="83">
        <v>442</v>
      </c>
      <c r="O101" s="162"/>
    </row>
    <row r="102" spans="1:17">
      <c r="A102" s="146" t="s">
        <v>805</v>
      </c>
      <c r="B102" s="4">
        <v>0</v>
      </c>
      <c r="C102" s="4">
        <v>0</v>
      </c>
      <c r="D102" s="4">
        <v>55</v>
      </c>
      <c r="E102" s="4">
        <v>0</v>
      </c>
      <c r="F102" s="4">
        <v>0</v>
      </c>
      <c r="G102" s="10">
        <f t="shared" si="29"/>
        <v>0</v>
      </c>
      <c r="H102" s="4">
        <v>0</v>
      </c>
      <c r="I102" s="5">
        <f t="shared" si="34"/>
        <v>0</v>
      </c>
      <c r="J102" s="5">
        <f t="shared" si="35"/>
        <v>0</v>
      </c>
      <c r="K102">
        <v>0</v>
      </c>
      <c r="N102" s="83">
        <v>440</v>
      </c>
      <c r="O102" s="162"/>
      <c r="Q102" t="s">
        <v>64</v>
      </c>
    </row>
    <row r="103" spans="1:17">
      <c r="A103" s="146" t="s">
        <v>806</v>
      </c>
      <c r="B103" s="4">
        <v>10</v>
      </c>
      <c r="C103" s="4">
        <v>36</v>
      </c>
      <c r="D103" s="4">
        <v>65</v>
      </c>
      <c r="E103" s="4">
        <v>1</v>
      </c>
      <c r="F103" s="4">
        <v>50</v>
      </c>
      <c r="G103" s="10">
        <f t="shared" si="29"/>
        <v>10.6</v>
      </c>
      <c r="H103" s="4">
        <v>50</v>
      </c>
      <c r="I103" s="5">
        <f t="shared" si="34"/>
        <v>689</v>
      </c>
      <c r="J103" s="5">
        <f t="shared" si="35"/>
        <v>639</v>
      </c>
      <c r="K103">
        <v>32</v>
      </c>
      <c r="N103" s="83">
        <v>0</v>
      </c>
      <c r="O103" s="162"/>
    </row>
    <row r="104" spans="1:17">
      <c r="A104" s="146" t="s">
        <v>807</v>
      </c>
      <c r="B104" s="4">
        <v>9</v>
      </c>
      <c r="C104" s="4">
        <v>50</v>
      </c>
      <c r="D104" s="4">
        <v>55</v>
      </c>
      <c r="E104" s="4">
        <v>1</v>
      </c>
      <c r="F104" s="4">
        <v>50</v>
      </c>
      <c r="G104" s="10">
        <f t="shared" si="29"/>
        <v>9.8333333333333339</v>
      </c>
      <c r="H104" s="4">
        <v>50</v>
      </c>
      <c r="I104" s="5">
        <f t="shared" si="34"/>
        <v>540.83333333333337</v>
      </c>
      <c r="J104" s="5">
        <f t="shared" si="35"/>
        <v>490.83333333333337</v>
      </c>
      <c r="K104">
        <v>28</v>
      </c>
      <c r="N104" s="83">
        <v>772</v>
      </c>
      <c r="O104" s="162"/>
    </row>
    <row r="105" spans="1:17">
      <c r="A105" s="146" t="s">
        <v>808</v>
      </c>
      <c r="B105" s="4">
        <v>9</v>
      </c>
      <c r="C105" s="4">
        <v>54</v>
      </c>
      <c r="D105" s="4">
        <v>55</v>
      </c>
      <c r="E105" s="4">
        <v>1</v>
      </c>
      <c r="F105" s="4">
        <v>50</v>
      </c>
      <c r="G105" s="10">
        <f t="shared" si="29"/>
        <v>9.9</v>
      </c>
      <c r="H105" s="4">
        <f>50+74.1</f>
        <v>124.1</v>
      </c>
      <c r="I105" s="5">
        <f t="shared" si="34"/>
        <v>544.5</v>
      </c>
      <c r="J105" s="5">
        <f t="shared" si="35"/>
        <v>420.4</v>
      </c>
      <c r="K105">
        <v>30</v>
      </c>
      <c r="N105" s="83">
        <v>550</v>
      </c>
      <c r="O105" s="162"/>
    </row>
    <row r="106" spans="1:17" ht="16" thickBot="1">
      <c r="A106" s="146" t="s">
        <v>809</v>
      </c>
      <c r="B106" s="4">
        <v>0</v>
      </c>
      <c r="C106" s="4">
        <v>0</v>
      </c>
      <c r="D106" s="4">
        <v>45</v>
      </c>
      <c r="E106" s="4">
        <v>1</v>
      </c>
      <c r="F106" s="4">
        <v>50</v>
      </c>
      <c r="G106" s="10">
        <f t="shared" si="29"/>
        <v>0</v>
      </c>
      <c r="H106" s="4">
        <v>0</v>
      </c>
      <c r="I106" s="5">
        <f t="shared" si="34"/>
        <v>0</v>
      </c>
      <c r="J106" s="5">
        <f t="shared" si="35"/>
        <v>0</v>
      </c>
      <c r="K106">
        <v>0</v>
      </c>
      <c r="N106" s="83">
        <f>800+175</f>
        <v>975</v>
      </c>
      <c r="O106" s="162"/>
    </row>
    <row r="107" spans="1:17" s="86" customFormat="1" ht="20" thickBot="1">
      <c r="A107" s="91" t="s">
        <v>816</v>
      </c>
      <c r="B107" s="8">
        <f>SUM(B108:B113)</f>
        <v>57</v>
      </c>
      <c r="C107" s="8">
        <f>SUM(C108:C113)</f>
        <v>176</v>
      </c>
      <c r="D107" s="8">
        <f>SUM(D108)</f>
        <v>45</v>
      </c>
      <c r="E107" s="8">
        <f>SUM(E108:E113)</f>
        <v>6</v>
      </c>
      <c r="F107" s="8">
        <f>SUM(F108:F113)</f>
        <v>300</v>
      </c>
      <c r="G107" s="93">
        <f t="shared" si="29"/>
        <v>59.93333333333333</v>
      </c>
      <c r="H107" s="8">
        <f>SUM(H108:H114)</f>
        <v>375.6</v>
      </c>
      <c r="I107" s="9">
        <f>SUM(I108:I114)</f>
        <v>2791</v>
      </c>
      <c r="J107" s="14">
        <f>SUM(J108:J114)</f>
        <v>2415.4</v>
      </c>
      <c r="K107" s="8">
        <f>SUM(K108:K114)</f>
        <v>141</v>
      </c>
      <c r="L107" s="159">
        <v>0</v>
      </c>
      <c r="M107" s="160">
        <f>J107</f>
        <v>2415.4</v>
      </c>
      <c r="N107" s="156">
        <f>SUM(N108:N114)</f>
        <v>4526</v>
      </c>
      <c r="O107" s="161">
        <f>4525-N107</f>
        <v>-1</v>
      </c>
    </row>
    <row r="108" spans="1:17">
      <c r="A108" s="145">
        <v>46104</v>
      </c>
      <c r="B108" s="4">
        <v>9</v>
      </c>
      <c r="C108" s="4">
        <v>50</v>
      </c>
      <c r="D108" s="4">
        <v>45</v>
      </c>
      <c r="E108" s="4">
        <v>1</v>
      </c>
      <c r="F108" s="4">
        <v>50</v>
      </c>
      <c r="G108" s="10">
        <f>B108+C108/60</f>
        <v>9.8333333333333339</v>
      </c>
      <c r="H108" s="4">
        <v>50</v>
      </c>
      <c r="I108" s="5">
        <f t="shared" ref="I108:I113" si="36">G108*D108</f>
        <v>442.5</v>
      </c>
      <c r="J108" s="5">
        <f>I108-H108</f>
        <v>392.5</v>
      </c>
      <c r="K108">
        <v>23</v>
      </c>
      <c r="N108" s="83">
        <f>413+200</f>
        <v>613</v>
      </c>
      <c r="O108" s="163"/>
      <c r="P108" t="s">
        <v>743</v>
      </c>
    </row>
    <row r="109" spans="1:17">
      <c r="A109" s="145">
        <v>46105</v>
      </c>
      <c r="B109" s="4">
        <v>9</v>
      </c>
      <c r="C109" s="4">
        <v>47</v>
      </c>
      <c r="D109" s="4">
        <v>45</v>
      </c>
      <c r="E109" s="4">
        <v>1</v>
      </c>
      <c r="F109" s="4">
        <v>50</v>
      </c>
      <c r="G109" s="10">
        <f t="shared" ref="G109:G123" si="37">B109+C109/60</f>
        <v>9.7833333333333332</v>
      </c>
      <c r="H109" s="4">
        <f>50+75.6</f>
        <v>125.6</v>
      </c>
      <c r="I109" s="5">
        <f t="shared" si="36"/>
        <v>440.25</v>
      </c>
      <c r="J109" s="5">
        <f>I109-H109</f>
        <v>314.64999999999998</v>
      </c>
      <c r="K109">
        <v>20</v>
      </c>
      <c r="N109" s="83">
        <f>280+100</f>
        <v>380</v>
      </c>
      <c r="O109" s="162"/>
      <c r="P109" t="s">
        <v>745</v>
      </c>
    </row>
    <row r="110" spans="1:17">
      <c r="A110" s="145">
        <v>46106</v>
      </c>
      <c r="B110" s="4">
        <v>9</v>
      </c>
      <c r="C110" s="4">
        <v>48</v>
      </c>
      <c r="D110" s="4">
        <v>45</v>
      </c>
      <c r="E110" s="4">
        <v>1</v>
      </c>
      <c r="F110" s="4">
        <v>50</v>
      </c>
      <c r="G110" s="10">
        <f t="shared" si="37"/>
        <v>9.8000000000000007</v>
      </c>
      <c r="H110" s="4">
        <v>50</v>
      </c>
      <c r="I110" s="5">
        <f t="shared" si="36"/>
        <v>441.00000000000006</v>
      </c>
      <c r="J110" s="5">
        <f t="shared" ref="J110:J114" si="38">I110-H110</f>
        <v>391.00000000000006</v>
      </c>
      <c r="K110">
        <v>23</v>
      </c>
      <c r="N110" s="83">
        <f>421+100+200</f>
        <v>721</v>
      </c>
      <c r="O110" s="162"/>
      <c r="P110" t="s">
        <v>738</v>
      </c>
      <c r="Q110" t="s">
        <v>64</v>
      </c>
    </row>
    <row r="111" spans="1:17">
      <c r="A111" s="145">
        <v>46107</v>
      </c>
      <c r="B111" s="4">
        <v>11</v>
      </c>
      <c r="C111" s="4">
        <v>6</v>
      </c>
      <c r="D111" s="4">
        <v>45</v>
      </c>
      <c r="E111" s="4">
        <v>1</v>
      </c>
      <c r="F111" s="4">
        <v>50</v>
      </c>
      <c r="G111" s="10">
        <f t="shared" si="37"/>
        <v>11.1</v>
      </c>
      <c r="H111" s="4">
        <v>50</v>
      </c>
      <c r="I111" s="5">
        <f t="shared" si="36"/>
        <v>499.5</v>
      </c>
      <c r="J111" s="5">
        <f t="shared" si="38"/>
        <v>449.5</v>
      </c>
      <c r="K111">
        <v>26</v>
      </c>
      <c r="N111" s="83">
        <f>832+200</f>
        <v>1032</v>
      </c>
      <c r="O111" s="162"/>
      <c r="P111" t="s">
        <v>736</v>
      </c>
    </row>
    <row r="112" spans="1:17">
      <c r="A112" s="145">
        <v>46108</v>
      </c>
      <c r="B112" s="4">
        <v>10</v>
      </c>
      <c r="C112" s="4">
        <v>1</v>
      </c>
      <c r="D112" s="4">
        <v>45</v>
      </c>
      <c r="E112" s="4">
        <v>1</v>
      </c>
      <c r="F112" s="4">
        <v>50</v>
      </c>
      <c r="G112" s="10">
        <f t="shared" si="37"/>
        <v>10.016666666666667</v>
      </c>
      <c r="H112" s="4">
        <v>50</v>
      </c>
      <c r="I112" s="5">
        <f t="shared" si="36"/>
        <v>450.75000000000006</v>
      </c>
      <c r="J112" s="5">
        <f t="shared" si="38"/>
        <v>400.75000000000006</v>
      </c>
      <c r="K112">
        <v>22</v>
      </c>
      <c r="N112" s="83">
        <v>700</v>
      </c>
      <c r="O112" s="162"/>
    </row>
    <row r="113" spans="1:17">
      <c r="A113" s="145">
        <v>46109</v>
      </c>
      <c r="B113" s="4">
        <v>9</v>
      </c>
      <c r="C113" s="4">
        <v>24</v>
      </c>
      <c r="D113" s="4">
        <v>55</v>
      </c>
      <c r="E113" s="4">
        <v>1</v>
      </c>
      <c r="F113" s="4">
        <v>50</v>
      </c>
      <c r="G113" s="10">
        <f t="shared" si="37"/>
        <v>9.4</v>
      </c>
      <c r="H113" s="4">
        <v>50</v>
      </c>
      <c r="I113" s="5">
        <f t="shared" si="36"/>
        <v>517</v>
      </c>
      <c r="J113" s="5">
        <f t="shared" si="38"/>
        <v>467</v>
      </c>
      <c r="K113">
        <v>27</v>
      </c>
      <c r="N113" s="83">
        <v>830</v>
      </c>
      <c r="O113" s="162"/>
    </row>
    <row r="114" spans="1:17" ht="16" thickBot="1">
      <c r="A114" s="145">
        <v>46110</v>
      </c>
      <c r="B114" s="4">
        <v>0</v>
      </c>
      <c r="C114" s="4">
        <v>0</v>
      </c>
      <c r="D114" s="4">
        <v>45</v>
      </c>
      <c r="E114" s="4">
        <v>0</v>
      </c>
      <c r="F114" s="4">
        <v>0</v>
      </c>
      <c r="G114" s="10">
        <f t="shared" si="37"/>
        <v>0</v>
      </c>
      <c r="H114" s="4">
        <v>0</v>
      </c>
      <c r="I114" s="5">
        <f>G114*D114</f>
        <v>0</v>
      </c>
      <c r="J114" s="5">
        <f t="shared" si="38"/>
        <v>0</v>
      </c>
      <c r="K114">
        <v>0</v>
      </c>
      <c r="N114" s="83">
        <v>250</v>
      </c>
      <c r="O114" s="162"/>
    </row>
    <row r="115" spans="1:17" s="86" customFormat="1" ht="20" thickBot="1">
      <c r="A115" s="91" t="s">
        <v>528</v>
      </c>
      <c r="B115" s="8">
        <f>SUM(B116:B122)</f>
        <v>18</v>
      </c>
      <c r="C115" s="8">
        <f>SUM(C116:C122)</f>
        <v>96</v>
      </c>
      <c r="D115" s="8">
        <f>SUM(D116)</f>
        <v>45</v>
      </c>
      <c r="E115" s="8">
        <f>SUM(E116:E122)</f>
        <v>3</v>
      </c>
      <c r="F115" s="8">
        <f>SUM(F116:F122)</f>
        <v>150</v>
      </c>
      <c r="G115" s="93">
        <f t="shared" si="37"/>
        <v>19.600000000000001</v>
      </c>
      <c r="H115" s="8">
        <f>SUM(H116:H122)</f>
        <v>150</v>
      </c>
      <c r="I115" s="100">
        <f>SUM(I116:I122)</f>
        <v>882</v>
      </c>
      <c r="J115" s="101">
        <f>SUM(J116:J122)</f>
        <v>732</v>
      </c>
      <c r="K115" s="8">
        <f>SUM(K116:K122)</f>
        <v>26</v>
      </c>
      <c r="L115" s="9">
        <v>0</v>
      </c>
      <c r="M115" s="165">
        <f>J115+L115</f>
        <v>732</v>
      </c>
      <c r="N115" s="154">
        <f>SUM(N116:N122)</f>
        <v>947</v>
      </c>
      <c r="O115" s="161">
        <f>947-N115</f>
        <v>0</v>
      </c>
    </row>
    <row r="116" spans="1:17">
      <c r="A116" s="145">
        <v>46104</v>
      </c>
      <c r="B116" s="4">
        <v>0</v>
      </c>
      <c r="C116" s="4">
        <v>0</v>
      </c>
      <c r="D116" s="4">
        <v>45</v>
      </c>
      <c r="E116" s="4">
        <v>0</v>
      </c>
      <c r="F116" s="4">
        <v>0</v>
      </c>
      <c r="G116" s="10">
        <f t="shared" si="37"/>
        <v>0</v>
      </c>
      <c r="H116" s="4">
        <v>0</v>
      </c>
      <c r="I116" s="5">
        <f t="shared" ref="I116:I122" si="39">G116*D116</f>
        <v>0</v>
      </c>
      <c r="J116" s="5">
        <f>I116-H116</f>
        <v>0</v>
      </c>
      <c r="K116">
        <v>0</v>
      </c>
      <c r="N116" s="81">
        <v>0</v>
      </c>
      <c r="O116" s="162"/>
    </row>
    <row r="117" spans="1:17">
      <c r="A117" s="145">
        <v>46105</v>
      </c>
      <c r="B117" s="4">
        <v>0</v>
      </c>
      <c r="C117" s="4">
        <v>0</v>
      </c>
      <c r="D117" s="4">
        <v>45</v>
      </c>
      <c r="E117" s="4">
        <v>0</v>
      </c>
      <c r="F117" s="4">
        <v>0</v>
      </c>
      <c r="G117" s="10">
        <f t="shared" si="37"/>
        <v>0</v>
      </c>
      <c r="H117" s="4">
        <v>0</v>
      </c>
      <c r="I117" s="5">
        <f t="shared" si="39"/>
        <v>0</v>
      </c>
      <c r="J117" s="5">
        <f t="shared" ref="J117:J122" si="40">I117-H117</f>
        <v>0</v>
      </c>
      <c r="K117">
        <v>0</v>
      </c>
      <c r="N117" s="81">
        <v>0</v>
      </c>
      <c r="O117" s="162"/>
    </row>
    <row r="118" spans="1:17">
      <c r="A118" s="145">
        <v>46106</v>
      </c>
      <c r="B118" s="4">
        <v>0</v>
      </c>
      <c r="C118" s="4">
        <v>0</v>
      </c>
      <c r="D118" s="4">
        <v>45</v>
      </c>
      <c r="E118" s="4">
        <v>0</v>
      </c>
      <c r="F118" s="4">
        <v>0</v>
      </c>
      <c r="G118" s="10">
        <f t="shared" si="37"/>
        <v>0</v>
      </c>
      <c r="H118" s="4">
        <v>0</v>
      </c>
      <c r="I118" s="5">
        <f t="shared" si="39"/>
        <v>0</v>
      </c>
      <c r="J118" s="5">
        <f t="shared" si="40"/>
        <v>0</v>
      </c>
      <c r="K118">
        <v>0</v>
      </c>
      <c r="N118" s="81">
        <v>0</v>
      </c>
      <c r="O118" s="162"/>
    </row>
    <row r="119" spans="1:17">
      <c r="A119" s="145">
        <v>46107</v>
      </c>
      <c r="B119" s="4">
        <v>0</v>
      </c>
      <c r="C119" s="4">
        <v>0</v>
      </c>
      <c r="D119" s="4">
        <v>45</v>
      </c>
      <c r="E119" s="4">
        <v>0</v>
      </c>
      <c r="F119" s="4">
        <v>0</v>
      </c>
      <c r="G119" s="10">
        <f t="shared" si="37"/>
        <v>0</v>
      </c>
      <c r="H119" s="4">
        <v>0</v>
      </c>
      <c r="I119" s="5">
        <f t="shared" si="39"/>
        <v>0</v>
      </c>
      <c r="J119" s="5">
        <f t="shared" si="40"/>
        <v>0</v>
      </c>
      <c r="K119">
        <v>0</v>
      </c>
      <c r="N119" s="81">
        <v>0</v>
      </c>
      <c r="O119" s="162"/>
    </row>
    <row r="120" spans="1:17">
      <c r="A120" s="145">
        <v>46108</v>
      </c>
      <c r="B120" s="4">
        <v>6</v>
      </c>
      <c r="C120" s="4">
        <v>28</v>
      </c>
      <c r="D120" s="4">
        <v>45</v>
      </c>
      <c r="E120" s="4">
        <v>1</v>
      </c>
      <c r="F120" s="4">
        <v>50</v>
      </c>
      <c r="G120" s="10">
        <f t="shared" si="37"/>
        <v>6.4666666666666668</v>
      </c>
      <c r="H120" s="4">
        <v>50</v>
      </c>
      <c r="I120" s="5">
        <f t="shared" si="39"/>
        <v>291</v>
      </c>
      <c r="J120" s="5">
        <f t="shared" si="40"/>
        <v>241</v>
      </c>
      <c r="K120">
        <v>4</v>
      </c>
      <c r="N120" s="81">
        <v>75</v>
      </c>
      <c r="O120" s="162"/>
    </row>
    <row r="121" spans="1:17">
      <c r="A121" s="145">
        <v>46109</v>
      </c>
      <c r="B121" s="4">
        <v>6</v>
      </c>
      <c r="C121" s="4">
        <v>9</v>
      </c>
      <c r="D121" s="4">
        <v>45</v>
      </c>
      <c r="E121" s="4">
        <v>1</v>
      </c>
      <c r="F121" s="4">
        <v>50</v>
      </c>
      <c r="G121" s="10">
        <f t="shared" si="37"/>
        <v>6.15</v>
      </c>
      <c r="H121" s="4">
        <v>50</v>
      </c>
      <c r="I121" s="5">
        <f t="shared" si="39"/>
        <v>276.75</v>
      </c>
      <c r="J121" s="5">
        <f t="shared" si="40"/>
        <v>226.75</v>
      </c>
      <c r="K121">
        <v>8</v>
      </c>
      <c r="N121" s="81">
        <v>215</v>
      </c>
      <c r="O121" s="162"/>
    </row>
    <row r="122" spans="1:17" ht="16" thickBot="1">
      <c r="A122" s="145">
        <v>46110</v>
      </c>
      <c r="B122" s="4">
        <v>6</v>
      </c>
      <c r="C122" s="4">
        <v>59</v>
      </c>
      <c r="D122" s="4">
        <v>45</v>
      </c>
      <c r="E122" s="4">
        <v>1</v>
      </c>
      <c r="F122" s="4">
        <v>50</v>
      </c>
      <c r="G122" s="10">
        <f t="shared" si="37"/>
        <v>6.9833333333333334</v>
      </c>
      <c r="H122" s="4">
        <v>50</v>
      </c>
      <c r="I122" s="5">
        <f t="shared" si="39"/>
        <v>314.25</v>
      </c>
      <c r="J122" s="5">
        <f t="shared" si="40"/>
        <v>264.25</v>
      </c>
      <c r="K122">
        <v>14</v>
      </c>
      <c r="N122" s="81">
        <f>505+152</f>
        <v>657</v>
      </c>
      <c r="O122" s="162"/>
    </row>
    <row r="123" spans="1:17" s="86" customFormat="1" ht="20" thickBot="1">
      <c r="A123" s="91" t="s">
        <v>529</v>
      </c>
      <c r="B123" s="8">
        <f>SUM(B124:B130)</f>
        <v>36</v>
      </c>
      <c r="C123" s="8">
        <f>SUM(C124:C130)</f>
        <v>89</v>
      </c>
      <c r="D123" s="8">
        <f>SUM(D124)</f>
        <v>45</v>
      </c>
      <c r="E123" s="8">
        <f>SUM(E124:E130)</f>
        <v>7</v>
      </c>
      <c r="F123" s="8">
        <f>SUM(F124:F130)</f>
        <v>300</v>
      </c>
      <c r="G123" s="93">
        <f t="shared" si="37"/>
        <v>37.483333333333334</v>
      </c>
      <c r="H123" s="8">
        <f>SUM(H124:H130)</f>
        <v>200</v>
      </c>
      <c r="I123" s="9">
        <f>SUM(I124:I130)</f>
        <v>1994.0833333333335</v>
      </c>
      <c r="J123" s="14">
        <f>SUM(J124:J130)</f>
        <v>1794.0833333333335</v>
      </c>
      <c r="K123" s="8">
        <f>SUM(K124:K130)</f>
        <v>108</v>
      </c>
      <c r="L123" s="159">
        <v>0</v>
      </c>
      <c r="M123" s="160">
        <f>J123</f>
        <v>1794.0833333333335</v>
      </c>
      <c r="N123" s="156">
        <f>SUM(N124:N130)</f>
        <v>2714</v>
      </c>
      <c r="O123" s="161">
        <f>2714-N123</f>
        <v>0</v>
      </c>
    </row>
    <row r="124" spans="1:17">
      <c r="A124" s="145">
        <v>46104</v>
      </c>
      <c r="B124" s="4">
        <v>0</v>
      </c>
      <c r="C124" s="4">
        <v>0</v>
      </c>
      <c r="D124" s="4">
        <v>45</v>
      </c>
      <c r="E124" s="4">
        <v>1</v>
      </c>
      <c r="F124" s="4">
        <v>50</v>
      </c>
      <c r="G124" s="10">
        <f>B124+C124/60</f>
        <v>0</v>
      </c>
      <c r="H124" s="4">
        <v>0</v>
      </c>
      <c r="I124" s="5">
        <f t="shared" ref="I124:I130" si="41">G124*D124</f>
        <v>0</v>
      </c>
      <c r="J124" s="5">
        <f>I124-H124</f>
        <v>0</v>
      </c>
      <c r="K124">
        <v>0</v>
      </c>
      <c r="N124" s="83">
        <v>0</v>
      </c>
      <c r="O124" s="163"/>
    </row>
    <row r="125" spans="1:17">
      <c r="A125" s="145">
        <v>46105</v>
      </c>
      <c r="B125" s="4">
        <v>0</v>
      </c>
      <c r="C125" s="4">
        <v>0</v>
      </c>
      <c r="D125" s="4">
        <v>45</v>
      </c>
      <c r="E125" s="4">
        <v>1</v>
      </c>
      <c r="F125" s="4">
        <v>50</v>
      </c>
      <c r="G125" s="10">
        <f t="shared" ref="G125:G130" si="42">B125+C125/60</f>
        <v>0</v>
      </c>
      <c r="H125" s="4">
        <v>0</v>
      </c>
      <c r="I125" s="5">
        <f t="shared" si="41"/>
        <v>0</v>
      </c>
      <c r="J125" s="5">
        <f>I125-H125</f>
        <v>0</v>
      </c>
      <c r="K125">
        <v>0</v>
      </c>
      <c r="N125" s="83">
        <v>0</v>
      </c>
      <c r="O125" s="162"/>
    </row>
    <row r="126" spans="1:17">
      <c r="A126" s="146" t="s">
        <v>805</v>
      </c>
      <c r="B126" s="4">
        <v>9</v>
      </c>
      <c r="C126" s="4">
        <v>4</v>
      </c>
      <c r="D126" s="4">
        <v>55</v>
      </c>
      <c r="E126" s="4">
        <v>1</v>
      </c>
      <c r="F126" s="4">
        <v>0</v>
      </c>
      <c r="G126" s="10">
        <f t="shared" si="42"/>
        <v>9.0666666666666664</v>
      </c>
      <c r="H126" s="4">
        <v>50</v>
      </c>
      <c r="I126" s="5">
        <f t="shared" si="41"/>
        <v>498.66666666666663</v>
      </c>
      <c r="J126" s="5">
        <f t="shared" ref="J126:J130" si="43">I126-H126</f>
        <v>448.66666666666663</v>
      </c>
      <c r="K126">
        <v>27</v>
      </c>
      <c r="N126" s="83">
        <v>500</v>
      </c>
      <c r="O126" s="162"/>
      <c r="Q126" t="s">
        <v>64</v>
      </c>
    </row>
    <row r="127" spans="1:17">
      <c r="A127" s="146" t="s">
        <v>806</v>
      </c>
      <c r="B127" s="4">
        <v>9</v>
      </c>
      <c r="C127" s="4">
        <v>10</v>
      </c>
      <c r="D127" s="4">
        <v>45</v>
      </c>
      <c r="E127" s="4">
        <v>1</v>
      </c>
      <c r="F127" s="4">
        <v>50</v>
      </c>
      <c r="G127" s="10">
        <f t="shared" si="42"/>
        <v>9.1666666666666661</v>
      </c>
      <c r="H127" s="4">
        <v>50</v>
      </c>
      <c r="I127" s="5">
        <f t="shared" si="41"/>
        <v>412.5</v>
      </c>
      <c r="J127" s="5">
        <f t="shared" si="43"/>
        <v>362.5</v>
      </c>
      <c r="K127">
        <v>22</v>
      </c>
      <c r="N127" s="83">
        <v>536</v>
      </c>
      <c r="O127" s="162"/>
    </row>
    <row r="128" spans="1:17">
      <c r="A128" s="146" t="s">
        <v>807</v>
      </c>
      <c r="B128" s="4">
        <v>10</v>
      </c>
      <c r="C128" s="4">
        <v>50</v>
      </c>
      <c r="D128" s="4">
        <v>65</v>
      </c>
      <c r="E128" s="4">
        <v>1</v>
      </c>
      <c r="F128" s="4">
        <v>50</v>
      </c>
      <c r="G128" s="10">
        <f t="shared" si="42"/>
        <v>10.833333333333334</v>
      </c>
      <c r="H128" s="4">
        <v>50</v>
      </c>
      <c r="I128" s="5">
        <f t="shared" si="41"/>
        <v>704.16666666666674</v>
      </c>
      <c r="J128" s="5">
        <f t="shared" si="43"/>
        <v>654.16666666666674</v>
      </c>
      <c r="K128">
        <v>33</v>
      </c>
      <c r="N128" s="83">
        <v>907</v>
      </c>
      <c r="O128" s="162"/>
    </row>
    <row r="129" spans="1:17">
      <c r="A129" s="146" t="s">
        <v>808</v>
      </c>
      <c r="B129" s="4">
        <v>8</v>
      </c>
      <c r="C129" s="4">
        <v>25</v>
      </c>
      <c r="D129" s="4">
        <v>45</v>
      </c>
      <c r="E129" s="4">
        <v>1</v>
      </c>
      <c r="F129" s="4">
        <v>50</v>
      </c>
      <c r="G129" s="10">
        <f t="shared" si="42"/>
        <v>8.4166666666666661</v>
      </c>
      <c r="H129" s="4">
        <v>50</v>
      </c>
      <c r="I129" s="5">
        <f t="shared" si="41"/>
        <v>378.75</v>
      </c>
      <c r="J129" s="5">
        <f t="shared" si="43"/>
        <v>328.75</v>
      </c>
      <c r="K129">
        <v>26</v>
      </c>
      <c r="N129" s="83">
        <f>621+150</f>
        <v>771</v>
      </c>
      <c r="O129" s="162"/>
      <c r="P129" t="s">
        <v>729</v>
      </c>
    </row>
    <row r="130" spans="1:17" ht="16" thickBot="1">
      <c r="A130" s="146" t="s">
        <v>809</v>
      </c>
      <c r="B130" s="4">
        <v>0</v>
      </c>
      <c r="C130" s="4">
        <v>0</v>
      </c>
      <c r="D130" s="4">
        <v>45</v>
      </c>
      <c r="E130" s="4">
        <v>1</v>
      </c>
      <c r="F130" s="4">
        <v>50</v>
      </c>
      <c r="G130" s="10">
        <f t="shared" si="42"/>
        <v>0</v>
      </c>
      <c r="H130" s="4">
        <v>0</v>
      </c>
      <c r="I130" s="5">
        <f t="shared" si="41"/>
        <v>0</v>
      </c>
      <c r="J130" s="5">
        <f t="shared" si="43"/>
        <v>0</v>
      </c>
      <c r="K130">
        <v>0</v>
      </c>
      <c r="N130" s="83">
        <v>0</v>
      </c>
      <c r="O130" s="162"/>
    </row>
    <row r="131" spans="1:17" s="86" customFormat="1" ht="20" thickBot="1">
      <c r="A131" s="91" t="s">
        <v>530</v>
      </c>
      <c r="B131" s="8">
        <f>SUM(B132:B138)</f>
        <v>27</v>
      </c>
      <c r="C131" s="8">
        <f t="shared" ref="C131" si="44">SUM(C132:C138)</f>
        <v>79</v>
      </c>
      <c r="D131" s="126">
        <f>SUM(D132)</f>
        <v>45</v>
      </c>
      <c r="E131" s="126">
        <f t="shared" ref="E131:F131" si="45">SUM(E132:E138)</f>
        <v>5</v>
      </c>
      <c r="F131" s="126">
        <f t="shared" si="45"/>
        <v>250</v>
      </c>
      <c r="G131" s="123">
        <f t="shared" ref="G131:G155" si="46">B131+C131/60</f>
        <v>28.316666666666666</v>
      </c>
      <c r="H131" s="8">
        <f>SUM(H132:H138)</f>
        <v>150</v>
      </c>
      <c r="I131" s="158">
        <f>SUM(I132:I138)</f>
        <v>1274.25</v>
      </c>
      <c r="J131" s="158">
        <f>SUM(J132:J138)</f>
        <v>1124.25</v>
      </c>
      <c r="K131" s="8">
        <f>SUM(K132:K138)</f>
        <v>71</v>
      </c>
      <c r="L131" s="159">
        <v>0</v>
      </c>
      <c r="M131" s="160">
        <f>J131</f>
        <v>1124.25</v>
      </c>
      <c r="N131" s="156">
        <f>SUM(N132:N138)</f>
        <v>1875</v>
      </c>
      <c r="O131" s="161">
        <f>1915-N131</f>
        <v>40</v>
      </c>
    </row>
    <row r="132" spans="1:17">
      <c r="A132" s="146" t="s">
        <v>812</v>
      </c>
      <c r="B132" s="4">
        <v>10</v>
      </c>
      <c r="C132" s="4">
        <v>11</v>
      </c>
      <c r="D132" s="4">
        <v>45</v>
      </c>
      <c r="E132" s="4">
        <v>1</v>
      </c>
      <c r="F132" s="4">
        <v>50</v>
      </c>
      <c r="G132" s="10">
        <f>B132+C132/60</f>
        <v>10.183333333333334</v>
      </c>
      <c r="H132" s="4">
        <v>50</v>
      </c>
      <c r="I132" s="5">
        <f t="shared" ref="I132:I138" si="47">G132*D132</f>
        <v>458.25</v>
      </c>
      <c r="J132" s="5">
        <f t="shared" ref="J132:J138" si="48">I132-H132</f>
        <v>408.25</v>
      </c>
      <c r="K132">
        <v>24</v>
      </c>
      <c r="N132" s="83">
        <v>0</v>
      </c>
      <c r="O132" s="163"/>
    </row>
    <row r="133" spans="1:17">
      <c r="A133" s="146" t="s">
        <v>804</v>
      </c>
      <c r="B133" s="4">
        <v>8</v>
      </c>
      <c r="C133" s="4">
        <v>28</v>
      </c>
      <c r="D133" s="4">
        <v>45</v>
      </c>
      <c r="E133" s="4">
        <v>1</v>
      </c>
      <c r="F133" s="4">
        <v>50</v>
      </c>
      <c r="G133" s="10">
        <f t="shared" si="46"/>
        <v>8.4666666666666668</v>
      </c>
      <c r="H133" s="4">
        <v>50</v>
      </c>
      <c r="I133" s="5">
        <f t="shared" si="47"/>
        <v>381</v>
      </c>
      <c r="J133" s="5">
        <f t="shared" si="48"/>
        <v>331</v>
      </c>
      <c r="K133">
        <v>24</v>
      </c>
      <c r="N133" s="83">
        <v>607</v>
      </c>
      <c r="O133" s="162"/>
    </row>
    <row r="134" spans="1:17">
      <c r="A134" s="146" t="s">
        <v>805</v>
      </c>
      <c r="B134" s="4">
        <v>0</v>
      </c>
      <c r="C134" s="4">
        <v>0</v>
      </c>
      <c r="D134" s="4">
        <v>45</v>
      </c>
      <c r="E134" s="4">
        <v>0</v>
      </c>
      <c r="F134" s="4">
        <v>0</v>
      </c>
      <c r="G134" s="10">
        <f t="shared" si="46"/>
        <v>0</v>
      </c>
      <c r="H134" s="4">
        <v>0</v>
      </c>
      <c r="I134" s="5">
        <f t="shared" si="47"/>
        <v>0</v>
      </c>
      <c r="J134" s="5">
        <f t="shared" si="48"/>
        <v>0</v>
      </c>
      <c r="K134">
        <v>0</v>
      </c>
      <c r="N134" s="83">
        <v>485</v>
      </c>
      <c r="O134" s="162"/>
      <c r="Q134" t="s">
        <v>64</v>
      </c>
    </row>
    <row r="135" spans="1:17">
      <c r="A135" s="146" t="s">
        <v>806</v>
      </c>
      <c r="B135" s="4">
        <v>0</v>
      </c>
      <c r="C135" s="4">
        <v>0</v>
      </c>
      <c r="D135" s="4">
        <v>45</v>
      </c>
      <c r="E135" s="4">
        <v>0</v>
      </c>
      <c r="F135" s="4">
        <v>0</v>
      </c>
      <c r="G135" s="10">
        <f t="shared" si="46"/>
        <v>0</v>
      </c>
      <c r="H135" s="4">
        <v>0</v>
      </c>
      <c r="I135" s="5">
        <f t="shared" si="47"/>
        <v>0</v>
      </c>
      <c r="J135" s="5">
        <f t="shared" si="48"/>
        <v>0</v>
      </c>
      <c r="K135">
        <v>0</v>
      </c>
      <c r="N135" s="83">
        <v>0</v>
      </c>
      <c r="O135" s="162"/>
    </row>
    <row r="136" spans="1:17">
      <c r="A136" s="146" t="s">
        <v>807</v>
      </c>
      <c r="B136" s="4">
        <v>9</v>
      </c>
      <c r="C136" s="4">
        <v>40</v>
      </c>
      <c r="D136" s="4">
        <v>45</v>
      </c>
      <c r="E136" s="4">
        <v>1</v>
      </c>
      <c r="F136" s="4">
        <v>50</v>
      </c>
      <c r="G136" s="10">
        <f t="shared" si="46"/>
        <v>9.6666666666666661</v>
      </c>
      <c r="H136" s="4">
        <v>50</v>
      </c>
      <c r="I136" s="5">
        <f t="shared" si="47"/>
        <v>435</v>
      </c>
      <c r="J136" s="5">
        <f t="shared" si="48"/>
        <v>385</v>
      </c>
      <c r="K136">
        <v>23</v>
      </c>
      <c r="N136" s="83">
        <v>783</v>
      </c>
      <c r="O136" s="162"/>
    </row>
    <row r="137" spans="1:17">
      <c r="A137" s="146" t="s">
        <v>808</v>
      </c>
      <c r="B137" s="4">
        <v>0</v>
      </c>
      <c r="C137" s="4">
        <v>0</v>
      </c>
      <c r="D137" s="4">
        <v>45</v>
      </c>
      <c r="E137" s="4">
        <v>1</v>
      </c>
      <c r="F137" s="4">
        <v>50</v>
      </c>
      <c r="G137" s="10">
        <f t="shared" si="46"/>
        <v>0</v>
      </c>
      <c r="H137" s="4">
        <v>0</v>
      </c>
      <c r="I137" s="5">
        <f t="shared" si="47"/>
        <v>0</v>
      </c>
      <c r="J137" s="5">
        <f t="shared" si="48"/>
        <v>0</v>
      </c>
      <c r="K137">
        <v>0</v>
      </c>
      <c r="N137" s="83">
        <v>0</v>
      </c>
      <c r="O137" s="162"/>
    </row>
    <row r="138" spans="1:17" ht="16" thickBot="1">
      <c r="A138" s="146" t="s">
        <v>809</v>
      </c>
      <c r="B138" s="4">
        <v>0</v>
      </c>
      <c r="C138" s="4">
        <v>0</v>
      </c>
      <c r="D138" s="4">
        <v>45</v>
      </c>
      <c r="E138" s="4">
        <v>1</v>
      </c>
      <c r="F138" s="4">
        <v>50</v>
      </c>
      <c r="G138" s="10">
        <f t="shared" si="46"/>
        <v>0</v>
      </c>
      <c r="H138" s="4">
        <v>0</v>
      </c>
      <c r="I138" s="5">
        <f t="shared" si="47"/>
        <v>0</v>
      </c>
      <c r="J138" s="5">
        <f t="shared" si="48"/>
        <v>0</v>
      </c>
      <c r="K138">
        <v>0</v>
      </c>
      <c r="N138" s="83">
        <v>0</v>
      </c>
      <c r="O138" s="162"/>
    </row>
    <row r="139" spans="1:17" s="86" customFormat="1" ht="20" thickBot="1">
      <c r="A139" s="91" t="s">
        <v>531</v>
      </c>
      <c r="B139" s="8">
        <f>SUM(B140:B146)</f>
        <v>48</v>
      </c>
      <c r="C139" s="8">
        <f t="shared" ref="C139" si="49">SUM(C140:C146)</f>
        <v>253</v>
      </c>
      <c r="D139" s="126">
        <f>SUM(D140)</f>
        <v>45</v>
      </c>
      <c r="E139" s="126">
        <f t="shared" ref="E139:F139" si="50">SUM(E140:E146)</f>
        <v>7</v>
      </c>
      <c r="F139" s="126">
        <f t="shared" si="50"/>
        <v>350</v>
      </c>
      <c r="G139" s="123">
        <f t="shared" si="46"/>
        <v>52.216666666666669</v>
      </c>
      <c r="H139" s="8">
        <f>SUM(H140:H146)</f>
        <v>470.7</v>
      </c>
      <c r="I139" s="14">
        <f>SUM(I140:I146)</f>
        <v>2349.75</v>
      </c>
      <c r="J139" s="14">
        <f>SUM(J140:J146)</f>
        <v>1879.05</v>
      </c>
      <c r="K139" s="8"/>
      <c r="L139" s="159">
        <v>0</v>
      </c>
      <c r="M139" s="160">
        <f>J139</f>
        <v>1879.05</v>
      </c>
      <c r="N139" s="156">
        <f>SUM(N141:N146)</f>
        <v>4195</v>
      </c>
      <c r="O139" s="161">
        <f>4190-N139</f>
        <v>-5</v>
      </c>
    </row>
    <row r="140" spans="1:17">
      <c r="A140" s="146" t="s">
        <v>812</v>
      </c>
      <c r="B140" s="4">
        <v>9</v>
      </c>
      <c r="C140" s="4">
        <v>45</v>
      </c>
      <c r="D140" s="4">
        <v>45</v>
      </c>
      <c r="E140" s="4">
        <v>1</v>
      </c>
      <c r="F140" s="4">
        <v>50</v>
      </c>
      <c r="G140" s="10">
        <f t="shared" si="46"/>
        <v>9.75</v>
      </c>
      <c r="H140" s="4">
        <f>50+116.7</f>
        <v>166.7</v>
      </c>
      <c r="I140" s="5">
        <f>G140*D140</f>
        <v>438.75</v>
      </c>
      <c r="J140" s="5">
        <f t="shared" ref="J140" si="51">I140-H140</f>
        <v>272.05</v>
      </c>
      <c r="K140">
        <v>23</v>
      </c>
      <c r="N140" s="150">
        <v>0</v>
      </c>
      <c r="O140" s="163"/>
    </row>
    <row r="141" spans="1:17">
      <c r="A141" s="146" t="s">
        <v>804</v>
      </c>
      <c r="B141" s="4">
        <v>9</v>
      </c>
      <c r="C141" s="4">
        <v>29</v>
      </c>
      <c r="D141" s="4">
        <v>45</v>
      </c>
      <c r="E141" s="4">
        <v>1</v>
      </c>
      <c r="F141" s="4">
        <v>50</v>
      </c>
      <c r="G141" s="10">
        <f t="shared" si="46"/>
        <v>9.4833333333333325</v>
      </c>
      <c r="H141" s="4">
        <f>50+54</f>
        <v>104</v>
      </c>
      <c r="I141" s="5">
        <f>G141*D141</f>
        <v>426.74999999999994</v>
      </c>
      <c r="J141" s="5">
        <f>I141-H141</f>
        <v>322.74999999999994</v>
      </c>
      <c r="K141">
        <v>23</v>
      </c>
      <c r="N141" s="83">
        <v>790</v>
      </c>
      <c r="O141" s="162"/>
    </row>
    <row r="142" spans="1:17">
      <c r="A142" s="146" t="s">
        <v>805</v>
      </c>
      <c r="B142" s="4">
        <v>7</v>
      </c>
      <c r="C142" s="4">
        <v>57</v>
      </c>
      <c r="D142" s="4">
        <v>45</v>
      </c>
      <c r="E142" s="4">
        <v>1</v>
      </c>
      <c r="F142" s="4">
        <v>50</v>
      </c>
      <c r="G142" s="10">
        <f t="shared" si="46"/>
        <v>7.95</v>
      </c>
      <c r="H142" s="4">
        <v>50</v>
      </c>
      <c r="I142" s="5">
        <f t="shared" ref="I142:I146" si="52">G142*D142</f>
        <v>357.75</v>
      </c>
      <c r="J142" s="5">
        <f>I142-H142</f>
        <v>307.75</v>
      </c>
      <c r="K142">
        <v>22</v>
      </c>
      <c r="N142" s="83">
        <v>560</v>
      </c>
      <c r="O142" s="162"/>
      <c r="Q142" t="s">
        <v>64</v>
      </c>
    </row>
    <row r="143" spans="1:17">
      <c r="A143" s="146" t="s">
        <v>806</v>
      </c>
      <c r="B143" s="4">
        <v>8</v>
      </c>
      <c r="C143" s="4">
        <v>22</v>
      </c>
      <c r="D143" s="4">
        <v>45</v>
      </c>
      <c r="E143" s="4">
        <v>1</v>
      </c>
      <c r="F143" s="4">
        <v>50</v>
      </c>
      <c r="G143" s="10">
        <f t="shared" si="46"/>
        <v>8.3666666666666671</v>
      </c>
      <c r="H143" s="4">
        <v>50</v>
      </c>
      <c r="I143" s="5">
        <f t="shared" si="52"/>
        <v>376.5</v>
      </c>
      <c r="J143" s="5">
        <f t="shared" ref="J143:J146" si="53">I143-H143</f>
        <v>326.5</v>
      </c>
      <c r="K143">
        <v>21</v>
      </c>
      <c r="N143" s="83">
        <f>385+150</f>
        <v>535</v>
      </c>
      <c r="O143" s="162"/>
      <c r="P143" t="s">
        <v>553</v>
      </c>
    </row>
    <row r="144" spans="1:17">
      <c r="A144" s="146" t="s">
        <v>807</v>
      </c>
      <c r="B144" s="4">
        <v>7</v>
      </c>
      <c r="C144" s="4">
        <v>44</v>
      </c>
      <c r="D144" s="4">
        <v>45</v>
      </c>
      <c r="E144" s="4">
        <v>1</v>
      </c>
      <c r="F144" s="4">
        <v>50</v>
      </c>
      <c r="G144" s="10">
        <f t="shared" si="46"/>
        <v>7.7333333333333334</v>
      </c>
      <c r="H144" s="4">
        <v>50</v>
      </c>
      <c r="I144" s="5">
        <f t="shared" si="52"/>
        <v>348</v>
      </c>
      <c r="J144" s="5">
        <f t="shared" si="53"/>
        <v>298</v>
      </c>
      <c r="K144">
        <v>20</v>
      </c>
      <c r="N144" s="83">
        <v>770</v>
      </c>
      <c r="O144" s="162"/>
    </row>
    <row r="145" spans="1:17">
      <c r="A145" s="146" t="s">
        <v>808</v>
      </c>
      <c r="B145" s="4">
        <v>8</v>
      </c>
      <c r="C145" s="4">
        <v>56</v>
      </c>
      <c r="D145" s="4">
        <v>45</v>
      </c>
      <c r="E145" s="4">
        <v>1</v>
      </c>
      <c r="F145" s="4">
        <v>50</v>
      </c>
      <c r="G145" s="10">
        <f t="shared" si="46"/>
        <v>8.9333333333333336</v>
      </c>
      <c r="H145" s="4">
        <v>50</v>
      </c>
      <c r="I145" s="5">
        <f t="shared" si="52"/>
        <v>402</v>
      </c>
      <c r="J145" s="5">
        <f t="shared" si="53"/>
        <v>352</v>
      </c>
      <c r="K145">
        <v>20</v>
      </c>
      <c r="N145" s="83">
        <v>690</v>
      </c>
      <c r="O145" s="162"/>
    </row>
    <row r="146" spans="1:17" ht="16" thickBot="1">
      <c r="A146" s="146" t="s">
        <v>809</v>
      </c>
      <c r="B146" s="4">
        <v>0</v>
      </c>
      <c r="C146" s="4">
        <v>0</v>
      </c>
      <c r="D146" s="4">
        <v>45</v>
      </c>
      <c r="E146" s="4">
        <v>1</v>
      </c>
      <c r="F146" s="4">
        <v>50</v>
      </c>
      <c r="G146" s="10">
        <f t="shared" si="46"/>
        <v>0</v>
      </c>
      <c r="H146" s="4">
        <v>0</v>
      </c>
      <c r="I146" s="5">
        <f t="shared" si="52"/>
        <v>0</v>
      </c>
      <c r="J146" s="5">
        <f t="shared" si="53"/>
        <v>0</v>
      </c>
      <c r="K146">
        <v>0</v>
      </c>
      <c r="N146" s="83">
        <f>750+100</f>
        <v>850</v>
      </c>
      <c r="O146" s="162"/>
    </row>
    <row r="147" spans="1:17" s="86" customFormat="1" ht="20" thickBot="1">
      <c r="A147" s="91" t="s">
        <v>532</v>
      </c>
      <c r="B147" s="8">
        <f>SUM(B148:B154)</f>
        <v>44</v>
      </c>
      <c r="C147" s="8">
        <f t="shared" ref="C147" si="54">SUM(C148:C154)</f>
        <v>127</v>
      </c>
      <c r="D147" s="126">
        <f>SUM(D148)</f>
        <v>45</v>
      </c>
      <c r="E147" s="126">
        <f t="shared" ref="E147:F147" si="55">SUM(E148:E154)</f>
        <v>5</v>
      </c>
      <c r="F147" s="126">
        <f t="shared" si="55"/>
        <v>250</v>
      </c>
      <c r="G147" s="123">
        <f t="shared" si="46"/>
        <v>46.116666666666667</v>
      </c>
      <c r="H147" s="8">
        <f>SUM(H148:H154)</f>
        <v>200</v>
      </c>
      <c r="I147" s="14">
        <f>SUM(I148:I154)</f>
        <v>2282.5833333333335</v>
      </c>
      <c r="J147" s="14">
        <f>SUM(J148:J154)</f>
        <v>2082.5833333333335</v>
      </c>
      <c r="K147" s="8">
        <f>SUM(K148:K154)</f>
        <v>130</v>
      </c>
      <c r="L147" s="159">
        <v>0</v>
      </c>
      <c r="M147" s="160">
        <f>J147</f>
        <v>2082.5833333333335</v>
      </c>
      <c r="N147" s="156">
        <f>SUM(N148:N154)</f>
        <v>3300</v>
      </c>
      <c r="O147" s="161">
        <f>3014-N147</f>
        <v>-286</v>
      </c>
    </row>
    <row r="148" spans="1:17">
      <c r="A148" s="145">
        <v>46104</v>
      </c>
      <c r="B148" s="4">
        <v>0</v>
      </c>
      <c r="C148" s="4">
        <v>0</v>
      </c>
      <c r="D148" s="4">
        <v>45</v>
      </c>
      <c r="E148" s="4">
        <v>0</v>
      </c>
      <c r="F148" s="4">
        <v>0</v>
      </c>
      <c r="G148" s="10">
        <f t="shared" si="46"/>
        <v>0</v>
      </c>
      <c r="H148" s="4">
        <v>0</v>
      </c>
      <c r="I148" s="5">
        <f t="shared" ref="I148:I154" si="56">G148*D148</f>
        <v>0</v>
      </c>
      <c r="J148" s="5">
        <f t="shared" ref="J148:J154" si="57">I148-H148</f>
        <v>0</v>
      </c>
      <c r="K148">
        <v>0</v>
      </c>
      <c r="N148" s="83">
        <v>0</v>
      </c>
      <c r="O148" s="163"/>
    </row>
    <row r="149" spans="1:17">
      <c r="A149" s="145">
        <v>46105</v>
      </c>
      <c r="B149" s="4">
        <v>0</v>
      </c>
      <c r="C149" s="4">
        <v>0</v>
      </c>
      <c r="D149" s="4">
        <v>45</v>
      </c>
      <c r="E149" s="4">
        <v>0</v>
      </c>
      <c r="F149" s="4">
        <v>0</v>
      </c>
      <c r="G149" s="10">
        <f t="shared" si="46"/>
        <v>0</v>
      </c>
      <c r="H149" s="4">
        <v>0</v>
      </c>
      <c r="I149" s="5">
        <f t="shared" si="56"/>
        <v>0</v>
      </c>
      <c r="J149" s="5">
        <f t="shared" si="57"/>
        <v>0</v>
      </c>
      <c r="K149">
        <v>0</v>
      </c>
      <c r="N149" s="83">
        <v>0</v>
      </c>
      <c r="O149" s="162"/>
    </row>
    <row r="150" spans="1:17">
      <c r="A150" s="146" t="s">
        <v>805</v>
      </c>
      <c r="B150" s="4">
        <v>10</v>
      </c>
      <c r="C150" s="4">
        <v>18</v>
      </c>
      <c r="D150" s="4">
        <v>55</v>
      </c>
      <c r="E150" s="4">
        <v>1</v>
      </c>
      <c r="F150" s="4">
        <v>50</v>
      </c>
      <c r="G150" s="10">
        <f t="shared" si="46"/>
        <v>10.3</v>
      </c>
      <c r="H150" s="4">
        <v>50</v>
      </c>
      <c r="I150" s="5">
        <f t="shared" si="56"/>
        <v>566.5</v>
      </c>
      <c r="J150" s="5">
        <f t="shared" si="57"/>
        <v>516.5</v>
      </c>
      <c r="K150">
        <v>31</v>
      </c>
      <c r="N150" s="83">
        <v>600</v>
      </c>
      <c r="O150" s="162"/>
      <c r="Q150" t="s">
        <v>64</v>
      </c>
    </row>
    <row r="151" spans="1:17">
      <c r="A151" s="146" t="s">
        <v>806</v>
      </c>
      <c r="B151" s="4">
        <v>8</v>
      </c>
      <c r="C151" s="4">
        <v>6</v>
      </c>
      <c r="D151" s="4">
        <v>45</v>
      </c>
      <c r="E151" s="4">
        <v>1</v>
      </c>
      <c r="F151" s="4">
        <v>50</v>
      </c>
      <c r="G151" s="10">
        <f t="shared" si="46"/>
        <v>8.1</v>
      </c>
      <c r="H151" s="4">
        <v>50</v>
      </c>
      <c r="I151" s="5">
        <f>G151*D151</f>
        <v>364.5</v>
      </c>
      <c r="J151" s="5">
        <f t="shared" si="57"/>
        <v>314.5</v>
      </c>
      <c r="K151">
        <v>23</v>
      </c>
      <c r="N151" s="83">
        <f>622+300</f>
        <v>922</v>
      </c>
      <c r="O151" s="162"/>
      <c r="P151" t="s">
        <v>817</v>
      </c>
    </row>
    <row r="152" spans="1:17">
      <c r="A152" s="146" t="s">
        <v>807</v>
      </c>
      <c r="B152" s="4">
        <v>8</v>
      </c>
      <c r="C152" s="4">
        <v>57</v>
      </c>
      <c r="D152" s="4">
        <v>45</v>
      </c>
      <c r="E152" s="4">
        <v>1</v>
      </c>
      <c r="F152" s="4">
        <v>50</v>
      </c>
      <c r="G152" s="10">
        <f t="shared" si="46"/>
        <v>8.9499999999999993</v>
      </c>
      <c r="H152" s="4">
        <v>50</v>
      </c>
      <c r="I152" s="5">
        <f t="shared" si="56"/>
        <v>402.74999999999994</v>
      </c>
      <c r="J152" s="5">
        <f t="shared" si="57"/>
        <v>352.74999999999994</v>
      </c>
      <c r="K152">
        <v>25</v>
      </c>
      <c r="N152" s="83">
        <v>565</v>
      </c>
      <c r="O152" s="162"/>
    </row>
    <row r="153" spans="1:17">
      <c r="A153" s="146" t="s">
        <v>808</v>
      </c>
      <c r="B153" s="4">
        <v>10</v>
      </c>
      <c r="C153" s="4">
        <v>26</v>
      </c>
      <c r="D153" s="4">
        <v>55</v>
      </c>
      <c r="E153" s="4">
        <v>1</v>
      </c>
      <c r="F153" s="4">
        <v>50</v>
      </c>
      <c r="G153" s="10">
        <f t="shared" si="46"/>
        <v>10.433333333333334</v>
      </c>
      <c r="H153" s="4">
        <v>50</v>
      </c>
      <c r="I153" s="5">
        <f t="shared" si="56"/>
        <v>573.83333333333337</v>
      </c>
      <c r="J153" s="5">
        <f t="shared" si="57"/>
        <v>523.83333333333337</v>
      </c>
      <c r="K153">
        <v>28</v>
      </c>
      <c r="N153" s="83">
        <v>834</v>
      </c>
      <c r="O153" s="162"/>
    </row>
    <row r="154" spans="1:17" ht="16" thickBot="1">
      <c r="A154" s="146" t="s">
        <v>809</v>
      </c>
      <c r="B154" s="4">
        <v>8</v>
      </c>
      <c r="C154" s="4">
        <v>20</v>
      </c>
      <c r="D154" s="4">
        <v>45</v>
      </c>
      <c r="E154" s="4">
        <v>1</v>
      </c>
      <c r="F154" s="4">
        <v>50</v>
      </c>
      <c r="G154" s="10">
        <f t="shared" si="46"/>
        <v>8.3333333333333339</v>
      </c>
      <c r="H154" s="4">
        <v>0</v>
      </c>
      <c r="I154" s="5">
        <f t="shared" si="56"/>
        <v>375</v>
      </c>
      <c r="J154" s="5">
        <f t="shared" si="57"/>
        <v>375</v>
      </c>
      <c r="K154">
        <v>23</v>
      </c>
      <c r="N154" s="83">
        <f>129+250</f>
        <v>379</v>
      </c>
      <c r="O154" s="162"/>
      <c r="P154" t="s">
        <v>776</v>
      </c>
    </row>
    <row r="155" spans="1:17" s="86" customFormat="1" ht="20" thickBot="1">
      <c r="A155" s="91" t="s">
        <v>548</v>
      </c>
      <c r="B155" s="8">
        <f>SUM(B156:B162)</f>
        <v>29</v>
      </c>
      <c r="C155" s="8">
        <f>SUM(C156:C162)</f>
        <v>204</v>
      </c>
      <c r="D155" s="8">
        <f>SUM(D156)</f>
        <v>45</v>
      </c>
      <c r="E155" s="8">
        <f>SUM(E156:E162)</f>
        <v>7</v>
      </c>
      <c r="F155" s="8">
        <f>SUM(F156:F162)</f>
        <v>350</v>
      </c>
      <c r="G155" s="93">
        <f t="shared" si="46"/>
        <v>32.4</v>
      </c>
      <c r="H155" s="8">
        <f>SUM(H156:H162)</f>
        <v>200</v>
      </c>
      <c r="I155" s="9">
        <f>SUM(I156:I162)</f>
        <v>1458</v>
      </c>
      <c r="J155" s="14">
        <f>SUM(J156:J162)</f>
        <v>1258</v>
      </c>
      <c r="K155" s="8">
        <f>SUM(K156:K162)</f>
        <v>78</v>
      </c>
      <c r="L155" s="159">
        <v>0</v>
      </c>
      <c r="M155" s="160">
        <f>J155</f>
        <v>1258</v>
      </c>
      <c r="N155" s="156">
        <f>SUM(N156:N162)</f>
        <v>1621</v>
      </c>
      <c r="O155" s="161">
        <f>1615-N155</f>
        <v>-6</v>
      </c>
    </row>
    <row r="156" spans="1:17">
      <c r="A156" s="145">
        <v>46104</v>
      </c>
      <c r="B156" s="4">
        <v>0</v>
      </c>
      <c r="C156" s="4">
        <v>0</v>
      </c>
      <c r="D156" s="4">
        <v>45</v>
      </c>
      <c r="E156" s="4">
        <v>1</v>
      </c>
      <c r="F156" s="4">
        <v>50</v>
      </c>
      <c r="G156" s="10">
        <f>B156+C156/60</f>
        <v>0</v>
      </c>
      <c r="H156" s="4">
        <v>0</v>
      </c>
      <c r="I156" s="5">
        <f t="shared" ref="I156:I170" si="58">G156*D156</f>
        <v>0</v>
      </c>
      <c r="J156" s="5">
        <f>I156-H156</f>
        <v>0</v>
      </c>
      <c r="K156">
        <v>0</v>
      </c>
      <c r="N156" s="83">
        <v>0</v>
      </c>
      <c r="O156" s="163"/>
    </row>
    <row r="157" spans="1:17">
      <c r="A157" s="145">
        <v>46105</v>
      </c>
      <c r="B157" s="4">
        <v>0</v>
      </c>
      <c r="C157" s="4">
        <v>0</v>
      </c>
      <c r="D157" s="4">
        <v>45</v>
      </c>
      <c r="E157" s="4">
        <v>1</v>
      </c>
      <c r="F157" s="4">
        <v>50</v>
      </c>
      <c r="G157" s="10">
        <f t="shared" ref="G157:G186" si="59">B157+C157/60</f>
        <v>0</v>
      </c>
      <c r="H157" s="4">
        <v>0</v>
      </c>
      <c r="I157" s="5">
        <f t="shared" si="58"/>
        <v>0</v>
      </c>
      <c r="J157" s="5">
        <f>I157-H157</f>
        <v>0</v>
      </c>
      <c r="K157">
        <v>0</v>
      </c>
      <c r="N157" s="83">
        <v>0</v>
      </c>
      <c r="O157" s="162"/>
    </row>
    <row r="158" spans="1:17">
      <c r="A158" s="145">
        <v>46106</v>
      </c>
      <c r="B158" s="4">
        <v>9</v>
      </c>
      <c r="C158" s="4">
        <v>57</v>
      </c>
      <c r="D158" s="4">
        <v>45</v>
      </c>
      <c r="E158" s="4">
        <v>1</v>
      </c>
      <c r="F158" s="4">
        <v>50</v>
      </c>
      <c r="G158" s="10">
        <f t="shared" si="59"/>
        <v>9.9499999999999993</v>
      </c>
      <c r="H158" s="4">
        <v>50</v>
      </c>
      <c r="I158" s="5">
        <f t="shared" si="58"/>
        <v>447.74999999999994</v>
      </c>
      <c r="J158" s="5">
        <f t="shared" ref="J158:J162" si="60">I158-H158</f>
        <v>397.74999999999994</v>
      </c>
      <c r="K158">
        <v>15</v>
      </c>
      <c r="N158" s="83">
        <v>322</v>
      </c>
      <c r="O158" s="162"/>
      <c r="Q158" t="s">
        <v>64</v>
      </c>
    </row>
    <row r="159" spans="1:17">
      <c r="A159" s="145">
        <v>46107</v>
      </c>
      <c r="B159" s="4">
        <v>6</v>
      </c>
      <c r="C159" s="4">
        <v>49</v>
      </c>
      <c r="D159" s="4">
        <v>45</v>
      </c>
      <c r="E159" s="4">
        <v>1</v>
      </c>
      <c r="F159" s="4">
        <v>50</v>
      </c>
      <c r="G159" s="10">
        <f t="shared" si="59"/>
        <v>6.8166666666666664</v>
      </c>
      <c r="H159" s="4">
        <v>50</v>
      </c>
      <c r="I159" s="5">
        <f t="shared" si="58"/>
        <v>306.75</v>
      </c>
      <c r="J159" s="5">
        <f t="shared" si="60"/>
        <v>256.75</v>
      </c>
      <c r="K159">
        <v>21</v>
      </c>
      <c r="N159" s="83">
        <v>360</v>
      </c>
      <c r="O159" s="162"/>
    </row>
    <row r="160" spans="1:17">
      <c r="A160" s="145">
        <v>46108</v>
      </c>
      <c r="B160" s="4">
        <v>5</v>
      </c>
      <c r="C160" s="4">
        <v>56</v>
      </c>
      <c r="D160" s="4">
        <v>45</v>
      </c>
      <c r="E160" s="4">
        <v>1</v>
      </c>
      <c r="F160" s="4">
        <v>50</v>
      </c>
      <c r="G160" s="10">
        <f t="shared" si="59"/>
        <v>5.9333333333333336</v>
      </c>
      <c r="H160" s="4">
        <v>50</v>
      </c>
      <c r="I160" s="5">
        <f t="shared" si="58"/>
        <v>267</v>
      </c>
      <c r="J160" s="5">
        <f t="shared" si="60"/>
        <v>217</v>
      </c>
      <c r="K160">
        <v>16</v>
      </c>
      <c r="N160" s="83">
        <v>455</v>
      </c>
      <c r="O160" s="162"/>
    </row>
    <row r="161" spans="1:17">
      <c r="A161" s="145">
        <v>46109</v>
      </c>
      <c r="B161" s="4">
        <v>9</v>
      </c>
      <c r="C161" s="4">
        <v>42</v>
      </c>
      <c r="D161" s="4">
        <v>45</v>
      </c>
      <c r="E161" s="4">
        <v>1</v>
      </c>
      <c r="F161" s="4">
        <v>50</v>
      </c>
      <c r="G161" s="10">
        <f t="shared" si="59"/>
        <v>9.6999999999999993</v>
      </c>
      <c r="H161" s="4">
        <v>50</v>
      </c>
      <c r="I161" s="5">
        <f t="shared" si="58"/>
        <v>436.49999999999994</v>
      </c>
      <c r="J161" s="5">
        <f t="shared" si="60"/>
        <v>386.49999999999994</v>
      </c>
      <c r="K161">
        <v>26</v>
      </c>
      <c r="N161" s="83">
        <v>484</v>
      </c>
      <c r="O161" s="162"/>
    </row>
    <row r="162" spans="1:17" ht="16" thickBot="1">
      <c r="A162" s="145">
        <v>46110</v>
      </c>
      <c r="B162" s="4">
        <v>0</v>
      </c>
      <c r="C162" s="4">
        <v>0</v>
      </c>
      <c r="D162" s="7">
        <v>45</v>
      </c>
      <c r="E162" s="7">
        <v>1</v>
      </c>
      <c r="F162" s="7">
        <v>50</v>
      </c>
      <c r="G162" s="10">
        <f t="shared" si="59"/>
        <v>0</v>
      </c>
      <c r="H162" s="4">
        <v>0</v>
      </c>
      <c r="I162" s="5">
        <f t="shared" si="58"/>
        <v>0</v>
      </c>
      <c r="J162" s="5">
        <f t="shared" si="60"/>
        <v>0</v>
      </c>
      <c r="K162">
        <v>0</v>
      </c>
      <c r="N162" s="83"/>
      <c r="O162" s="162"/>
    </row>
    <row r="163" spans="1:17" s="86" customFormat="1" ht="20" thickBot="1">
      <c r="A163" s="91" t="s">
        <v>549</v>
      </c>
      <c r="B163" s="8">
        <f>SUM(B164:B170)</f>
        <v>53</v>
      </c>
      <c r="C163" s="8">
        <f>SUM(C164:C170)</f>
        <v>139</v>
      </c>
      <c r="D163" s="126">
        <f>SUM(D164)</f>
        <v>45</v>
      </c>
      <c r="E163" s="126">
        <f>SUM(E164:E170)</f>
        <v>7</v>
      </c>
      <c r="F163" s="126">
        <f>SUM(F164:F170)</f>
        <v>350</v>
      </c>
      <c r="G163" s="123">
        <f t="shared" si="59"/>
        <v>55.31666666666667</v>
      </c>
      <c r="H163" s="8">
        <f>SUM(H164:H170)</f>
        <v>300</v>
      </c>
      <c r="I163" s="9">
        <f>SUM(I164:I170)</f>
        <v>2860.5833333333335</v>
      </c>
      <c r="J163" s="14">
        <f>SUM(J164:J170)</f>
        <v>2560.5833333333335</v>
      </c>
      <c r="K163" s="8">
        <f>SUM(K164:K170)</f>
        <v>154</v>
      </c>
      <c r="L163" s="159">
        <v>0</v>
      </c>
      <c r="M163" s="160">
        <f>J163</f>
        <v>2560.5833333333335</v>
      </c>
      <c r="N163" s="156">
        <f>SUM(N164:N170)</f>
        <v>4431</v>
      </c>
      <c r="O163" s="161">
        <f>4429-N163</f>
        <v>-2</v>
      </c>
    </row>
    <row r="164" spans="1:17">
      <c r="A164" s="145">
        <v>46104</v>
      </c>
      <c r="B164" s="7">
        <v>9</v>
      </c>
      <c r="C164" s="7">
        <v>14</v>
      </c>
      <c r="D164" s="4">
        <v>45</v>
      </c>
      <c r="E164" s="4">
        <v>1</v>
      </c>
      <c r="F164" s="4">
        <v>50</v>
      </c>
      <c r="G164" s="10">
        <f t="shared" si="59"/>
        <v>9.2333333333333325</v>
      </c>
      <c r="H164" s="4">
        <v>50</v>
      </c>
      <c r="I164" s="5">
        <f t="shared" si="58"/>
        <v>415.49999999999994</v>
      </c>
      <c r="J164" s="5">
        <f t="shared" ref="J164:J170" si="61">I164-H164</f>
        <v>365.49999999999994</v>
      </c>
      <c r="K164">
        <v>23</v>
      </c>
      <c r="N164" s="83">
        <v>650</v>
      </c>
      <c r="O164" s="163"/>
    </row>
    <row r="165" spans="1:17">
      <c r="A165" s="145">
        <v>46105</v>
      </c>
      <c r="B165" s="4">
        <v>8</v>
      </c>
      <c r="C165" s="4">
        <v>24</v>
      </c>
      <c r="D165" s="4">
        <v>45</v>
      </c>
      <c r="E165" s="4">
        <v>1</v>
      </c>
      <c r="F165" s="4">
        <v>50</v>
      </c>
      <c r="G165" s="10">
        <f t="shared" si="59"/>
        <v>8.4</v>
      </c>
      <c r="H165" s="4">
        <v>50</v>
      </c>
      <c r="I165" s="5">
        <f t="shared" si="58"/>
        <v>378</v>
      </c>
      <c r="J165" s="5">
        <f t="shared" si="61"/>
        <v>328</v>
      </c>
      <c r="K165">
        <v>23</v>
      </c>
      <c r="N165" s="83">
        <v>177</v>
      </c>
      <c r="O165" s="162"/>
    </row>
    <row r="166" spans="1:17">
      <c r="A166" s="145">
        <v>46106</v>
      </c>
      <c r="B166" s="4">
        <v>9</v>
      </c>
      <c r="C166" s="4">
        <v>11</v>
      </c>
      <c r="D166" s="4">
        <v>55</v>
      </c>
      <c r="E166" s="4">
        <v>1</v>
      </c>
      <c r="F166" s="4">
        <v>50</v>
      </c>
      <c r="G166" s="10">
        <f t="shared" si="59"/>
        <v>9.1833333333333336</v>
      </c>
      <c r="H166" s="4">
        <v>50</v>
      </c>
      <c r="I166" s="5">
        <f t="shared" si="58"/>
        <v>505.08333333333337</v>
      </c>
      <c r="J166" s="5">
        <f t="shared" si="61"/>
        <v>455.08333333333337</v>
      </c>
      <c r="K166">
        <v>27</v>
      </c>
      <c r="N166" s="83">
        <v>811</v>
      </c>
      <c r="O166" s="162"/>
      <c r="Q166" t="s">
        <v>64</v>
      </c>
    </row>
    <row r="167" spans="1:17">
      <c r="A167" s="145">
        <v>46107</v>
      </c>
      <c r="B167" s="4">
        <v>9</v>
      </c>
      <c r="C167" s="4">
        <v>46</v>
      </c>
      <c r="D167" s="4">
        <v>65</v>
      </c>
      <c r="E167" s="4">
        <v>1</v>
      </c>
      <c r="F167" s="4">
        <v>50</v>
      </c>
      <c r="G167" s="10">
        <f t="shared" si="59"/>
        <v>9.7666666666666675</v>
      </c>
      <c r="H167" s="4">
        <v>50</v>
      </c>
      <c r="I167" s="5">
        <f t="shared" si="58"/>
        <v>634.83333333333337</v>
      </c>
      <c r="J167" s="5">
        <f t="shared" si="61"/>
        <v>584.83333333333337</v>
      </c>
      <c r="K167">
        <v>35</v>
      </c>
      <c r="N167" s="83">
        <v>661</v>
      </c>
      <c r="O167" s="162"/>
    </row>
    <row r="168" spans="1:17">
      <c r="A168" s="145">
        <v>46108</v>
      </c>
      <c r="B168" s="4">
        <v>10</v>
      </c>
      <c r="C168" s="4">
        <v>19</v>
      </c>
      <c r="D168" s="4">
        <v>45</v>
      </c>
      <c r="E168" s="4">
        <v>1</v>
      </c>
      <c r="F168" s="4">
        <v>50</v>
      </c>
      <c r="G168" s="10">
        <f t="shared" si="59"/>
        <v>10.316666666666666</v>
      </c>
      <c r="H168" s="4">
        <v>50</v>
      </c>
      <c r="I168" s="5">
        <f t="shared" si="58"/>
        <v>464.25</v>
      </c>
      <c r="J168" s="5">
        <f t="shared" si="61"/>
        <v>414.25</v>
      </c>
      <c r="K168">
        <v>19</v>
      </c>
      <c r="N168" s="83">
        <v>447</v>
      </c>
      <c r="O168" s="162"/>
    </row>
    <row r="169" spans="1:17">
      <c r="A169" s="145">
        <v>46109</v>
      </c>
      <c r="B169" s="4">
        <v>8</v>
      </c>
      <c r="C169" s="4">
        <v>25</v>
      </c>
      <c r="D169" s="4">
        <v>55</v>
      </c>
      <c r="E169" s="4">
        <v>1</v>
      </c>
      <c r="F169" s="4">
        <v>50</v>
      </c>
      <c r="G169" s="10">
        <f t="shared" si="59"/>
        <v>8.4166666666666661</v>
      </c>
      <c r="H169" s="4">
        <v>50</v>
      </c>
      <c r="I169" s="5">
        <f t="shared" si="58"/>
        <v>462.91666666666663</v>
      </c>
      <c r="J169" s="5">
        <f t="shared" si="61"/>
        <v>412.91666666666663</v>
      </c>
      <c r="K169">
        <v>27</v>
      </c>
      <c r="N169" s="83">
        <v>1185</v>
      </c>
      <c r="O169" s="162"/>
    </row>
    <row r="170" spans="1:17" ht="16" thickBot="1">
      <c r="A170" s="145">
        <v>46110</v>
      </c>
      <c r="B170" s="4">
        <v>0</v>
      </c>
      <c r="C170" s="4">
        <v>0</v>
      </c>
      <c r="D170" s="4">
        <v>45</v>
      </c>
      <c r="E170" s="4">
        <v>1</v>
      </c>
      <c r="F170" s="4">
        <v>50</v>
      </c>
      <c r="G170" s="10">
        <f t="shared" si="59"/>
        <v>0</v>
      </c>
      <c r="H170" s="4">
        <v>0</v>
      </c>
      <c r="I170" s="5">
        <f t="shared" si="58"/>
        <v>0</v>
      </c>
      <c r="J170" s="5">
        <f t="shared" si="61"/>
        <v>0</v>
      </c>
      <c r="K170">
        <v>0</v>
      </c>
      <c r="N170" s="82">
        <f>360+140</f>
        <v>500</v>
      </c>
      <c r="O170" s="162"/>
    </row>
    <row r="171" spans="1:17" ht="20" thickBot="1">
      <c r="A171" s="91" t="s">
        <v>551</v>
      </c>
      <c r="B171" s="8">
        <f>SUM(B172:B178)</f>
        <v>47</v>
      </c>
      <c r="C171" s="8">
        <f>SUM(C172:C178)</f>
        <v>50</v>
      </c>
      <c r="D171" s="8">
        <v>45</v>
      </c>
      <c r="E171" s="8">
        <f>SUM(E172:E178)</f>
        <v>7</v>
      </c>
      <c r="F171" s="8">
        <f>SUM(F172:F178)</f>
        <v>350</v>
      </c>
      <c r="G171" s="93">
        <f t="shared" si="59"/>
        <v>47.833333333333336</v>
      </c>
      <c r="H171" s="8">
        <f>SUM(H172:H178)</f>
        <v>471.4</v>
      </c>
      <c r="I171" s="9">
        <f>SUM(I172:I178)</f>
        <v>2152.5</v>
      </c>
      <c r="J171" s="14">
        <f>SUM(J172:J178)</f>
        <v>1681.1</v>
      </c>
      <c r="K171" s="8">
        <f>SUM(K172:K178)</f>
        <v>102</v>
      </c>
      <c r="L171" s="159">
        <v>0</v>
      </c>
      <c r="M171" s="160">
        <f>J171</f>
        <v>1681.1</v>
      </c>
      <c r="N171" s="156">
        <f>SUM(N172:N178)</f>
        <v>3909</v>
      </c>
      <c r="O171" s="161">
        <f>3900-N171</f>
        <v>-9</v>
      </c>
      <c r="P171" s="86"/>
      <c r="Q171" s="86"/>
    </row>
    <row r="172" spans="1:17">
      <c r="A172" s="145">
        <v>46104</v>
      </c>
      <c r="B172" s="4">
        <v>0</v>
      </c>
      <c r="C172" s="4">
        <v>0</v>
      </c>
      <c r="D172" s="4">
        <v>45</v>
      </c>
      <c r="E172" s="4">
        <v>1</v>
      </c>
      <c r="F172" s="4">
        <v>50</v>
      </c>
      <c r="G172" s="10">
        <f t="shared" si="59"/>
        <v>0</v>
      </c>
      <c r="H172" s="4">
        <v>0</v>
      </c>
      <c r="I172" s="5">
        <f t="shared" ref="I172:I178" si="62">G172*D172</f>
        <v>0</v>
      </c>
      <c r="J172" s="5">
        <f t="shared" ref="J172:J178" si="63">I172-H172</f>
        <v>0</v>
      </c>
      <c r="K172">
        <v>0</v>
      </c>
      <c r="N172" s="83">
        <v>0</v>
      </c>
      <c r="O172" s="163"/>
    </row>
    <row r="173" spans="1:17">
      <c r="A173" s="145">
        <v>46105</v>
      </c>
      <c r="B173" s="4">
        <v>8</v>
      </c>
      <c r="C173" s="4">
        <v>21</v>
      </c>
      <c r="D173" s="4">
        <v>45</v>
      </c>
      <c r="E173" s="4">
        <v>1</v>
      </c>
      <c r="F173" s="4">
        <v>50</v>
      </c>
      <c r="G173" s="10">
        <f t="shared" si="59"/>
        <v>8.35</v>
      </c>
      <c r="H173" s="4">
        <f>50+221.4</f>
        <v>271.39999999999998</v>
      </c>
      <c r="I173" s="5">
        <f t="shared" si="62"/>
        <v>375.75</v>
      </c>
      <c r="J173" s="5">
        <f t="shared" si="63"/>
        <v>104.35000000000002</v>
      </c>
      <c r="K173">
        <v>16</v>
      </c>
      <c r="N173" s="83">
        <f>200+445</f>
        <v>645</v>
      </c>
      <c r="O173" s="162"/>
      <c r="P173" t="s">
        <v>336</v>
      </c>
    </row>
    <row r="174" spans="1:17">
      <c r="A174" s="145">
        <v>46106</v>
      </c>
      <c r="B174" s="4">
        <v>10</v>
      </c>
      <c r="C174" s="4">
        <v>7</v>
      </c>
      <c r="D174" s="4">
        <v>45</v>
      </c>
      <c r="E174" s="4">
        <v>1</v>
      </c>
      <c r="F174" s="4">
        <v>50</v>
      </c>
      <c r="G174" s="10">
        <f t="shared" si="59"/>
        <v>10.116666666666667</v>
      </c>
      <c r="H174" s="4">
        <v>50</v>
      </c>
      <c r="I174" s="5">
        <f t="shared" si="62"/>
        <v>455.25</v>
      </c>
      <c r="J174" s="5">
        <f t="shared" si="63"/>
        <v>405.25</v>
      </c>
      <c r="K174">
        <v>22</v>
      </c>
      <c r="N174" s="83">
        <v>800</v>
      </c>
      <c r="O174" s="162"/>
      <c r="Q174" t="s">
        <v>64</v>
      </c>
    </row>
    <row r="175" spans="1:17">
      <c r="A175" s="145">
        <v>46107</v>
      </c>
      <c r="B175" s="4">
        <v>0</v>
      </c>
      <c r="C175" s="4">
        <v>0</v>
      </c>
      <c r="D175" s="4">
        <v>45</v>
      </c>
      <c r="E175" s="4">
        <v>1</v>
      </c>
      <c r="F175" s="4">
        <v>50</v>
      </c>
      <c r="G175" s="10">
        <f t="shared" si="59"/>
        <v>0</v>
      </c>
      <c r="H175" s="4">
        <v>0</v>
      </c>
      <c r="I175" s="5">
        <f t="shared" si="62"/>
        <v>0</v>
      </c>
      <c r="J175" s="5">
        <f t="shared" si="63"/>
        <v>0</v>
      </c>
      <c r="K175">
        <v>0</v>
      </c>
      <c r="N175" s="83">
        <v>0</v>
      </c>
      <c r="O175" s="162"/>
    </row>
    <row r="176" spans="1:17">
      <c r="A176" s="145">
        <v>46108</v>
      </c>
      <c r="B176" s="4">
        <v>9</v>
      </c>
      <c r="C176" s="4">
        <v>0</v>
      </c>
      <c r="D176" s="4">
        <v>45</v>
      </c>
      <c r="E176" s="4">
        <v>1</v>
      </c>
      <c r="F176" s="4">
        <v>50</v>
      </c>
      <c r="G176" s="10">
        <f t="shared" si="59"/>
        <v>9</v>
      </c>
      <c r="H176" s="4">
        <v>50</v>
      </c>
      <c r="I176" s="5">
        <f t="shared" si="62"/>
        <v>405</v>
      </c>
      <c r="J176" s="5">
        <f t="shared" si="63"/>
        <v>355</v>
      </c>
      <c r="K176">
        <v>21</v>
      </c>
      <c r="N176" s="83">
        <v>530</v>
      </c>
      <c r="O176" s="162"/>
    </row>
    <row r="177" spans="1:17">
      <c r="A177" s="145">
        <v>46109</v>
      </c>
      <c r="B177" s="4">
        <v>10</v>
      </c>
      <c r="C177" s="4">
        <v>4</v>
      </c>
      <c r="D177" s="4">
        <v>45</v>
      </c>
      <c r="E177" s="4">
        <v>1</v>
      </c>
      <c r="F177" s="4">
        <v>50</v>
      </c>
      <c r="G177" s="10">
        <f t="shared" si="59"/>
        <v>10.066666666666666</v>
      </c>
      <c r="H177" s="4">
        <v>50</v>
      </c>
      <c r="I177" s="5">
        <f t="shared" si="62"/>
        <v>453</v>
      </c>
      <c r="J177" s="5">
        <f t="shared" si="63"/>
        <v>403</v>
      </c>
      <c r="K177">
        <v>21</v>
      </c>
      <c r="N177" s="83">
        <v>698</v>
      </c>
      <c r="O177" s="162"/>
    </row>
    <row r="178" spans="1:17" ht="16" thickBot="1">
      <c r="A178" s="145">
        <v>46110</v>
      </c>
      <c r="B178" s="4">
        <v>10</v>
      </c>
      <c r="C178" s="4">
        <v>18</v>
      </c>
      <c r="D178" s="4">
        <v>45</v>
      </c>
      <c r="E178" s="4">
        <v>1</v>
      </c>
      <c r="F178" s="4">
        <v>50</v>
      </c>
      <c r="G178" s="10">
        <f t="shared" si="59"/>
        <v>10.3</v>
      </c>
      <c r="H178" s="4">
        <v>50</v>
      </c>
      <c r="I178" s="5">
        <f t="shared" si="62"/>
        <v>463.50000000000006</v>
      </c>
      <c r="J178" s="5">
        <f t="shared" si="63"/>
        <v>413.50000000000006</v>
      </c>
      <c r="K178">
        <v>22</v>
      </c>
      <c r="N178" s="83">
        <f>1086+150</f>
        <v>1236</v>
      </c>
      <c r="O178" s="162"/>
      <c r="P178" t="s">
        <v>280</v>
      </c>
    </row>
    <row r="179" spans="1:17" s="86" customFormat="1" ht="20" thickBot="1">
      <c r="A179" s="91" t="s">
        <v>555</v>
      </c>
      <c r="B179" s="8">
        <f>SUM(B180:B186)</f>
        <v>52</v>
      </c>
      <c r="C179" s="8">
        <f>SUM(C180:C186)</f>
        <v>187</v>
      </c>
      <c r="D179" s="8">
        <f>SUM(D180)</f>
        <v>45</v>
      </c>
      <c r="E179" s="8">
        <f>SUM(E180:E186)</f>
        <v>7</v>
      </c>
      <c r="F179" s="8">
        <f>SUM(F180:F186)</f>
        <v>350</v>
      </c>
      <c r="G179" s="93">
        <f t="shared" si="59"/>
        <v>55.116666666666667</v>
      </c>
      <c r="H179" s="8">
        <f>SUM(H180:H186)</f>
        <v>461.7</v>
      </c>
      <c r="I179" s="9">
        <f>SUM(I180:I186)</f>
        <v>2580.75</v>
      </c>
      <c r="J179" s="14">
        <f>SUM(J180:J186)</f>
        <v>2119.0500000000002</v>
      </c>
      <c r="K179" s="8">
        <f>SUM(K180:K186)</f>
        <v>133</v>
      </c>
      <c r="L179" s="159">
        <v>0</v>
      </c>
      <c r="M179" s="160">
        <f>J179</f>
        <v>2119.0500000000002</v>
      </c>
      <c r="N179" s="156">
        <f>SUM(N180:N186)</f>
        <v>3213</v>
      </c>
      <c r="O179" s="161">
        <f>3212-N179</f>
        <v>-1</v>
      </c>
    </row>
    <row r="180" spans="1:17">
      <c r="A180" s="145">
        <v>46104</v>
      </c>
      <c r="B180" s="4">
        <v>8</v>
      </c>
      <c r="C180" s="4">
        <v>48</v>
      </c>
      <c r="D180" s="4">
        <v>45</v>
      </c>
      <c r="E180" s="4">
        <v>1</v>
      </c>
      <c r="F180" s="4">
        <v>50</v>
      </c>
      <c r="G180" s="10">
        <f t="shared" si="59"/>
        <v>8.8000000000000007</v>
      </c>
      <c r="H180" s="4">
        <v>50</v>
      </c>
      <c r="I180" s="5">
        <f t="shared" ref="I180:I185" si="64">G180*D180</f>
        <v>396.00000000000006</v>
      </c>
      <c r="J180" s="5">
        <f>I180-H180</f>
        <v>346.00000000000006</v>
      </c>
      <c r="K180">
        <v>18</v>
      </c>
      <c r="N180" s="83">
        <f>93+100+110</f>
        <v>303</v>
      </c>
      <c r="O180" s="163"/>
      <c r="P180" t="s">
        <v>818</v>
      </c>
    </row>
    <row r="181" spans="1:17">
      <c r="A181" s="145">
        <v>46105</v>
      </c>
      <c r="B181" s="4">
        <v>8</v>
      </c>
      <c r="C181" s="4">
        <v>49</v>
      </c>
      <c r="D181" s="4">
        <v>45</v>
      </c>
      <c r="E181" s="4">
        <v>1</v>
      </c>
      <c r="F181" s="4">
        <v>50</v>
      </c>
      <c r="G181" s="10">
        <f t="shared" si="59"/>
        <v>8.8166666666666664</v>
      </c>
      <c r="H181" s="4">
        <v>50</v>
      </c>
      <c r="I181" s="5">
        <f t="shared" si="64"/>
        <v>396.75</v>
      </c>
      <c r="J181" s="5">
        <f>I181-H181</f>
        <v>346.75</v>
      </c>
      <c r="K181">
        <v>18</v>
      </c>
      <c r="N181" s="83">
        <v>215</v>
      </c>
      <c r="O181" s="162"/>
    </row>
    <row r="182" spans="1:17">
      <c r="A182" s="145">
        <v>46106</v>
      </c>
      <c r="B182" s="4">
        <v>9</v>
      </c>
      <c r="C182" s="4">
        <v>21</v>
      </c>
      <c r="D182" s="4">
        <v>45</v>
      </c>
      <c r="E182" s="4">
        <v>1</v>
      </c>
      <c r="F182" s="4">
        <v>50</v>
      </c>
      <c r="G182" s="10">
        <f t="shared" si="59"/>
        <v>9.35</v>
      </c>
      <c r="H182" s="4">
        <f>50+45</f>
        <v>95</v>
      </c>
      <c r="I182" s="5">
        <f t="shared" si="64"/>
        <v>420.75</v>
      </c>
      <c r="J182" s="5">
        <f t="shared" ref="J182:J186" si="65">I182-H182</f>
        <v>325.75</v>
      </c>
      <c r="K182">
        <v>22</v>
      </c>
      <c r="N182" s="83">
        <f>524+120</f>
        <v>644</v>
      </c>
      <c r="O182" s="162"/>
      <c r="P182" t="s">
        <v>819</v>
      </c>
      <c r="Q182" t="s">
        <v>64</v>
      </c>
    </row>
    <row r="183" spans="1:17">
      <c r="A183" s="145">
        <v>46107</v>
      </c>
      <c r="B183" s="4">
        <v>9</v>
      </c>
      <c r="C183" s="4">
        <v>48</v>
      </c>
      <c r="D183" s="4">
        <v>45</v>
      </c>
      <c r="E183" s="4">
        <v>1</v>
      </c>
      <c r="F183" s="4">
        <v>50</v>
      </c>
      <c r="G183" s="10">
        <f t="shared" si="59"/>
        <v>9.8000000000000007</v>
      </c>
      <c r="H183" s="4">
        <v>50</v>
      </c>
      <c r="I183" s="5">
        <f t="shared" si="64"/>
        <v>441.00000000000006</v>
      </c>
      <c r="J183" s="5">
        <f t="shared" si="65"/>
        <v>391.00000000000006</v>
      </c>
      <c r="K183">
        <v>26</v>
      </c>
      <c r="N183" s="83">
        <v>858</v>
      </c>
      <c r="O183" s="162"/>
    </row>
    <row r="184" spans="1:17">
      <c r="A184" s="145">
        <v>46108</v>
      </c>
      <c r="B184" s="4">
        <v>8</v>
      </c>
      <c r="C184" s="4">
        <v>18</v>
      </c>
      <c r="D184" s="4">
        <v>45</v>
      </c>
      <c r="E184" s="4">
        <v>1</v>
      </c>
      <c r="F184" s="4">
        <v>50</v>
      </c>
      <c r="G184" s="10">
        <f t="shared" si="59"/>
        <v>8.3000000000000007</v>
      </c>
      <c r="H184" s="4">
        <f>50+116.7</f>
        <v>166.7</v>
      </c>
      <c r="I184" s="5">
        <f t="shared" si="64"/>
        <v>373.50000000000006</v>
      </c>
      <c r="J184" s="5">
        <f t="shared" si="65"/>
        <v>206.80000000000007</v>
      </c>
      <c r="K184">
        <v>22</v>
      </c>
      <c r="N184" s="83">
        <v>537</v>
      </c>
      <c r="O184" s="162"/>
    </row>
    <row r="185" spans="1:17">
      <c r="A185" s="145">
        <v>46109</v>
      </c>
      <c r="B185" s="4">
        <v>10</v>
      </c>
      <c r="C185" s="4">
        <v>3</v>
      </c>
      <c r="D185" s="4">
        <v>55</v>
      </c>
      <c r="E185" s="4">
        <v>1</v>
      </c>
      <c r="F185" s="4">
        <v>50</v>
      </c>
      <c r="G185" s="10">
        <f t="shared" si="59"/>
        <v>10.050000000000001</v>
      </c>
      <c r="H185" s="4">
        <v>50</v>
      </c>
      <c r="I185" s="5">
        <f t="shared" si="64"/>
        <v>552.75</v>
      </c>
      <c r="J185" s="5">
        <f t="shared" si="65"/>
        <v>502.75</v>
      </c>
      <c r="K185">
        <v>27</v>
      </c>
      <c r="N185" s="83">
        <f>246+120</f>
        <v>366</v>
      </c>
      <c r="O185" s="162"/>
      <c r="P185" t="s">
        <v>819</v>
      </c>
    </row>
    <row r="186" spans="1:17" ht="16" thickBot="1">
      <c r="A186" s="145">
        <v>46110</v>
      </c>
      <c r="B186" s="4">
        <v>0</v>
      </c>
      <c r="C186" s="4">
        <v>0</v>
      </c>
      <c r="D186" s="4">
        <v>45</v>
      </c>
      <c r="E186" s="4">
        <v>1</v>
      </c>
      <c r="F186" s="4">
        <v>50</v>
      </c>
      <c r="G186" s="10">
        <f t="shared" si="59"/>
        <v>0</v>
      </c>
      <c r="H186" s="4">
        <v>0</v>
      </c>
      <c r="I186" s="5">
        <v>0</v>
      </c>
      <c r="J186" s="5">
        <f t="shared" si="65"/>
        <v>0</v>
      </c>
      <c r="K186">
        <v>0</v>
      </c>
      <c r="N186" s="83">
        <v>290</v>
      </c>
      <c r="O186" s="162"/>
    </row>
    <row r="187" spans="1:17" s="86" customFormat="1" ht="20" thickBot="1">
      <c r="A187" s="91" t="s">
        <v>559</v>
      </c>
      <c r="B187" s="8">
        <f>SUM(B188:B194)</f>
        <v>58</v>
      </c>
      <c r="C187" s="8">
        <f>SUM(C188:C194)</f>
        <v>141</v>
      </c>
      <c r="D187" s="8">
        <f>SUM(D188)</f>
        <v>45</v>
      </c>
      <c r="E187" s="8">
        <f>SUM(E188:E194)</f>
        <v>6</v>
      </c>
      <c r="F187" s="8">
        <f>SUM(F188:F194)</f>
        <v>300</v>
      </c>
      <c r="G187" s="93">
        <f t="shared" ref="G187:G194" si="66">B187+C187/60</f>
        <v>60.35</v>
      </c>
      <c r="H187" s="8">
        <f>SUM(H188:H194)</f>
        <v>300</v>
      </c>
      <c r="I187" s="9">
        <f>SUM(I188:I194)</f>
        <v>3922.7499999999995</v>
      </c>
      <c r="J187" s="14">
        <f>SUM(J188:J194)</f>
        <v>3622.7499999999995</v>
      </c>
      <c r="K187" s="8">
        <f>SUM(K188:K194)</f>
        <v>271</v>
      </c>
      <c r="L187" s="159">
        <v>300</v>
      </c>
      <c r="M187" s="160">
        <f>J187+L187</f>
        <v>3922.7499999999995</v>
      </c>
      <c r="N187" s="156">
        <f>SUM(N188:N194)</f>
        <v>8227</v>
      </c>
      <c r="O187" s="161">
        <f>8244-N187</f>
        <v>17</v>
      </c>
    </row>
    <row r="188" spans="1:17">
      <c r="A188" s="80">
        <v>46104</v>
      </c>
      <c r="B188" s="4">
        <v>0</v>
      </c>
      <c r="C188" s="4">
        <v>0</v>
      </c>
      <c r="D188" s="4">
        <v>45</v>
      </c>
      <c r="E188" s="4">
        <v>0</v>
      </c>
      <c r="F188" s="4">
        <v>0</v>
      </c>
      <c r="G188" s="10">
        <f t="shared" si="66"/>
        <v>0</v>
      </c>
      <c r="H188" s="4">
        <v>0</v>
      </c>
      <c r="I188" s="5">
        <f t="shared" ref="I188:I194" si="67">G188*D188</f>
        <v>0</v>
      </c>
      <c r="J188" s="5">
        <f t="shared" ref="J188:J194" si="68">I188-H188</f>
        <v>0</v>
      </c>
      <c r="K188">
        <v>0</v>
      </c>
      <c r="N188" s="83">
        <v>0</v>
      </c>
      <c r="O188" s="163"/>
    </row>
    <row r="189" spans="1:17">
      <c r="A189" s="80">
        <v>46105</v>
      </c>
      <c r="B189" s="4">
        <v>10</v>
      </c>
      <c r="C189" s="4">
        <v>8</v>
      </c>
      <c r="D189" s="4">
        <v>65</v>
      </c>
      <c r="E189" s="4">
        <v>1</v>
      </c>
      <c r="F189" s="4">
        <v>50</v>
      </c>
      <c r="G189" s="10">
        <f t="shared" si="66"/>
        <v>10.133333333333333</v>
      </c>
      <c r="H189" s="4">
        <v>50</v>
      </c>
      <c r="I189" s="5">
        <f t="shared" si="67"/>
        <v>658.66666666666663</v>
      </c>
      <c r="J189" s="5">
        <f t="shared" si="68"/>
        <v>608.66666666666663</v>
      </c>
      <c r="K189">
        <v>47</v>
      </c>
      <c r="N189" s="83">
        <v>1286</v>
      </c>
      <c r="O189" s="162"/>
    </row>
    <row r="190" spans="1:17">
      <c r="A190" s="80">
        <v>46106</v>
      </c>
      <c r="B190" s="4">
        <v>10</v>
      </c>
      <c r="C190" s="4">
        <v>18</v>
      </c>
      <c r="D190" s="4">
        <v>65</v>
      </c>
      <c r="E190" s="4">
        <v>1</v>
      </c>
      <c r="F190" s="4">
        <v>50</v>
      </c>
      <c r="G190" s="10">
        <f t="shared" si="66"/>
        <v>10.3</v>
      </c>
      <c r="H190" s="4">
        <v>50</v>
      </c>
      <c r="I190" s="5">
        <f t="shared" si="67"/>
        <v>669.5</v>
      </c>
      <c r="J190" s="5">
        <f t="shared" si="68"/>
        <v>619.5</v>
      </c>
      <c r="K190">
        <v>44</v>
      </c>
      <c r="N190" s="83">
        <v>1177</v>
      </c>
      <c r="O190" s="162"/>
      <c r="Q190" t="s">
        <v>64</v>
      </c>
    </row>
    <row r="191" spans="1:17">
      <c r="A191" s="80">
        <v>46107</v>
      </c>
      <c r="B191" s="4">
        <v>10</v>
      </c>
      <c r="C191" s="4">
        <v>35</v>
      </c>
      <c r="D191" s="4">
        <v>65</v>
      </c>
      <c r="E191" s="4">
        <v>1</v>
      </c>
      <c r="F191" s="4">
        <v>50</v>
      </c>
      <c r="G191" s="10">
        <f t="shared" si="66"/>
        <v>10.583333333333334</v>
      </c>
      <c r="H191" s="4">
        <v>50</v>
      </c>
      <c r="I191" s="5">
        <f t="shared" si="67"/>
        <v>687.91666666666674</v>
      </c>
      <c r="J191" s="5">
        <f t="shared" si="68"/>
        <v>637.91666666666674</v>
      </c>
      <c r="K191">
        <v>47</v>
      </c>
      <c r="N191" s="83">
        <v>1190</v>
      </c>
      <c r="O191" s="162"/>
    </row>
    <row r="192" spans="1:17">
      <c r="A192" s="80">
        <v>46108</v>
      </c>
      <c r="B192" s="4">
        <v>10</v>
      </c>
      <c r="C192" s="4">
        <v>9</v>
      </c>
      <c r="D192" s="4">
        <v>65</v>
      </c>
      <c r="E192" s="4">
        <v>1</v>
      </c>
      <c r="F192" s="4">
        <v>50</v>
      </c>
      <c r="G192" s="10">
        <f t="shared" si="66"/>
        <v>10.15</v>
      </c>
      <c r="H192" s="4">
        <v>50</v>
      </c>
      <c r="I192" s="5">
        <f t="shared" si="67"/>
        <v>659.75</v>
      </c>
      <c r="J192" s="5">
        <f t="shared" si="68"/>
        <v>609.75</v>
      </c>
      <c r="K192">
        <v>48</v>
      </c>
      <c r="N192" s="83">
        <v>1408</v>
      </c>
      <c r="O192" s="162"/>
    </row>
    <row r="193" spans="1:17">
      <c r="A193" s="80">
        <v>46109</v>
      </c>
      <c r="B193" s="4">
        <v>9</v>
      </c>
      <c r="C193" s="4">
        <v>42</v>
      </c>
      <c r="D193" s="4">
        <v>65</v>
      </c>
      <c r="E193" s="4">
        <v>1</v>
      </c>
      <c r="F193" s="4">
        <v>50</v>
      </c>
      <c r="G193" s="10">
        <f t="shared" si="66"/>
        <v>9.6999999999999993</v>
      </c>
      <c r="H193" s="4">
        <v>50</v>
      </c>
      <c r="I193" s="5">
        <f t="shared" si="67"/>
        <v>630.5</v>
      </c>
      <c r="J193" s="5">
        <f t="shared" si="68"/>
        <v>580.5</v>
      </c>
      <c r="K193">
        <v>43</v>
      </c>
      <c r="N193" s="83">
        <v>1452</v>
      </c>
      <c r="O193" s="162"/>
    </row>
    <row r="194" spans="1:17" ht="16" thickBot="1">
      <c r="A194" s="80">
        <v>46110</v>
      </c>
      <c r="B194" s="4">
        <v>9</v>
      </c>
      <c r="C194" s="4">
        <v>29</v>
      </c>
      <c r="D194" s="4">
        <v>65</v>
      </c>
      <c r="E194" s="4">
        <v>1</v>
      </c>
      <c r="F194" s="4">
        <v>50</v>
      </c>
      <c r="G194" s="10">
        <f t="shared" si="66"/>
        <v>9.4833333333333325</v>
      </c>
      <c r="H194" s="4">
        <v>50</v>
      </c>
      <c r="I194" s="5">
        <f t="shared" si="67"/>
        <v>616.41666666666663</v>
      </c>
      <c r="J194" s="5">
        <f t="shared" si="68"/>
        <v>566.41666666666663</v>
      </c>
      <c r="K194">
        <v>42</v>
      </c>
      <c r="N194" s="83">
        <v>1714</v>
      </c>
      <c r="O194" s="162"/>
    </row>
    <row r="195" spans="1:17" s="86" customFormat="1" ht="20" thickBot="1">
      <c r="A195" s="91" t="s">
        <v>560</v>
      </c>
      <c r="B195" s="8">
        <f>SUM(B196:B202)</f>
        <v>53</v>
      </c>
      <c r="C195" s="8">
        <f>SUM(C196:C202)</f>
        <v>235</v>
      </c>
      <c r="D195" s="8">
        <f>SUM(D196)</f>
        <v>45</v>
      </c>
      <c r="E195" s="8">
        <f>SUM(E196:E202)</f>
        <v>7</v>
      </c>
      <c r="F195" s="8">
        <f>SUM(F196:F202)</f>
        <v>350</v>
      </c>
      <c r="G195" s="93">
        <f t="shared" ref="G195:G202" si="69">B195+C195/60</f>
        <v>56.916666666666664</v>
      </c>
      <c r="H195" s="8">
        <f>SUM(H196:H202)</f>
        <v>300</v>
      </c>
      <c r="I195" s="9">
        <f>SUM(I196:I202)</f>
        <v>2847.4166666666665</v>
      </c>
      <c r="J195" s="14">
        <f>SUM(J196:J202)</f>
        <v>2547.4166666666665</v>
      </c>
      <c r="K195" s="8">
        <f>SUM(K196:K202)</f>
        <v>163</v>
      </c>
      <c r="L195" s="159">
        <v>0</v>
      </c>
      <c r="M195" s="160">
        <f>J195</f>
        <v>2547.4166666666665</v>
      </c>
      <c r="N195" s="156">
        <f>SUM(N196:N202)</f>
        <v>4458</v>
      </c>
      <c r="O195" s="161">
        <f>4548-N195</f>
        <v>90</v>
      </c>
    </row>
    <row r="196" spans="1:17">
      <c r="A196" s="146" t="s">
        <v>812</v>
      </c>
      <c r="B196" s="4">
        <v>8</v>
      </c>
      <c r="C196" s="4">
        <v>53</v>
      </c>
      <c r="D196" s="4">
        <v>45</v>
      </c>
      <c r="E196" s="4">
        <v>1</v>
      </c>
      <c r="F196" s="4">
        <v>50</v>
      </c>
      <c r="G196" s="10">
        <f t="shared" si="69"/>
        <v>8.8833333333333329</v>
      </c>
      <c r="H196" s="4">
        <v>50</v>
      </c>
      <c r="I196" s="5">
        <f t="shared" ref="I196:I202" si="70">G196*D196</f>
        <v>399.75</v>
      </c>
      <c r="J196" s="5">
        <f t="shared" ref="J196:J202" si="71">I196-H196</f>
        <v>349.75</v>
      </c>
      <c r="K196">
        <v>25</v>
      </c>
      <c r="N196" s="83">
        <v>0</v>
      </c>
      <c r="O196" s="163"/>
    </row>
    <row r="197" spans="1:17">
      <c r="A197" s="146" t="s">
        <v>804</v>
      </c>
      <c r="B197" s="4">
        <v>8</v>
      </c>
      <c r="C197" s="4">
        <v>28</v>
      </c>
      <c r="D197" s="4">
        <v>45</v>
      </c>
      <c r="E197" s="4">
        <v>1</v>
      </c>
      <c r="F197" s="4">
        <v>50</v>
      </c>
      <c r="G197" s="10">
        <f t="shared" si="69"/>
        <v>8.4666666666666668</v>
      </c>
      <c r="H197" s="4">
        <v>50</v>
      </c>
      <c r="I197" s="5">
        <f t="shared" si="70"/>
        <v>381</v>
      </c>
      <c r="J197" s="5">
        <f t="shared" si="71"/>
        <v>331</v>
      </c>
      <c r="K197">
        <v>21</v>
      </c>
      <c r="N197" s="83">
        <v>622</v>
      </c>
      <c r="O197" s="162"/>
    </row>
    <row r="198" spans="1:17">
      <c r="A198" s="146" t="s">
        <v>805</v>
      </c>
      <c r="B198" s="4">
        <v>0</v>
      </c>
      <c r="C198" s="4">
        <v>0</v>
      </c>
      <c r="D198" s="4">
        <v>45</v>
      </c>
      <c r="E198" s="4">
        <v>1</v>
      </c>
      <c r="F198" s="4">
        <v>50</v>
      </c>
      <c r="G198" s="10">
        <f t="shared" si="69"/>
        <v>0</v>
      </c>
      <c r="H198" s="4">
        <v>0</v>
      </c>
      <c r="I198" s="5">
        <f t="shared" si="70"/>
        <v>0</v>
      </c>
      <c r="J198" s="5">
        <f t="shared" si="71"/>
        <v>0</v>
      </c>
      <c r="N198" s="83">
        <f>401+150</f>
        <v>551</v>
      </c>
      <c r="O198" s="162"/>
      <c r="P198" t="s">
        <v>729</v>
      </c>
      <c r="Q198" t="s">
        <v>64</v>
      </c>
    </row>
    <row r="199" spans="1:17">
      <c r="A199" s="146" t="s">
        <v>806</v>
      </c>
      <c r="B199" s="4">
        <v>8</v>
      </c>
      <c r="C199" s="4">
        <v>57</v>
      </c>
      <c r="D199" s="4">
        <v>55</v>
      </c>
      <c r="E199" s="4">
        <v>1</v>
      </c>
      <c r="F199" s="4">
        <v>50</v>
      </c>
      <c r="G199" s="10">
        <f t="shared" si="69"/>
        <v>8.9499999999999993</v>
      </c>
      <c r="H199" s="4">
        <v>50</v>
      </c>
      <c r="I199" s="5">
        <f t="shared" si="70"/>
        <v>492.24999999999994</v>
      </c>
      <c r="J199" s="5">
        <f t="shared" si="71"/>
        <v>442.24999999999994</v>
      </c>
      <c r="K199">
        <v>30</v>
      </c>
      <c r="N199" s="83">
        <v>0</v>
      </c>
      <c r="O199" s="162"/>
    </row>
    <row r="200" spans="1:17">
      <c r="A200" s="146" t="s">
        <v>807</v>
      </c>
      <c r="B200" s="4">
        <v>10</v>
      </c>
      <c r="C200" s="4">
        <v>27</v>
      </c>
      <c r="D200" s="4">
        <v>55</v>
      </c>
      <c r="E200" s="4">
        <v>1</v>
      </c>
      <c r="F200" s="4">
        <v>50</v>
      </c>
      <c r="G200" s="10">
        <f t="shared" si="69"/>
        <v>10.45</v>
      </c>
      <c r="H200" s="4">
        <v>50</v>
      </c>
      <c r="I200" s="5">
        <f t="shared" si="70"/>
        <v>574.75</v>
      </c>
      <c r="J200" s="5">
        <f t="shared" si="71"/>
        <v>524.75</v>
      </c>
      <c r="K200">
        <v>30</v>
      </c>
      <c r="N200" s="83">
        <v>775</v>
      </c>
      <c r="O200" s="162"/>
    </row>
    <row r="201" spans="1:17">
      <c r="A201" s="146" t="s">
        <v>808</v>
      </c>
      <c r="B201" s="4">
        <v>9</v>
      </c>
      <c r="C201" s="4">
        <v>13</v>
      </c>
      <c r="D201" s="4">
        <v>55</v>
      </c>
      <c r="E201" s="4">
        <v>1</v>
      </c>
      <c r="F201" s="4">
        <v>50</v>
      </c>
      <c r="G201" s="10">
        <f t="shared" si="69"/>
        <v>9.2166666666666668</v>
      </c>
      <c r="H201" s="4">
        <v>50</v>
      </c>
      <c r="I201" s="5">
        <f t="shared" si="70"/>
        <v>506.91666666666669</v>
      </c>
      <c r="J201" s="5">
        <f t="shared" si="71"/>
        <v>456.91666666666669</v>
      </c>
      <c r="K201">
        <v>27</v>
      </c>
      <c r="N201" s="83">
        <v>831</v>
      </c>
      <c r="O201" s="162"/>
    </row>
    <row r="202" spans="1:17" ht="16" thickBot="1">
      <c r="A202" s="146" t="s">
        <v>809</v>
      </c>
      <c r="B202" s="4">
        <v>10</v>
      </c>
      <c r="C202" s="4">
        <v>57</v>
      </c>
      <c r="D202" s="4">
        <v>45</v>
      </c>
      <c r="E202" s="4">
        <v>1</v>
      </c>
      <c r="F202" s="4">
        <v>50</v>
      </c>
      <c r="G202" s="10">
        <f t="shared" si="69"/>
        <v>10.95</v>
      </c>
      <c r="H202" s="4">
        <v>50</v>
      </c>
      <c r="I202" s="5">
        <f t="shared" si="70"/>
        <v>492.74999999999994</v>
      </c>
      <c r="J202" s="5">
        <f t="shared" si="71"/>
        <v>442.74999999999994</v>
      </c>
      <c r="K202">
        <v>30</v>
      </c>
      <c r="N202" s="83">
        <f>742+937</f>
        <v>1679</v>
      </c>
      <c r="O202" s="162"/>
    </row>
    <row r="203" spans="1:17" s="86" customFormat="1" ht="20" thickBot="1">
      <c r="A203" s="91" t="s">
        <v>562</v>
      </c>
      <c r="B203" s="8">
        <f>SUM(B204:B210)</f>
        <v>38</v>
      </c>
      <c r="C203" s="8">
        <f>SUM(C204:C210)</f>
        <v>200</v>
      </c>
      <c r="D203" s="8">
        <f>SUM(D204)</f>
        <v>45</v>
      </c>
      <c r="E203" s="8">
        <f>SUM(E204:E210)</f>
        <v>5</v>
      </c>
      <c r="F203" s="8">
        <f>SUM(F204:F210)</f>
        <v>250</v>
      </c>
      <c r="G203" s="93">
        <f t="shared" ref="G203:G210" si="72">B203+C203/60</f>
        <v>41.333333333333336</v>
      </c>
      <c r="H203" s="8">
        <f>SUM(H204:H210)</f>
        <v>250</v>
      </c>
      <c r="I203" s="9">
        <f>SUM(I204:I210)</f>
        <v>1860</v>
      </c>
      <c r="J203" s="14">
        <f>SUM(J204:J210)</f>
        <v>1610</v>
      </c>
      <c r="K203" s="8">
        <f>SUM(K204:K210)</f>
        <v>93</v>
      </c>
      <c r="L203" s="159">
        <v>0</v>
      </c>
      <c r="M203" s="160">
        <f>J203</f>
        <v>1610</v>
      </c>
      <c r="N203" s="156">
        <f>SUM(N204:N210)</f>
        <v>3027</v>
      </c>
      <c r="O203" s="161">
        <f>3026-N203</f>
        <v>-1</v>
      </c>
    </row>
    <row r="204" spans="1:17">
      <c r="A204" s="80">
        <v>46104</v>
      </c>
      <c r="B204" s="4">
        <v>0</v>
      </c>
      <c r="C204" s="4">
        <v>0</v>
      </c>
      <c r="D204" s="4">
        <v>45</v>
      </c>
      <c r="E204" s="4">
        <v>0</v>
      </c>
      <c r="F204" s="4">
        <v>0</v>
      </c>
      <c r="G204" s="10">
        <f t="shared" si="72"/>
        <v>0</v>
      </c>
      <c r="H204" s="4">
        <v>0</v>
      </c>
      <c r="I204" s="5">
        <f t="shared" ref="I204:I210" si="73">G204*D204</f>
        <v>0</v>
      </c>
      <c r="J204" s="5">
        <f t="shared" ref="J204:J210" si="74">I204-H204</f>
        <v>0</v>
      </c>
      <c r="K204">
        <v>0</v>
      </c>
      <c r="N204" s="83">
        <v>0</v>
      </c>
      <c r="O204" s="51"/>
    </row>
    <row r="205" spans="1:17">
      <c r="A205" s="80">
        <v>46105</v>
      </c>
      <c r="B205" s="4">
        <v>0</v>
      </c>
      <c r="C205" s="4">
        <v>0</v>
      </c>
      <c r="D205" s="4">
        <v>45</v>
      </c>
      <c r="E205" s="4">
        <v>0</v>
      </c>
      <c r="F205" s="4">
        <v>0</v>
      </c>
      <c r="G205" s="10">
        <f t="shared" si="72"/>
        <v>0</v>
      </c>
      <c r="H205" s="4">
        <v>0</v>
      </c>
      <c r="I205" s="5">
        <f t="shared" si="73"/>
        <v>0</v>
      </c>
      <c r="J205" s="5">
        <f t="shared" si="74"/>
        <v>0</v>
      </c>
      <c r="K205">
        <v>0</v>
      </c>
      <c r="N205" s="83">
        <v>0</v>
      </c>
    </row>
    <row r="206" spans="1:17">
      <c r="A206" s="80">
        <v>46106</v>
      </c>
      <c r="B206" s="4">
        <v>5</v>
      </c>
      <c r="C206" s="4">
        <v>59</v>
      </c>
      <c r="D206" s="4">
        <v>45</v>
      </c>
      <c r="E206" s="4">
        <v>1</v>
      </c>
      <c r="F206" s="4">
        <v>50</v>
      </c>
      <c r="G206" s="10">
        <f t="shared" si="72"/>
        <v>5.9833333333333334</v>
      </c>
      <c r="H206" s="4">
        <v>50</v>
      </c>
      <c r="I206" s="5">
        <f t="shared" si="73"/>
        <v>269.25</v>
      </c>
      <c r="J206" s="5">
        <f t="shared" si="74"/>
        <v>219.25</v>
      </c>
      <c r="K206">
        <v>8</v>
      </c>
      <c r="N206" s="83">
        <v>150</v>
      </c>
      <c r="Q206" t="s">
        <v>64</v>
      </c>
    </row>
    <row r="207" spans="1:17">
      <c r="A207" s="80">
        <v>46107</v>
      </c>
      <c r="B207" s="4">
        <v>8</v>
      </c>
      <c r="C207" s="4">
        <v>14</v>
      </c>
      <c r="D207" s="4">
        <v>45</v>
      </c>
      <c r="E207" s="4">
        <v>1</v>
      </c>
      <c r="F207" s="4">
        <v>50</v>
      </c>
      <c r="G207" s="10">
        <f t="shared" si="72"/>
        <v>8.2333333333333325</v>
      </c>
      <c r="H207" s="4">
        <v>50</v>
      </c>
      <c r="I207" s="5">
        <f t="shared" si="73"/>
        <v>370.49999999999994</v>
      </c>
      <c r="J207" s="5">
        <f t="shared" si="74"/>
        <v>320.49999999999994</v>
      </c>
      <c r="K207">
        <v>13</v>
      </c>
      <c r="N207" s="83">
        <v>393</v>
      </c>
    </row>
    <row r="208" spans="1:17">
      <c r="A208" s="80">
        <v>46108</v>
      </c>
      <c r="B208" s="4">
        <v>9</v>
      </c>
      <c r="C208" s="4">
        <v>30</v>
      </c>
      <c r="D208" s="4">
        <v>45</v>
      </c>
      <c r="E208" s="4">
        <v>1</v>
      </c>
      <c r="F208" s="4">
        <v>50</v>
      </c>
      <c r="G208" s="10">
        <f t="shared" si="72"/>
        <v>9.5</v>
      </c>
      <c r="H208" s="4">
        <v>50</v>
      </c>
      <c r="I208" s="5">
        <f t="shared" si="73"/>
        <v>427.5</v>
      </c>
      <c r="J208" s="5">
        <f t="shared" si="74"/>
        <v>377.5</v>
      </c>
      <c r="K208">
        <v>24</v>
      </c>
      <c r="N208" s="83">
        <v>634</v>
      </c>
    </row>
    <row r="209" spans="1:15">
      <c r="A209" s="80">
        <v>46109</v>
      </c>
      <c r="B209" s="4">
        <v>8</v>
      </c>
      <c r="C209" s="4">
        <v>40</v>
      </c>
      <c r="D209" s="4">
        <v>45</v>
      </c>
      <c r="E209" s="4">
        <v>1</v>
      </c>
      <c r="F209" s="4">
        <v>50</v>
      </c>
      <c r="G209" s="10">
        <f t="shared" si="72"/>
        <v>8.6666666666666661</v>
      </c>
      <c r="H209" s="4">
        <v>50</v>
      </c>
      <c r="I209" s="5">
        <f t="shared" si="73"/>
        <v>390</v>
      </c>
      <c r="J209" s="5">
        <f t="shared" si="74"/>
        <v>340</v>
      </c>
      <c r="K209">
        <v>24</v>
      </c>
      <c r="N209" s="83">
        <v>1150</v>
      </c>
    </row>
    <row r="210" spans="1:15">
      <c r="A210" s="80">
        <v>46110</v>
      </c>
      <c r="B210" s="4">
        <v>8</v>
      </c>
      <c r="C210" s="4">
        <v>57</v>
      </c>
      <c r="D210" s="4">
        <v>45</v>
      </c>
      <c r="E210" s="4">
        <v>1</v>
      </c>
      <c r="F210" s="4">
        <v>50</v>
      </c>
      <c r="G210" s="10">
        <f t="shared" si="72"/>
        <v>8.9499999999999993</v>
      </c>
      <c r="H210" s="4">
        <v>50</v>
      </c>
      <c r="I210" s="5">
        <f t="shared" si="73"/>
        <v>402.74999999999994</v>
      </c>
      <c r="J210" s="5">
        <f t="shared" si="74"/>
        <v>352.74999999999994</v>
      </c>
      <c r="K210">
        <v>24</v>
      </c>
      <c r="N210" s="83">
        <v>700</v>
      </c>
    </row>
    <row r="211" spans="1:15">
      <c r="A211" s="80"/>
      <c r="G211" s="133"/>
      <c r="H211" s="131"/>
      <c r="I211" s="132"/>
      <c r="J211" s="132"/>
      <c r="N211" s="119"/>
    </row>
    <row r="212" spans="1:15" ht="33" customHeight="1" thickBot="1">
      <c r="A212" t="s">
        <v>17</v>
      </c>
      <c r="H212" s="121">
        <f>H3+H11+H19+H27+H35+H51+H59+H67+H75+H83+H91+H99+H107+H115+H123+H131+H139+H147+H155+H163+H171+H179+H187+H195+H203</f>
        <v>8014.2</v>
      </c>
      <c r="I212" s="121">
        <f t="shared" ref="I212:O212" si="75">I3+I11+I19+I27+I35+I51+I59+I67+I75+I83+I91+I99+I107+I115+I123+I131+I139+I147+I155+I163+I171+I179+I187+I195+I203</f>
        <v>59735.416666666672</v>
      </c>
      <c r="J212" s="121">
        <f t="shared" si="75"/>
        <v>51721.216666666674</v>
      </c>
      <c r="K212" s="122">
        <f t="shared" si="75"/>
        <v>3008</v>
      </c>
      <c r="L212" s="121">
        <f t="shared" si="75"/>
        <v>300</v>
      </c>
      <c r="M212" s="121">
        <f t="shared" si="75"/>
        <v>52021.216666666674</v>
      </c>
      <c r="N212" s="157">
        <f t="shared" si="75"/>
        <v>94027.199999999997</v>
      </c>
      <c r="O212" s="125">
        <f t="shared" si="75"/>
        <v>-238.19999999999982</v>
      </c>
    </row>
    <row r="213" spans="1:15" ht="16" thickTop="1"/>
  </sheetData>
  <pageMargins left="0.7" right="0.7" top="0.75" bottom="0.75" header="0.3" footer="0.3"/>
  <ignoredErrors>
    <ignoredError sqref="A60" twoDigitTextYear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EB60-A734-471D-AE3F-33E95B4E6326}">
  <dimension ref="A1:Q338"/>
  <sheetViews>
    <sheetView topLeftCell="A107" workbookViewId="0">
      <selection activeCell="N152" sqref="N152"/>
    </sheetView>
  </sheetViews>
  <sheetFormatPr baseColWidth="10" defaultColWidth="8.83203125" defaultRowHeight="15"/>
  <cols>
    <col min="8" max="8" width="19" bestFit="1" customWidth="1"/>
    <col min="9" max="9" width="21.6640625" bestFit="1" customWidth="1"/>
    <col min="10" max="10" width="16.6640625" bestFit="1" customWidth="1"/>
    <col min="11" max="11" width="7.6640625" bestFit="1" customWidth="1"/>
    <col min="12" max="12" width="12.6640625" bestFit="1" customWidth="1"/>
    <col min="13" max="13" width="24.6640625" customWidth="1"/>
    <col min="14" max="14" width="17.5" bestFit="1" customWidth="1"/>
    <col min="15" max="15" width="25.6640625" bestFit="1" customWidth="1"/>
  </cols>
  <sheetData>
    <row r="1" spans="1:17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7" ht="19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7" ht="19">
      <c r="A3" s="91" t="s">
        <v>453</v>
      </c>
      <c r="B3" s="8">
        <f>SUM(B4:B10)</f>
        <v>36</v>
      </c>
      <c r="C3" s="8">
        <f>SUM(C4:C10)</f>
        <v>115</v>
      </c>
      <c r="D3" s="8">
        <f>SUM(D4)</f>
        <v>55</v>
      </c>
      <c r="E3" s="8">
        <f>SUM(E4:E10)</f>
        <v>6</v>
      </c>
      <c r="F3" s="8">
        <f>SUM(F4:F10)</f>
        <v>300</v>
      </c>
      <c r="G3" s="93">
        <f t="shared" ref="G3:G49" si="0">B3+C3/60</f>
        <v>37.916666666666664</v>
      </c>
      <c r="H3" s="8">
        <f>SUM(H4:H10)</f>
        <v>300</v>
      </c>
      <c r="I3" s="9">
        <f>SUM(I4:I10)</f>
        <v>1938.75</v>
      </c>
      <c r="J3" s="14">
        <f>SUM(J4:J10)</f>
        <v>1638.75</v>
      </c>
      <c r="K3" s="8">
        <f>SUM(K4:K10)</f>
        <v>133</v>
      </c>
      <c r="L3" s="9">
        <v>0</v>
      </c>
      <c r="M3" s="96">
        <f>J3+L3</f>
        <v>1638.75</v>
      </c>
      <c r="N3" s="97">
        <f>SUM(N4:N10)</f>
        <v>3018</v>
      </c>
      <c r="O3" s="98">
        <f>2882-N3</f>
        <v>-136</v>
      </c>
      <c r="P3" s="86"/>
      <c r="Q3" s="86"/>
    </row>
    <row r="4" spans="1:17">
      <c r="A4" s="80" t="s">
        <v>820</v>
      </c>
      <c r="B4" s="4">
        <v>7</v>
      </c>
      <c r="C4" s="4">
        <v>1</v>
      </c>
      <c r="D4" s="4">
        <v>55</v>
      </c>
      <c r="E4" s="4">
        <v>1</v>
      </c>
      <c r="F4" s="4">
        <v>50</v>
      </c>
      <c r="G4" s="10">
        <f t="shared" si="0"/>
        <v>7.0166666666666666</v>
      </c>
      <c r="H4" s="4">
        <v>50</v>
      </c>
      <c r="I4" s="5">
        <f t="shared" ref="I4:I10" si="1">G4*D4</f>
        <v>385.91666666666669</v>
      </c>
      <c r="J4" s="5">
        <f t="shared" ref="J4:J10" si="2">I4-H4</f>
        <v>335.91666666666669</v>
      </c>
      <c r="K4">
        <v>28</v>
      </c>
      <c r="N4" s="51">
        <f>666</f>
        <v>666</v>
      </c>
      <c r="P4" t="s">
        <v>821</v>
      </c>
    </row>
    <row r="5" spans="1:17">
      <c r="A5" s="80" t="s">
        <v>822</v>
      </c>
      <c r="B5" s="4">
        <v>5</v>
      </c>
      <c r="C5" s="4">
        <v>31</v>
      </c>
      <c r="D5" s="4">
        <v>45</v>
      </c>
      <c r="E5" s="4">
        <v>1</v>
      </c>
      <c r="F5" s="4">
        <v>50</v>
      </c>
      <c r="G5" s="10">
        <f t="shared" si="0"/>
        <v>5.5166666666666666</v>
      </c>
      <c r="H5" s="4">
        <v>50</v>
      </c>
      <c r="I5" s="5">
        <f t="shared" si="1"/>
        <v>248.25</v>
      </c>
      <c r="J5" s="5">
        <f t="shared" si="2"/>
        <v>198.25</v>
      </c>
      <c r="K5">
        <v>17</v>
      </c>
      <c r="N5" s="51">
        <v>330</v>
      </c>
      <c r="P5" t="s">
        <v>823</v>
      </c>
    </row>
    <row r="6" spans="1:17">
      <c r="A6" s="80" t="s">
        <v>824</v>
      </c>
      <c r="B6" s="4">
        <v>5</v>
      </c>
      <c r="C6" s="4">
        <v>21</v>
      </c>
      <c r="D6" s="4">
        <v>45</v>
      </c>
      <c r="E6" s="4">
        <v>1</v>
      </c>
      <c r="F6" s="4">
        <v>50</v>
      </c>
      <c r="G6" s="10">
        <f t="shared" si="0"/>
        <v>5.35</v>
      </c>
      <c r="H6" s="4">
        <v>50</v>
      </c>
      <c r="I6" s="5">
        <f t="shared" si="1"/>
        <v>240.74999999999997</v>
      </c>
      <c r="J6" s="5">
        <f t="shared" si="2"/>
        <v>190.74999999999997</v>
      </c>
      <c r="K6">
        <v>19</v>
      </c>
      <c r="N6" s="51">
        <f>390</f>
        <v>390</v>
      </c>
      <c r="P6" t="s">
        <v>825</v>
      </c>
    </row>
    <row r="7" spans="1:17">
      <c r="A7" s="80" t="s">
        <v>826</v>
      </c>
      <c r="B7" s="4">
        <v>6</v>
      </c>
      <c r="C7" s="4">
        <v>1</v>
      </c>
      <c r="D7" s="4">
        <v>45</v>
      </c>
      <c r="E7" s="4">
        <v>1</v>
      </c>
      <c r="F7" s="4">
        <v>50</v>
      </c>
      <c r="G7" s="10">
        <f t="shared" si="0"/>
        <v>6.0166666666666666</v>
      </c>
      <c r="H7" s="4">
        <v>50</v>
      </c>
      <c r="I7" s="5">
        <f t="shared" si="1"/>
        <v>270.75</v>
      </c>
      <c r="J7" s="5">
        <f t="shared" si="2"/>
        <v>220.75</v>
      </c>
      <c r="K7">
        <v>24</v>
      </c>
      <c r="N7" s="51">
        <f>561</f>
        <v>561</v>
      </c>
      <c r="P7" t="s">
        <v>827</v>
      </c>
    </row>
    <row r="8" spans="1:17">
      <c r="A8" s="80" t="s">
        <v>828</v>
      </c>
      <c r="B8" s="4">
        <v>5</v>
      </c>
      <c r="C8" s="4">
        <v>54</v>
      </c>
      <c r="D8" s="4">
        <v>45</v>
      </c>
      <c r="E8" s="4">
        <v>1</v>
      </c>
      <c r="F8" s="4">
        <v>50</v>
      </c>
      <c r="G8" s="10">
        <f t="shared" si="0"/>
        <v>5.9</v>
      </c>
      <c r="H8" s="4">
        <v>50</v>
      </c>
      <c r="I8" s="5">
        <f t="shared" si="1"/>
        <v>265.5</v>
      </c>
      <c r="J8" s="5">
        <f t="shared" si="2"/>
        <v>215.5</v>
      </c>
      <c r="K8">
        <v>14</v>
      </c>
      <c r="N8" s="51">
        <v>361</v>
      </c>
      <c r="P8" t="s">
        <v>829</v>
      </c>
    </row>
    <row r="9" spans="1:17">
      <c r="A9" s="80" t="s">
        <v>830</v>
      </c>
      <c r="B9" s="4">
        <v>0</v>
      </c>
      <c r="C9" s="4">
        <v>0</v>
      </c>
      <c r="D9" s="4">
        <v>45</v>
      </c>
      <c r="E9" s="4">
        <v>0</v>
      </c>
      <c r="F9" s="4">
        <v>0</v>
      </c>
      <c r="G9" s="10">
        <f t="shared" si="0"/>
        <v>0</v>
      </c>
      <c r="H9" s="4">
        <v>0</v>
      </c>
      <c r="I9" s="5">
        <f t="shared" si="1"/>
        <v>0</v>
      </c>
      <c r="J9" s="5">
        <f t="shared" si="2"/>
        <v>0</v>
      </c>
      <c r="K9">
        <v>0</v>
      </c>
      <c r="N9" s="51">
        <v>0</v>
      </c>
    </row>
    <row r="10" spans="1:17">
      <c r="A10" s="80" t="s">
        <v>831</v>
      </c>
      <c r="B10" s="4">
        <v>8</v>
      </c>
      <c r="C10" s="4">
        <v>7</v>
      </c>
      <c r="D10" s="4">
        <v>65</v>
      </c>
      <c r="E10" s="4">
        <v>1</v>
      </c>
      <c r="F10" s="4">
        <v>50</v>
      </c>
      <c r="G10" s="10">
        <f t="shared" si="0"/>
        <v>8.1166666666666671</v>
      </c>
      <c r="H10" s="4">
        <v>50</v>
      </c>
      <c r="I10" s="5">
        <f t="shared" si="1"/>
        <v>527.58333333333337</v>
      </c>
      <c r="J10" s="5">
        <f t="shared" si="2"/>
        <v>477.58333333333337</v>
      </c>
      <c r="K10">
        <v>31</v>
      </c>
      <c r="N10" s="51">
        <v>710</v>
      </c>
      <c r="P10" t="s">
        <v>832</v>
      </c>
    </row>
    <row r="11" spans="1:17" ht="19">
      <c r="A11" s="91" t="s">
        <v>463</v>
      </c>
      <c r="B11" s="92">
        <f>SUM(B12:B18)</f>
        <v>65</v>
      </c>
      <c r="C11" s="92">
        <f>SUM(C12:C18)</f>
        <v>5</v>
      </c>
      <c r="D11" s="92">
        <f>SUM(D12)</f>
        <v>55</v>
      </c>
      <c r="E11" s="92">
        <f>SUM(E12:E18)</f>
        <v>6</v>
      </c>
      <c r="F11" s="92">
        <f>SUM(F12:F18)</f>
        <v>350</v>
      </c>
      <c r="G11" s="93">
        <f t="shared" si="0"/>
        <v>65.083333333333329</v>
      </c>
      <c r="H11" s="92">
        <f>SUM(H12:H18)</f>
        <v>300</v>
      </c>
      <c r="I11" s="94">
        <f>SUM(I12:I18)</f>
        <v>3478.75</v>
      </c>
      <c r="J11" s="95">
        <f>SUM(J12:J18)</f>
        <v>3178.75</v>
      </c>
      <c r="K11" s="8">
        <f>SUM(K12:K18)</f>
        <v>165</v>
      </c>
      <c r="L11" s="9">
        <v>0</v>
      </c>
      <c r="M11" s="96">
        <f>J11+L11</f>
        <v>3178.75</v>
      </c>
      <c r="N11" s="97">
        <f>SUM(N12:N18)</f>
        <v>4004</v>
      </c>
      <c r="O11" s="98">
        <f>4004-N11</f>
        <v>0</v>
      </c>
      <c r="P11" s="86"/>
      <c r="Q11" s="86"/>
    </row>
    <row r="12" spans="1:17">
      <c r="A12" s="6">
        <v>46132</v>
      </c>
      <c r="B12" s="4">
        <v>11</v>
      </c>
      <c r="C12" s="4">
        <v>0</v>
      </c>
      <c r="D12" s="4">
        <v>55</v>
      </c>
      <c r="E12" s="4">
        <v>1</v>
      </c>
      <c r="F12" s="4">
        <v>50</v>
      </c>
      <c r="G12" s="10">
        <f t="shared" si="0"/>
        <v>11</v>
      </c>
      <c r="H12" s="4">
        <v>50</v>
      </c>
      <c r="I12" s="5">
        <f t="shared" ref="I12:I18" si="3">G12*D12</f>
        <v>605</v>
      </c>
      <c r="J12" s="5">
        <f t="shared" ref="J12:J18" si="4">I12-H12</f>
        <v>555</v>
      </c>
      <c r="K12">
        <v>29</v>
      </c>
      <c r="M12" t="s">
        <v>26</v>
      </c>
      <c r="N12" s="83">
        <f>775</f>
        <v>775</v>
      </c>
    </row>
    <row r="13" spans="1:17">
      <c r="A13" s="6">
        <v>46133</v>
      </c>
      <c r="B13" s="4">
        <v>11</v>
      </c>
      <c r="C13" s="4">
        <v>0</v>
      </c>
      <c r="D13" s="4">
        <v>45</v>
      </c>
      <c r="E13" s="4">
        <v>1</v>
      </c>
      <c r="F13" s="4">
        <v>50</v>
      </c>
      <c r="G13" s="10">
        <f t="shared" si="0"/>
        <v>11</v>
      </c>
      <c r="H13" s="4">
        <v>50</v>
      </c>
      <c r="I13" s="5">
        <f t="shared" si="3"/>
        <v>495</v>
      </c>
      <c r="J13" s="5">
        <f t="shared" si="4"/>
        <v>445</v>
      </c>
      <c r="K13">
        <v>19</v>
      </c>
      <c r="N13" s="83">
        <v>481</v>
      </c>
    </row>
    <row r="14" spans="1:17">
      <c r="A14" s="6">
        <v>46134</v>
      </c>
      <c r="B14" s="4">
        <v>0</v>
      </c>
      <c r="C14" s="4">
        <v>0</v>
      </c>
      <c r="D14" s="4">
        <v>45</v>
      </c>
      <c r="E14" s="4">
        <v>0</v>
      </c>
      <c r="F14" s="4">
        <v>50</v>
      </c>
      <c r="G14" s="10">
        <f t="shared" si="0"/>
        <v>0</v>
      </c>
      <c r="H14" s="4">
        <v>0</v>
      </c>
      <c r="I14" s="5">
        <f t="shared" si="3"/>
        <v>0</v>
      </c>
      <c r="J14" s="5">
        <f t="shared" si="4"/>
        <v>0</v>
      </c>
      <c r="K14">
        <v>0</v>
      </c>
      <c r="N14" s="83">
        <v>0</v>
      </c>
    </row>
    <row r="15" spans="1:17">
      <c r="A15" s="6">
        <v>46135</v>
      </c>
      <c r="B15" s="4">
        <v>11</v>
      </c>
      <c r="C15" s="4">
        <v>0</v>
      </c>
      <c r="D15" s="4">
        <v>55</v>
      </c>
      <c r="E15" s="4">
        <v>1</v>
      </c>
      <c r="F15" s="4">
        <v>50</v>
      </c>
      <c r="G15" s="10">
        <f t="shared" si="0"/>
        <v>11</v>
      </c>
      <c r="H15" s="4">
        <v>50</v>
      </c>
      <c r="I15" s="5">
        <f t="shared" si="3"/>
        <v>605</v>
      </c>
      <c r="J15" s="5">
        <f t="shared" si="4"/>
        <v>555</v>
      </c>
      <c r="K15">
        <v>28</v>
      </c>
      <c r="N15" s="83">
        <f>600</f>
        <v>600</v>
      </c>
    </row>
    <row r="16" spans="1:17">
      <c r="A16" s="6">
        <v>46136</v>
      </c>
      <c r="B16" s="4">
        <v>10</v>
      </c>
      <c r="C16" s="4">
        <v>5</v>
      </c>
      <c r="D16" s="4">
        <v>45</v>
      </c>
      <c r="E16" s="4">
        <v>1</v>
      </c>
      <c r="F16" s="4">
        <v>50</v>
      </c>
      <c r="G16" s="10">
        <f t="shared" si="0"/>
        <v>10.083333333333334</v>
      </c>
      <c r="H16" s="4">
        <v>50</v>
      </c>
      <c r="I16" s="5">
        <f t="shared" si="3"/>
        <v>453.75</v>
      </c>
      <c r="J16" s="5">
        <f t="shared" si="4"/>
        <v>403.75</v>
      </c>
      <c r="K16">
        <v>21</v>
      </c>
      <c r="N16" s="83">
        <f>247+200</f>
        <v>447</v>
      </c>
      <c r="P16" t="s">
        <v>290</v>
      </c>
    </row>
    <row r="17" spans="1:17">
      <c r="A17" s="6">
        <v>46137</v>
      </c>
      <c r="B17" s="4">
        <v>11</v>
      </c>
      <c r="C17" s="4">
        <v>0</v>
      </c>
      <c r="D17" s="4">
        <v>55</v>
      </c>
      <c r="E17" s="4">
        <v>1</v>
      </c>
      <c r="F17" s="4">
        <v>50</v>
      </c>
      <c r="G17" s="10">
        <f t="shared" si="0"/>
        <v>11</v>
      </c>
      <c r="H17" s="4">
        <v>50</v>
      </c>
      <c r="I17" s="5">
        <f t="shared" si="3"/>
        <v>605</v>
      </c>
      <c r="J17" s="5">
        <f t="shared" si="4"/>
        <v>555</v>
      </c>
      <c r="K17">
        <v>30</v>
      </c>
      <c r="N17" s="83">
        <v>834</v>
      </c>
    </row>
    <row r="18" spans="1:17">
      <c r="A18" s="6">
        <v>46138</v>
      </c>
      <c r="B18" s="4">
        <v>11</v>
      </c>
      <c r="C18" s="4">
        <v>0</v>
      </c>
      <c r="D18" s="4">
        <v>65</v>
      </c>
      <c r="E18" s="4">
        <v>1</v>
      </c>
      <c r="F18" s="4">
        <v>50</v>
      </c>
      <c r="G18" s="10">
        <f t="shared" si="0"/>
        <v>11</v>
      </c>
      <c r="H18" s="4">
        <v>50</v>
      </c>
      <c r="I18" s="5">
        <f t="shared" si="3"/>
        <v>715</v>
      </c>
      <c r="J18" s="5">
        <f t="shared" si="4"/>
        <v>665</v>
      </c>
      <c r="K18">
        <v>38</v>
      </c>
      <c r="N18" s="51">
        <v>867</v>
      </c>
    </row>
    <row r="19" spans="1:17" ht="19">
      <c r="A19" s="91" t="s">
        <v>833</v>
      </c>
      <c r="B19" s="8">
        <f>SUM(B20:B26)</f>
        <v>24</v>
      </c>
      <c r="C19" s="8">
        <f>SUM(C20:C26)</f>
        <v>140</v>
      </c>
      <c r="D19" s="8">
        <f>SUM(D20)</f>
        <v>45</v>
      </c>
      <c r="E19" s="8">
        <f>SUM(E20:E26)</f>
        <v>7</v>
      </c>
      <c r="F19" s="8">
        <f>SUM(F20:F26)</f>
        <v>350</v>
      </c>
      <c r="G19" s="93">
        <f t="shared" si="0"/>
        <v>26.333333333333332</v>
      </c>
      <c r="H19" s="92">
        <f>SUM(H20:H26)</f>
        <v>150</v>
      </c>
      <c r="I19" s="9">
        <f>SUM(I20:I26)</f>
        <v>1185</v>
      </c>
      <c r="J19" s="14">
        <f>SUM(J20:J26)</f>
        <v>1035</v>
      </c>
      <c r="K19" s="8">
        <f>SUM(K20:K26)</f>
        <v>54</v>
      </c>
      <c r="L19" s="9">
        <v>0</v>
      </c>
      <c r="M19" s="96">
        <f>J19</f>
        <v>1035</v>
      </c>
      <c r="N19" s="102">
        <f>SUM(N20:N26)</f>
        <v>1518</v>
      </c>
      <c r="O19" s="98">
        <f>-N19</f>
        <v>-1518</v>
      </c>
      <c r="P19" s="86"/>
      <c r="Q19" s="86"/>
    </row>
    <row r="20" spans="1:17">
      <c r="A20" s="6">
        <v>46132</v>
      </c>
      <c r="B20" s="4">
        <v>0</v>
      </c>
      <c r="C20" s="4">
        <v>0</v>
      </c>
      <c r="D20" s="4">
        <v>45</v>
      </c>
      <c r="E20" s="4">
        <v>1</v>
      </c>
      <c r="F20" s="4">
        <v>50</v>
      </c>
      <c r="G20" s="144">
        <f t="shared" si="0"/>
        <v>0</v>
      </c>
      <c r="H20" s="167">
        <v>0</v>
      </c>
      <c r="I20" s="142">
        <f t="shared" ref="I20:I26" si="5">G20*D20</f>
        <v>0</v>
      </c>
      <c r="J20" s="5">
        <f t="shared" ref="J20:J26" si="6">I20-H20</f>
        <v>0</v>
      </c>
      <c r="K20">
        <v>0</v>
      </c>
      <c r="N20" s="51">
        <v>0</v>
      </c>
      <c r="O20" s="51"/>
      <c r="P20" s="115"/>
    </row>
    <row r="21" spans="1:17">
      <c r="A21" s="6">
        <v>46133</v>
      </c>
      <c r="B21" s="4">
        <v>0</v>
      </c>
      <c r="C21" s="4">
        <v>0</v>
      </c>
      <c r="D21" s="4">
        <v>65</v>
      </c>
      <c r="E21" s="4">
        <v>1</v>
      </c>
      <c r="F21" s="4">
        <v>50</v>
      </c>
      <c r="G21" s="144">
        <f t="shared" si="0"/>
        <v>0</v>
      </c>
      <c r="H21" s="167">
        <v>0</v>
      </c>
      <c r="I21" s="142">
        <f t="shared" si="5"/>
        <v>0</v>
      </c>
      <c r="J21" s="5">
        <f t="shared" si="6"/>
        <v>0</v>
      </c>
      <c r="K21">
        <v>0</v>
      </c>
      <c r="N21" s="51">
        <v>0</v>
      </c>
    </row>
    <row r="22" spans="1:17">
      <c r="A22" s="6">
        <v>46134</v>
      </c>
      <c r="B22" s="4">
        <v>0</v>
      </c>
      <c r="C22" s="4">
        <v>0</v>
      </c>
      <c r="D22" s="4">
        <v>65</v>
      </c>
      <c r="E22" s="4">
        <v>1</v>
      </c>
      <c r="F22" s="4">
        <v>50</v>
      </c>
      <c r="G22" s="144">
        <f t="shared" si="0"/>
        <v>0</v>
      </c>
      <c r="H22" s="167">
        <v>0</v>
      </c>
      <c r="I22" s="142">
        <f t="shared" si="5"/>
        <v>0</v>
      </c>
      <c r="J22" s="5">
        <f t="shared" si="6"/>
        <v>0</v>
      </c>
      <c r="K22">
        <v>0</v>
      </c>
      <c r="N22" s="51">
        <v>0</v>
      </c>
      <c r="Q22" t="s">
        <v>64</v>
      </c>
    </row>
    <row r="23" spans="1:17">
      <c r="A23" s="6">
        <v>46135</v>
      </c>
      <c r="B23" s="4">
        <v>0</v>
      </c>
      <c r="C23" s="4">
        <v>0</v>
      </c>
      <c r="D23" s="4">
        <v>45</v>
      </c>
      <c r="E23" s="4">
        <v>1</v>
      </c>
      <c r="F23" s="4">
        <v>50</v>
      </c>
      <c r="G23" s="144">
        <f t="shared" si="0"/>
        <v>0</v>
      </c>
      <c r="H23" s="167">
        <v>0</v>
      </c>
      <c r="I23" s="142">
        <f t="shared" si="5"/>
        <v>0</v>
      </c>
      <c r="J23" s="5">
        <f t="shared" si="6"/>
        <v>0</v>
      </c>
      <c r="K23">
        <v>0</v>
      </c>
      <c r="N23" s="51">
        <v>0</v>
      </c>
    </row>
    <row r="24" spans="1:17">
      <c r="A24" s="6">
        <v>46136</v>
      </c>
      <c r="B24" s="4">
        <v>7</v>
      </c>
      <c r="C24" s="4">
        <v>55</v>
      </c>
      <c r="D24" s="4">
        <v>45</v>
      </c>
      <c r="E24" s="4">
        <v>1</v>
      </c>
      <c r="F24" s="4">
        <v>50</v>
      </c>
      <c r="G24" s="144">
        <f t="shared" si="0"/>
        <v>7.916666666666667</v>
      </c>
      <c r="H24" s="167">
        <v>50</v>
      </c>
      <c r="I24" s="142">
        <f t="shared" si="5"/>
        <v>356.25</v>
      </c>
      <c r="J24" s="5">
        <f t="shared" si="6"/>
        <v>306.25</v>
      </c>
      <c r="K24">
        <v>9</v>
      </c>
      <c r="N24" s="51">
        <v>412</v>
      </c>
      <c r="P24" t="s">
        <v>834</v>
      </c>
    </row>
    <row r="25" spans="1:17">
      <c r="A25" s="6">
        <v>46137</v>
      </c>
      <c r="B25" s="4">
        <v>10</v>
      </c>
      <c r="C25" s="4">
        <v>33</v>
      </c>
      <c r="D25" s="4">
        <v>45</v>
      </c>
      <c r="E25" s="4">
        <v>1</v>
      </c>
      <c r="F25" s="4">
        <v>50</v>
      </c>
      <c r="G25" s="10">
        <f t="shared" si="0"/>
        <v>10.55</v>
      </c>
      <c r="H25" s="141">
        <v>50</v>
      </c>
      <c r="I25" s="5">
        <f t="shared" si="5"/>
        <v>474.75000000000006</v>
      </c>
      <c r="J25" s="5">
        <f t="shared" si="6"/>
        <v>424.75000000000006</v>
      </c>
      <c r="K25">
        <v>22</v>
      </c>
      <c r="N25" s="51">
        <v>335</v>
      </c>
      <c r="P25" t="s">
        <v>835</v>
      </c>
    </row>
    <row r="26" spans="1:17">
      <c r="A26" s="6">
        <v>46138</v>
      </c>
      <c r="B26" s="4">
        <v>7</v>
      </c>
      <c r="C26" s="4">
        <v>52</v>
      </c>
      <c r="D26" s="4">
        <v>45</v>
      </c>
      <c r="E26" s="4">
        <v>1</v>
      </c>
      <c r="F26" s="4">
        <v>50</v>
      </c>
      <c r="G26" s="10">
        <f t="shared" si="0"/>
        <v>7.8666666666666671</v>
      </c>
      <c r="H26" s="4">
        <v>50</v>
      </c>
      <c r="I26" s="5">
        <f t="shared" si="5"/>
        <v>354</v>
      </c>
      <c r="J26" s="5">
        <f t="shared" si="6"/>
        <v>304</v>
      </c>
      <c r="K26">
        <v>23</v>
      </c>
      <c r="N26" s="51">
        <v>771</v>
      </c>
      <c r="P26" t="s">
        <v>836</v>
      </c>
    </row>
    <row r="27" spans="1:17" ht="19">
      <c r="A27" s="91" t="s">
        <v>465</v>
      </c>
      <c r="B27" s="8">
        <f>SUM(B28:B33)</f>
        <v>36</v>
      </c>
      <c r="C27" s="8">
        <f>SUM(C28:C33)</f>
        <v>141</v>
      </c>
      <c r="D27" s="8">
        <f>SUM(D28)</f>
        <v>45</v>
      </c>
      <c r="E27" s="8"/>
      <c r="F27" s="8">
        <f>SUM(F28:F33)</f>
        <v>250</v>
      </c>
      <c r="G27" s="93">
        <f t="shared" si="0"/>
        <v>38.35</v>
      </c>
      <c r="H27" s="8">
        <f>SUM(H28:H34)</f>
        <v>250</v>
      </c>
      <c r="I27" s="9">
        <f>SUM(I28:I34)</f>
        <v>2856.75</v>
      </c>
      <c r="J27" s="14">
        <f>SUM(J28:J34)</f>
        <v>2606.75</v>
      </c>
      <c r="K27" s="8">
        <f>SUM(K28:K34)</f>
        <v>157</v>
      </c>
      <c r="L27" s="9">
        <v>0</v>
      </c>
      <c r="M27" s="96">
        <f>J27+L27</f>
        <v>2606.75</v>
      </c>
      <c r="N27" s="99">
        <f>SUM(N28:N34)</f>
        <v>3620</v>
      </c>
      <c r="O27" s="98">
        <f>3614-N27</f>
        <v>-6</v>
      </c>
      <c r="P27" s="86"/>
      <c r="Q27" s="86"/>
    </row>
    <row r="28" spans="1:17">
      <c r="A28" s="80" t="s">
        <v>820</v>
      </c>
      <c r="B28" s="4">
        <v>0</v>
      </c>
      <c r="C28" s="4">
        <v>0</v>
      </c>
      <c r="D28" s="4">
        <v>45</v>
      </c>
      <c r="E28" s="4">
        <v>0</v>
      </c>
      <c r="F28" s="4">
        <v>50</v>
      </c>
      <c r="G28" s="10">
        <f t="shared" si="0"/>
        <v>0</v>
      </c>
      <c r="H28" s="4">
        <v>0</v>
      </c>
      <c r="I28" s="5">
        <f t="shared" ref="I28:I34" si="7">G28*D28</f>
        <v>0</v>
      </c>
      <c r="J28" s="5">
        <f t="shared" ref="J28:J34" si="8">I28-H28</f>
        <v>0</v>
      </c>
      <c r="K28">
        <v>0</v>
      </c>
      <c r="N28" s="51">
        <v>0</v>
      </c>
    </row>
    <row r="29" spans="1:17">
      <c r="A29" s="80" t="s">
        <v>822</v>
      </c>
      <c r="B29" s="4">
        <v>8</v>
      </c>
      <c r="C29" s="4">
        <v>38</v>
      </c>
      <c r="D29" s="4">
        <v>45</v>
      </c>
      <c r="E29" s="4">
        <v>1</v>
      </c>
      <c r="F29" s="4">
        <v>50</v>
      </c>
      <c r="G29" s="10">
        <f t="shared" si="0"/>
        <v>8.6333333333333329</v>
      </c>
      <c r="H29" s="4">
        <v>50</v>
      </c>
      <c r="I29" s="5">
        <f t="shared" si="7"/>
        <v>388.5</v>
      </c>
      <c r="J29" s="5">
        <f t="shared" si="8"/>
        <v>338.5</v>
      </c>
      <c r="K29">
        <v>22</v>
      </c>
      <c r="N29" s="83">
        <v>560</v>
      </c>
      <c r="P29" t="s">
        <v>837</v>
      </c>
    </row>
    <row r="30" spans="1:17">
      <c r="A30" s="80" t="s">
        <v>824</v>
      </c>
      <c r="B30" s="4">
        <v>8</v>
      </c>
      <c r="C30" s="4">
        <v>55</v>
      </c>
      <c r="D30" s="4">
        <v>45</v>
      </c>
      <c r="E30" s="4">
        <v>1</v>
      </c>
      <c r="F30" s="4">
        <v>50</v>
      </c>
      <c r="G30" s="10">
        <f t="shared" si="0"/>
        <v>8.9166666666666661</v>
      </c>
      <c r="H30" s="4">
        <v>50</v>
      </c>
      <c r="I30" s="5">
        <f t="shared" si="7"/>
        <v>401.25</v>
      </c>
      <c r="J30" s="5">
        <f t="shared" si="8"/>
        <v>351.25</v>
      </c>
      <c r="K30">
        <v>26</v>
      </c>
      <c r="N30" s="83">
        <f>600</f>
        <v>600</v>
      </c>
      <c r="P30" t="s">
        <v>838</v>
      </c>
    </row>
    <row r="31" spans="1:17">
      <c r="A31" s="80" t="s">
        <v>826</v>
      </c>
      <c r="B31" s="4">
        <v>0</v>
      </c>
      <c r="C31" s="4">
        <v>0</v>
      </c>
      <c r="D31" s="4">
        <v>45</v>
      </c>
      <c r="E31" s="4">
        <v>0</v>
      </c>
      <c r="F31" s="4">
        <v>0</v>
      </c>
      <c r="G31" s="10">
        <f t="shared" si="0"/>
        <v>0</v>
      </c>
      <c r="H31" s="4">
        <v>0</v>
      </c>
      <c r="I31" s="5">
        <f t="shared" si="7"/>
        <v>0</v>
      </c>
      <c r="J31" s="5">
        <f t="shared" si="8"/>
        <v>0</v>
      </c>
      <c r="K31">
        <v>0</v>
      </c>
      <c r="N31" s="51">
        <v>0</v>
      </c>
    </row>
    <row r="32" spans="1:17">
      <c r="A32" s="80" t="s">
        <v>828</v>
      </c>
      <c r="B32" s="4">
        <v>10</v>
      </c>
      <c r="C32" s="4">
        <v>10</v>
      </c>
      <c r="D32" s="4">
        <v>65</v>
      </c>
      <c r="E32" s="4">
        <v>1</v>
      </c>
      <c r="F32" s="4">
        <v>50</v>
      </c>
      <c r="G32" s="10">
        <f t="shared" si="0"/>
        <v>10.166666666666666</v>
      </c>
      <c r="H32" s="4">
        <v>50</v>
      </c>
      <c r="I32" s="5">
        <f t="shared" si="7"/>
        <v>660.83333333333326</v>
      </c>
      <c r="J32" s="5">
        <f t="shared" si="8"/>
        <v>610.83333333333326</v>
      </c>
      <c r="K32">
        <v>35</v>
      </c>
      <c r="N32" s="51">
        <v>700</v>
      </c>
      <c r="P32" t="s">
        <v>839</v>
      </c>
    </row>
    <row r="33" spans="1:17">
      <c r="A33" s="80" t="s">
        <v>830</v>
      </c>
      <c r="B33" s="4">
        <v>10</v>
      </c>
      <c r="C33" s="4">
        <v>38</v>
      </c>
      <c r="D33" s="4">
        <v>65</v>
      </c>
      <c r="E33" s="4">
        <v>1</v>
      </c>
      <c r="F33" s="4">
        <v>50</v>
      </c>
      <c r="G33" s="10">
        <f t="shared" si="0"/>
        <v>10.633333333333333</v>
      </c>
      <c r="H33" s="4">
        <v>50</v>
      </c>
      <c r="I33" s="5">
        <f t="shared" si="7"/>
        <v>691.16666666666663</v>
      </c>
      <c r="J33" s="5">
        <f t="shared" si="8"/>
        <v>641.16666666666663</v>
      </c>
      <c r="K33">
        <v>33</v>
      </c>
      <c r="N33" s="51">
        <v>800</v>
      </c>
      <c r="P33" t="s">
        <v>840</v>
      </c>
    </row>
    <row r="34" spans="1:17">
      <c r="A34" s="80" t="s">
        <v>831</v>
      </c>
      <c r="B34" s="4">
        <v>11</v>
      </c>
      <c r="C34" s="4">
        <v>0</v>
      </c>
      <c r="D34" s="4">
        <v>65</v>
      </c>
      <c r="E34" s="4">
        <v>1</v>
      </c>
      <c r="F34" s="4">
        <v>50</v>
      </c>
      <c r="G34" s="10">
        <f t="shared" si="0"/>
        <v>11</v>
      </c>
      <c r="H34" s="4">
        <v>50</v>
      </c>
      <c r="I34" s="5">
        <f t="shared" si="7"/>
        <v>715</v>
      </c>
      <c r="J34" s="5">
        <f t="shared" si="8"/>
        <v>665</v>
      </c>
      <c r="K34">
        <v>41</v>
      </c>
      <c r="N34" s="51">
        <v>960</v>
      </c>
    </row>
    <row r="35" spans="1:17" ht="19">
      <c r="A35" s="91" t="s">
        <v>468</v>
      </c>
      <c r="B35" s="8">
        <f>SUM(B36:B42)</f>
        <v>42</v>
      </c>
      <c r="C35" s="8">
        <f>SUM(C36:C42)</f>
        <v>93</v>
      </c>
      <c r="D35" s="8">
        <f>SUM(D36)</f>
        <v>65</v>
      </c>
      <c r="E35" s="8">
        <f>SUM(E36:E42)</f>
        <v>4</v>
      </c>
      <c r="F35" s="8">
        <f>SUM(F36:F42)</f>
        <v>350</v>
      </c>
      <c r="G35" s="93">
        <f t="shared" si="0"/>
        <v>43.55</v>
      </c>
      <c r="H35" s="8">
        <f>SUM(H36:H42)</f>
        <v>246.2</v>
      </c>
      <c r="I35" s="9">
        <f>SUM(I36:I40)</f>
        <v>2723.0833333333335</v>
      </c>
      <c r="J35" s="14">
        <f>SUM(J36:J40)</f>
        <v>2476.8833333333332</v>
      </c>
      <c r="K35" s="8">
        <f>SUM(K36:K42)</f>
        <v>134</v>
      </c>
      <c r="L35" s="9">
        <v>0</v>
      </c>
      <c r="M35" s="96">
        <f>J35+L35</f>
        <v>2476.8833333333332</v>
      </c>
      <c r="N35" s="99">
        <f>SUM(N36:N42)</f>
        <v>3303</v>
      </c>
      <c r="O35" s="98">
        <f>3530-N35</f>
        <v>227</v>
      </c>
      <c r="P35" s="86"/>
      <c r="Q35" s="86"/>
    </row>
    <row r="36" spans="1:17">
      <c r="A36" s="80">
        <v>46133</v>
      </c>
      <c r="B36" s="4">
        <v>10</v>
      </c>
      <c r="C36" s="4">
        <v>47</v>
      </c>
      <c r="D36" s="4">
        <v>65</v>
      </c>
      <c r="E36" s="4">
        <v>1</v>
      </c>
      <c r="F36" s="4">
        <v>50</v>
      </c>
      <c r="G36" s="10">
        <f t="shared" si="0"/>
        <v>10.783333333333333</v>
      </c>
      <c r="H36" s="4">
        <v>50</v>
      </c>
      <c r="I36" s="5">
        <f t="shared" ref="I36:I42" si="9">G36*D36</f>
        <v>700.91666666666663</v>
      </c>
      <c r="J36" s="5">
        <f t="shared" ref="J36:J42" si="10">I36-H36</f>
        <v>650.91666666666663</v>
      </c>
      <c r="K36">
        <v>32</v>
      </c>
      <c r="N36" s="51">
        <f>803</f>
        <v>803</v>
      </c>
    </row>
    <row r="37" spans="1:17">
      <c r="A37" s="80">
        <v>46134</v>
      </c>
      <c r="B37" s="4">
        <v>10</v>
      </c>
      <c r="C37" s="4">
        <v>46</v>
      </c>
      <c r="D37" s="4">
        <v>55</v>
      </c>
      <c r="E37" s="4">
        <v>1</v>
      </c>
      <c r="F37" s="4">
        <v>50</v>
      </c>
      <c r="G37" s="10">
        <f t="shared" si="0"/>
        <v>10.766666666666667</v>
      </c>
      <c r="H37" s="4">
        <v>50</v>
      </c>
      <c r="I37" s="5">
        <f t="shared" si="9"/>
        <v>592.16666666666674</v>
      </c>
      <c r="J37" s="5">
        <f t="shared" si="10"/>
        <v>542.16666666666674</v>
      </c>
      <c r="K37">
        <v>27</v>
      </c>
      <c r="N37" s="51">
        <f>710</f>
        <v>710</v>
      </c>
    </row>
    <row r="38" spans="1:17">
      <c r="A38" s="80">
        <v>46135</v>
      </c>
      <c r="B38" s="4">
        <v>11</v>
      </c>
      <c r="C38" s="4">
        <v>0</v>
      </c>
      <c r="D38" s="4">
        <v>65</v>
      </c>
      <c r="E38" s="4">
        <v>1</v>
      </c>
      <c r="F38" s="4">
        <v>50</v>
      </c>
      <c r="G38" s="10">
        <f t="shared" si="0"/>
        <v>11</v>
      </c>
      <c r="H38" s="4">
        <f>50+46.2</f>
        <v>96.2</v>
      </c>
      <c r="I38" s="5">
        <f t="shared" si="9"/>
        <v>715</v>
      </c>
      <c r="J38" s="5">
        <f t="shared" si="10"/>
        <v>618.79999999999995</v>
      </c>
      <c r="K38">
        <v>33</v>
      </c>
      <c r="N38" s="51">
        <f>850</f>
        <v>850</v>
      </c>
      <c r="P38" t="s">
        <v>841</v>
      </c>
    </row>
    <row r="39" spans="1:17">
      <c r="A39" s="80">
        <v>46136</v>
      </c>
      <c r="B39" s="4">
        <v>11</v>
      </c>
      <c r="C39" s="4">
        <v>0</v>
      </c>
      <c r="D39" s="4">
        <v>65</v>
      </c>
      <c r="E39" s="4">
        <v>1</v>
      </c>
      <c r="F39" s="4">
        <v>50</v>
      </c>
      <c r="G39" s="10">
        <f t="shared" si="0"/>
        <v>11</v>
      </c>
      <c r="H39" s="4">
        <v>50</v>
      </c>
      <c r="I39" s="5">
        <f t="shared" si="9"/>
        <v>715</v>
      </c>
      <c r="J39" s="5">
        <f t="shared" si="10"/>
        <v>665</v>
      </c>
      <c r="K39">
        <v>42</v>
      </c>
      <c r="N39" s="51">
        <v>940</v>
      </c>
    </row>
    <row r="40" spans="1:17">
      <c r="A40" s="80">
        <v>46137</v>
      </c>
      <c r="B40" s="4">
        <v>0</v>
      </c>
      <c r="C40" s="4">
        <v>0</v>
      </c>
      <c r="D40" s="4">
        <v>45</v>
      </c>
      <c r="E40" s="4">
        <v>0</v>
      </c>
      <c r="F40" s="7">
        <v>50</v>
      </c>
      <c r="G40" s="10">
        <f t="shared" si="0"/>
        <v>0</v>
      </c>
      <c r="H40" s="4">
        <v>0</v>
      </c>
      <c r="I40" s="5">
        <f t="shared" si="9"/>
        <v>0</v>
      </c>
      <c r="J40" s="5">
        <f t="shared" si="10"/>
        <v>0</v>
      </c>
      <c r="K40">
        <v>0</v>
      </c>
      <c r="N40" s="51">
        <v>0</v>
      </c>
    </row>
    <row r="41" spans="1:17">
      <c r="A41" s="80">
        <v>46138</v>
      </c>
      <c r="B41" s="4">
        <v>0</v>
      </c>
      <c r="C41" s="4">
        <v>0</v>
      </c>
      <c r="D41" s="4">
        <v>45</v>
      </c>
      <c r="E41" s="4">
        <v>0</v>
      </c>
      <c r="F41" s="4">
        <v>50</v>
      </c>
      <c r="G41" s="10">
        <f t="shared" si="0"/>
        <v>0</v>
      </c>
      <c r="H41" s="4">
        <v>0</v>
      </c>
      <c r="I41" s="5">
        <f t="shared" si="9"/>
        <v>0</v>
      </c>
      <c r="J41" s="5">
        <f t="shared" si="10"/>
        <v>0</v>
      </c>
      <c r="K41">
        <v>0</v>
      </c>
      <c r="N41" s="51">
        <v>0</v>
      </c>
    </row>
    <row r="42" spans="1:17">
      <c r="A42" s="80">
        <v>46139</v>
      </c>
      <c r="B42" s="4">
        <v>0</v>
      </c>
      <c r="C42" s="4">
        <v>0</v>
      </c>
      <c r="D42" s="4">
        <v>45</v>
      </c>
      <c r="E42" s="4">
        <v>0</v>
      </c>
      <c r="F42" s="4">
        <v>50</v>
      </c>
      <c r="G42" s="10">
        <f t="shared" si="0"/>
        <v>0</v>
      </c>
      <c r="H42" s="4">
        <v>0</v>
      </c>
      <c r="I42" s="5">
        <f t="shared" si="9"/>
        <v>0</v>
      </c>
      <c r="J42" s="5">
        <f t="shared" si="10"/>
        <v>0</v>
      </c>
      <c r="K42">
        <v>0</v>
      </c>
      <c r="N42" s="51">
        <v>0</v>
      </c>
    </row>
    <row r="43" spans="1:17" ht="19">
      <c r="A43" s="91" t="s">
        <v>475</v>
      </c>
      <c r="B43" s="8">
        <f>SUM(B44:B50)</f>
        <v>27</v>
      </c>
      <c r="C43" s="8">
        <f>SUM(C44:C50)</f>
        <v>95</v>
      </c>
      <c r="D43" s="8">
        <f>SUM(D44)</f>
        <v>55</v>
      </c>
      <c r="E43" s="8">
        <f>SUM(E44:E50)</f>
        <v>7</v>
      </c>
      <c r="F43" s="8">
        <f>SUM(F44:F50)</f>
        <v>150</v>
      </c>
      <c r="G43" s="93">
        <f t="shared" si="0"/>
        <v>28.583333333333332</v>
      </c>
      <c r="H43" s="8">
        <f>SUM(H44:H50)</f>
        <v>150</v>
      </c>
      <c r="I43" s="9">
        <f>SUM(I44:I50)</f>
        <v>1572.0833333333333</v>
      </c>
      <c r="J43" s="14">
        <f>SUM(J44:J50)</f>
        <v>1422.0833333333333</v>
      </c>
      <c r="K43" s="8">
        <f>SUM(K44:K50)</f>
        <v>87</v>
      </c>
      <c r="L43" s="9">
        <v>0</v>
      </c>
      <c r="M43" s="96">
        <f>J43+L43</f>
        <v>1422.0833333333333</v>
      </c>
      <c r="N43" s="129">
        <f>SUM(N44:N50)</f>
        <v>1401</v>
      </c>
      <c r="O43" s="98">
        <f>1502-N43</f>
        <v>101</v>
      </c>
      <c r="P43" s="86"/>
      <c r="Q43" s="86"/>
    </row>
    <row r="44" spans="1:17" ht="19">
      <c r="A44" s="80" t="s">
        <v>820</v>
      </c>
      <c r="B44" s="4">
        <v>10</v>
      </c>
      <c r="C44" s="4">
        <v>13</v>
      </c>
      <c r="D44" s="4">
        <v>55</v>
      </c>
      <c r="E44" s="4">
        <v>1</v>
      </c>
      <c r="F44" s="4">
        <v>50</v>
      </c>
      <c r="G44" s="10">
        <f t="shared" si="0"/>
        <v>10.216666666666667</v>
      </c>
      <c r="H44" s="4">
        <v>50</v>
      </c>
      <c r="I44" s="5">
        <f t="shared" ref="I44:I50" si="11">G44*D44</f>
        <v>561.91666666666663</v>
      </c>
      <c r="J44" s="5">
        <f t="shared" ref="J44:J50" si="12">I44-H44</f>
        <v>511.91666666666663</v>
      </c>
      <c r="K44">
        <v>29</v>
      </c>
      <c r="N44" s="51">
        <v>400</v>
      </c>
      <c r="O44" s="49"/>
      <c r="P44" t="s">
        <v>842</v>
      </c>
    </row>
    <row r="45" spans="1:17" ht="19">
      <c r="A45" s="80" t="s">
        <v>822</v>
      </c>
      <c r="B45" s="4">
        <v>7</v>
      </c>
      <c r="C45" s="4">
        <v>58</v>
      </c>
      <c r="D45" s="4">
        <v>55</v>
      </c>
      <c r="E45" s="4">
        <v>1</v>
      </c>
      <c r="F45" s="4">
        <v>50</v>
      </c>
      <c r="G45" s="10">
        <f t="shared" si="0"/>
        <v>7.9666666666666668</v>
      </c>
      <c r="H45" s="4">
        <v>50</v>
      </c>
      <c r="I45" s="5">
        <f t="shared" si="11"/>
        <v>438.16666666666669</v>
      </c>
      <c r="J45" s="5">
        <f t="shared" si="12"/>
        <v>388.16666666666669</v>
      </c>
      <c r="K45">
        <v>28</v>
      </c>
      <c r="N45" s="51">
        <v>317</v>
      </c>
      <c r="O45" s="49"/>
      <c r="P45" t="s">
        <v>843</v>
      </c>
    </row>
    <row r="46" spans="1:17">
      <c r="A46" s="80" t="s">
        <v>824</v>
      </c>
      <c r="B46" s="4">
        <v>10</v>
      </c>
      <c r="C46" s="4">
        <v>24</v>
      </c>
      <c r="D46" s="4">
        <v>55</v>
      </c>
      <c r="E46" s="4">
        <v>1</v>
      </c>
      <c r="F46" s="4">
        <v>50</v>
      </c>
      <c r="G46" s="10">
        <f t="shared" si="0"/>
        <v>10.4</v>
      </c>
      <c r="H46" s="4">
        <v>50</v>
      </c>
      <c r="I46" s="5">
        <f t="shared" si="11"/>
        <v>572</v>
      </c>
      <c r="J46" s="5">
        <f t="shared" si="12"/>
        <v>522</v>
      </c>
      <c r="K46">
        <v>30</v>
      </c>
      <c r="N46" s="51">
        <f>684</f>
        <v>684</v>
      </c>
      <c r="P46" t="s">
        <v>844</v>
      </c>
    </row>
    <row r="47" spans="1:17">
      <c r="A47" s="80" t="s">
        <v>826</v>
      </c>
      <c r="B47" s="4">
        <v>0</v>
      </c>
      <c r="C47" s="4">
        <v>0</v>
      </c>
      <c r="D47" s="4">
        <v>45</v>
      </c>
      <c r="E47" s="4">
        <v>1</v>
      </c>
      <c r="F47" s="4">
        <v>0</v>
      </c>
      <c r="G47" s="10">
        <f t="shared" si="0"/>
        <v>0</v>
      </c>
      <c r="H47" s="4">
        <v>0</v>
      </c>
      <c r="I47" s="5">
        <f t="shared" si="11"/>
        <v>0</v>
      </c>
      <c r="J47" s="5">
        <f t="shared" si="12"/>
        <v>0</v>
      </c>
      <c r="K47">
        <v>0</v>
      </c>
      <c r="N47" s="51">
        <v>0</v>
      </c>
    </row>
    <row r="48" spans="1:17">
      <c r="A48" s="80" t="s">
        <v>828</v>
      </c>
      <c r="B48" s="4">
        <v>0</v>
      </c>
      <c r="C48" s="4">
        <v>0</v>
      </c>
      <c r="D48" s="4">
        <v>45</v>
      </c>
      <c r="E48" s="4">
        <v>1</v>
      </c>
      <c r="F48" s="4">
        <v>0</v>
      </c>
      <c r="G48" s="10">
        <f t="shared" si="0"/>
        <v>0</v>
      </c>
      <c r="H48" s="4">
        <v>0</v>
      </c>
      <c r="I48" s="5">
        <f t="shared" si="11"/>
        <v>0</v>
      </c>
      <c r="J48" s="5">
        <f t="shared" si="12"/>
        <v>0</v>
      </c>
      <c r="K48">
        <v>0</v>
      </c>
      <c r="N48" s="51">
        <v>0</v>
      </c>
    </row>
    <row r="49" spans="1:17">
      <c r="A49" s="80" t="s">
        <v>830</v>
      </c>
      <c r="B49" s="4">
        <v>0</v>
      </c>
      <c r="C49" s="4">
        <v>0</v>
      </c>
      <c r="D49" s="4">
        <v>45</v>
      </c>
      <c r="E49" s="4">
        <v>1</v>
      </c>
      <c r="F49" s="4">
        <v>0</v>
      </c>
      <c r="G49" s="10">
        <f t="shared" si="0"/>
        <v>0</v>
      </c>
      <c r="H49" s="4">
        <v>0</v>
      </c>
      <c r="I49" s="5">
        <f t="shared" si="11"/>
        <v>0</v>
      </c>
      <c r="J49" s="5">
        <f t="shared" si="12"/>
        <v>0</v>
      </c>
      <c r="K49">
        <v>0</v>
      </c>
      <c r="N49" s="51">
        <v>0</v>
      </c>
      <c r="P49" s="51"/>
    </row>
    <row r="50" spans="1:17">
      <c r="A50" s="80" t="s">
        <v>831</v>
      </c>
      <c r="B50" s="4">
        <v>0</v>
      </c>
      <c r="C50" s="4">
        <v>0</v>
      </c>
      <c r="D50" s="4">
        <v>45</v>
      </c>
      <c r="E50" s="4">
        <v>1</v>
      </c>
      <c r="F50" s="4">
        <v>0</v>
      </c>
      <c r="G50" s="10">
        <v>0</v>
      </c>
      <c r="H50" s="4">
        <v>0</v>
      </c>
      <c r="I50" s="5">
        <f t="shared" si="11"/>
        <v>0</v>
      </c>
      <c r="J50" s="5">
        <f t="shared" si="12"/>
        <v>0</v>
      </c>
      <c r="K50">
        <v>0</v>
      </c>
      <c r="L50" s="1"/>
      <c r="N50" s="51">
        <v>0</v>
      </c>
    </row>
    <row r="51" spans="1:17" ht="19">
      <c r="A51" s="91" t="s">
        <v>845</v>
      </c>
      <c r="B51" s="8">
        <f>SUM(B52:B58)</f>
        <v>33</v>
      </c>
      <c r="C51" s="8">
        <f>SUM(C52:C58)</f>
        <v>168</v>
      </c>
      <c r="D51" s="8">
        <f>SUM(D52)</f>
        <v>45</v>
      </c>
      <c r="E51" s="8">
        <f>SUM(E52:E58)</f>
        <v>4</v>
      </c>
      <c r="F51" s="8">
        <f>SUM(F52:F58)</f>
        <v>350</v>
      </c>
      <c r="G51" s="93">
        <f t="shared" ref="G51:G62" si="13">B51+C51/60</f>
        <v>35.799999999999997</v>
      </c>
      <c r="H51" s="8">
        <f>SUM(H52:H58)</f>
        <v>200</v>
      </c>
      <c r="I51" s="100">
        <f>SUM(I52:I58)</f>
        <v>1611</v>
      </c>
      <c r="J51" s="101">
        <f>SUM(J52:J58)</f>
        <v>1411</v>
      </c>
      <c r="K51" s="8">
        <f>SUM(K52:K58)</f>
        <v>86</v>
      </c>
      <c r="L51" s="104">
        <v>0</v>
      </c>
      <c r="M51" s="96">
        <f>J51+L51</f>
        <v>1411</v>
      </c>
      <c r="N51" s="99">
        <f>SUM(N52:N58)</f>
        <v>1935</v>
      </c>
      <c r="O51" s="98">
        <f>2483-N51</f>
        <v>548</v>
      </c>
      <c r="P51" s="86"/>
      <c r="Q51" s="86"/>
    </row>
    <row r="52" spans="1:17">
      <c r="A52" s="80" t="s">
        <v>820</v>
      </c>
      <c r="B52" s="4">
        <v>8</v>
      </c>
      <c r="C52" s="4">
        <v>42</v>
      </c>
      <c r="D52" s="4">
        <v>45</v>
      </c>
      <c r="E52" s="4">
        <v>1</v>
      </c>
      <c r="F52" s="4">
        <v>50</v>
      </c>
      <c r="G52" s="10">
        <f t="shared" si="13"/>
        <v>8.6999999999999993</v>
      </c>
      <c r="H52" s="4">
        <v>50</v>
      </c>
      <c r="I52" s="5">
        <f t="shared" ref="I52:I58" si="14">G52*D52</f>
        <v>391.49999999999994</v>
      </c>
      <c r="J52" s="5">
        <f t="shared" ref="J52:J58" si="15">I52-H52</f>
        <v>341.49999999999994</v>
      </c>
      <c r="K52">
        <v>18</v>
      </c>
      <c r="N52" s="179">
        <f>390</f>
        <v>390</v>
      </c>
      <c r="P52" t="s">
        <v>846</v>
      </c>
    </row>
    <row r="53" spans="1:17">
      <c r="A53" s="80" t="s">
        <v>822</v>
      </c>
      <c r="B53" s="4">
        <v>9</v>
      </c>
      <c r="C53" s="4">
        <v>54</v>
      </c>
      <c r="D53" s="4">
        <v>45</v>
      </c>
      <c r="E53" s="4">
        <v>1</v>
      </c>
      <c r="F53" s="4">
        <v>50</v>
      </c>
      <c r="G53" s="10">
        <f t="shared" si="13"/>
        <v>9.9</v>
      </c>
      <c r="H53" s="4">
        <v>50</v>
      </c>
      <c r="I53" s="5">
        <f t="shared" si="14"/>
        <v>445.5</v>
      </c>
      <c r="J53" s="5">
        <f t="shared" si="15"/>
        <v>395.5</v>
      </c>
      <c r="K53">
        <v>24</v>
      </c>
      <c r="N53" s="83">
        <v>720</v>
      </c>
      <c r="P53" t="s">
        <v>847</v>
      </c>
    </row>
    <row r="54" spans="1:17">
      <c r="A54" s="80" t="s">
        <v>824</v>
      </c>
      <c r="B54" s="4">
        <v>9</v>
      </c>
      <c r="C54" s="4">
        <v>35</v>
      </c>
      <c r="D54" s="4">
        <v>45</v>
      </c>
      <c r="E54" s="4">
        <v>1</v>
      </c>
      <c r="F54" s="4">
        <v>50</v>
      </c>
      <c r="G54" s="10">
        <f t="shared" si="13"/>
        <v>9.5833333333333339</v>
      </c>
      <c r="H54" s="4">
        <v>50</v>
      </c>
      <c r="I54" s="5">
        <f t="shared" si="14"/>
        <v>431.25</v>
      </c>
      <c r="J54" s="5">
        <f t="shared" si="15"/>
        <v>381.25</v>
      </c>
      <c r="K54">
        <v>23</v>
      </c>
      <c r="N54" s="83">
        <f>290</f>
        <v>290</v>
      </c>
      <c r="P54" t="s">
        <v>848</v>
      </c>
    </row>
    <row r="55" spans="1:17">
      <c r="A55" s="80" t="s">
        <v>826</v>
      </c>
      <c r="B55" s="4">
        <v>7</v>
      </c>
      <c r="C55" s="4">
        <v>37</v>
      </c>
      <c r="D55" s="4">
        <v>45</v>
      </c>
      <c r="E55" s="4">
        <v>1</v>
      </c>
      <c r="F55" s="4">
        <v>50</v>
      </c>
      <c r="G55" s="10">
        <f t="shared" si="13"/>
        <v>7.6166666666666671</v>
      </c>
      <c r="H55" s="4">
        <v>50</v>
      </c>
      <c r="I55" s="5">
        <f t="shared" si="14"/>
        <v>342.75</v>
      </c>
      <c r="J55" s="5">
        <f t="shared" si="15"/>
        <v>292.75</v>
      </c>
      <c r="K55">
        <v>21</v>
      </c>
      <c r="N55" s="51">
        <f>535</f>
        <v>535</v>
      </c>
      <c r="P55" t="s">
        <v>849</v>
      </c>
    </row>
    <row r="56" spans="1:17">
      <c r="A56" s="80" t="s">
        <v>828</v>
      </c>
      <c r="B56" s="4">
        <v>0</v>
      </c>
      <c r="C56" s="4">
        <v>0</v>
      </c>
      <c r="D56" s="4">
        <v>45</v>
      </c>
      <c r="E56" s="4">
        <v>0</v>
      </c>
      <c r="F56" s="4">
        <v>50</v>
      </c>
      <c r="G56" s="10">
        <f t="shared" si="13"/>
        <v>0</v>
      </c>
      <c r="H56" s="4">
        <v>0</v>
      </c>
      <c r="I56" s="5">
        <f t="shared" si="14"/>
        <v>0</v>
      </c>
      <c r="J56" s="5">
        <f t="shared" si="15"/>
        <v>0</v>
      </c>
      <c r="K56">
        <v>0</v>
      </c>
      <c r="N56" s="51">
        <v>0</v>
      </c>
    </row>
    <row r="57" spans="1:17">
      <c r="A57" s="80" t="s">
        <v>830</v>
      </c>
      <c r="B57" s="4">
        <v>0</v>
      </c>
      <c r="C57" s="4">
        <v>0</v>
      </c>
      <c r="D57" s="4">
        <v>45</v>
      </c>
      <c r="E57" s="4">
        <v>0</v>
      </c>
      <c r="F57" s="4">
        <v>50</v>
      </c>
      <c r="G57" s="10">
        <f t="shared" si="13"/>
        <v>0</v>
      </c>
      <c r="H57" s="4">
        <v>0</v>
      </c>
      <c r="I57" s="5">
        <f t="shared" si="14"/>
        <v>0</v>
      </c>
      <c r="J57" s="5">
        <f t="shared" si="15"/>
        <v>0</v>
      </c>
      <c r="K57">
        <v>0</v>
      </c>
      <c r="N57" s="51">
        <v>0</v>
      </c>
    </row>
    <row r="58" spans="1:17">
      <c r="A58" s="80" t="s">
        <v>831</v>
      </c>
      <c r="B58" s="4">
        <v>0</v>
      </c>
      <c r="C58" s="4">
        <v>0</v>
      </c>
      <c r="D58" s="4">
        <v>45</v>
      </c>
      <c r="E58" s="4">
        <v>0</v>
      </c>
      <c r="F58" s="4">
        <v>50</v>
      </c>
      <c r="G58" s="10">
        <f t="shared" si="13"/>
        <v>0</v>
      </c>
      <c r="H58" s="4">
        <v>0</v>
      </c>
      <c r="I58" s="5">
        <f t="shared" si="14"/>
        <v>0</v>
      </c>
      <c r="J58" s="5">
        <f t="shared" si="15"/>
        <v>0</v>
      </c>
      <c r="K58">
        <v>0</v>
      </c>
      <c r="N58" s="51">
        <v>0</v>
      </c>
    </row>
    <row r="59" spans="1:17" ht="19">
      <c r="A59" s="91" t="s">
        <v>484</v>
      </c>
      <c r="B59" s="8">
        <f>SUM(B60:B66)</f>
        <v>27</v>
      </c>
      <c r="C59" s="8">
        <f>SUM(C60:C66)</f>
        <v>108</v>
      </c>
      <c r="D59" s="8">
        <f>SUM(D60)</f>
        <v>45</v>
      </c>
      <c r="E59" s="8">
        <f>SUM(E60:E66)</f>
        <v>3</v>
      </c>
      <c r="F59" s="8">
        <f>SUM(F60:F66)</f>
        <v>350</v>
      </c>
      <c r="G59" s="93">
        <f t="shared" si="13"/>
        <v>28.8</v>
      </c>
      <c r="H59" s="8">
        <f>SUM(H60:H66)</f>
        <v>150</v>
      </c>
      <c r="I59" s="9">
        <f>SUM(I60:I66)</f>
        <v>1782.5</v>
      </c>
      <c r="J59" s="14">
        <f>SUM(J60:J66)</f>
        <v>1632.5</v>
      </c>
      <c r="K59" s="8">
        <f>SUM(K60:K66)</f>
        <v>104</v>
      </c>
      <c r="L59" s="9">
        <v>0</v>
      </c>
      <c r="M59" s="96">
        <f>J59</f>
        <v>1632.5</v>
      </c>
      <c r="N59" s="102">
        <f>SUM(N60:N66)</f>
        <v>2097</v>
      </c>
      <c r="O59" s="98">
        <f>1957-N59</f>
        <v>-140</v>
      </c>
      <c r="P59" s="86"/>
      <c r="Q59" s="86"/>
    </row>
    <row r="60" spans="1:17" ht="19">
      <c r="A60" s="80" t="s">
        <v>820</v>
      </c>
      <c r="B60" s="4">
        <v>0</v>
      </c>
      <c r="C60" s="4">
        <v>0</v>
      </c>
      <c r="D60" s="4">
        <v>45</v>
      </c>
      <c r="E60" s="4">
        <v>0</v>
      </c>
      <c r="F60" s="4">
        <v>50</v>
      </c>
      <c r="G60" s="10">
        <f t="shared" si="13"/>
        <v>0</v>
      </c>
      <c r="H60" s="4">
        <v>0</v>
      </c>
      <c r="I60" s="5">
        <f>G60*D60</f>
        <v>0</v>
      </c>
      <c r="J60" s="5">
        <f t="shared" ref="J60:J66" si="16">I60-H60</f>
        <v>0</v>
      </c>
      <c r="K60">
        <v>0</v>
      </c>
      <c r="N60" s="51">
        <v>0</v>
      </c>
      <c r="O60" s="49"/>
    </row>
    <row r="61" spans="1:17">
      <c r="A61" s="80" t="s">
        <v>822</v>
      </c>
      <c r="B61" s="4">
        <v>0</v>
      </c>
      <c r="C61" s="4">
        <v>0</v>
      </c>
      <c r="D61" s="4">
        <v>45</v>
      </c>
      <c r="E61" s="4">
        <v>0</v>
      </c>
      <c r="F61" s="4">
        <v>50</v>
      </c>
      <c r="G61" s="10">
        <f t="shared" si="13"/>
        <v>0</v>
      </c>
      <c r="H61" s="4">
        <v>0</v>
      </c>
      <c r="I61" s="5">
        <f>G61*D61</f>
        <v>0</v>
      </c>
      <c r="J61" s="5">
        <f t="shared" si="16"/>
        <v>0</v>
      </c>
      <c r="K61">
        <v>0</v>
      </c>
      <c r="N61" s="51">
        <v>0</v>
      </c>
    </row>
    <row r="62" spans="1:17">
      <c r="A62" s="80" t="s">
        <v>824</v>
      </c>
      <c r="B62" s="4">
        <v>0</v>
      </c>
      <c r="C62" s="4">
        <v>0</v>
      </c>
      <c r="D62" s="4">
        <v>45</v>
      </c>
      <c r="E62" s="4">
        <v>0</v>
      </c>
      <c r="F62" s="4">
        <v>50</v>
      </c>
      <c r="G62" s="10">
        <f t="shared" si="13"/>
        <v>0</v>
      </c>
      <c r="H62" s="4">
        <v>0</v>
      </c>
      <c r="I62" s="5">
        <f>G62*D62</f>
        <v>0</v>
      </c>
      <c r="J62" s="5">
        <f t="shared" si="16"/>
        <v>0</v>
      </c>
      <c r="K62">
        <v>0</v>
      </c>
      <c r="N62" s="51">
        <v>0</v>
      </c>
    </row>
    <row r="63" spans="1:17">
      <c r="A63" s="80" t="s">
        <v>826</v>
      </c>
      <c r="B63" s="4">
        <v>0</v>
      </c>
      <c r="C63" s="4">
        <v>0</v>
      </c>
      <c r="D63" s="4">
        <v>45</v>
      </c>
      <c r="E63" s="4">
        <v>0</v>
      </c>
      <c r="F63" s="4">
        <v>50</v>
      </c>
      <c r="G63" s="10">
        <v>0</v>
      </c>
      <c r="H63" s="4">
        <v>0</v>
      </c>
      <c r="I63" s="5">
        <v>0</v>
      </c>
      <c r="J63" s="5">
        <f t="shared" si="16"/>
        <v>0</v>
      </c>
      <c r="K63">
        <v>0</v>
      </c>
      <c r="N63" s="51">
        <v>0</v>
      </c>
    </row>
    <row r="64" spans="1:17">
      <c r="A64" s="80" t="s">
        <v>828</v>
      </c>
      <c r="B64" s="4">
        <v>8</v>
      </c>
      <c r="C64" s="4">
        <v>57</v>
      </c>
      <c r="D64" s="4">
        <v>55</v>
      </c>
      <c r="E64" s="4">
        <v>1</v>
      </c>
      <c r="F64" s="4">
        <v>50</v>
      </c>
      <c r="G64" s="10">
        <f t="shared" ref="G64:G81" si="17">B64+C64/60</f>
        <v>8.9499999999999993</v>
      </c>
      <c r="H64" s="4">
        <v>50</v>
      </c>
      <c r="I64" s="5">
        <f>G64*D64</f>
        <v>492.24999999999994</v>
      </c>
      <c r="J64" s="5">
        <f t="shared" si="16"/>
        <v>442.24999999999994</v>
      </c>
      <c r="K64">
        <v>30</v>
      </c>
      <c r="N64" s="51">
        <v>530</v>
      </c>
      <c r="P64" t="s">
        <v>850</v>
      </c>
    </row>
    <row r="65" spans="1:17">
      <c r="A65" s="80" t="s">
        <v>830</v>
      </c>
      <c r="B65" s="4">
        <v>10</v>
      </c>
      <c r="C65" s="4">
        <v>32</v>
      </c>
      <c r="D65" s="4">
        <v>65</v>
      </c>
      <c r="E65" s="4">
        <v>1</v>
      </c>
      <c r="F65" s="4">
        <v>50</v>
      </c>
      <c r="G65" s="10">
        <f t="shared" si="17"/>
        <v>10.533333333333333</v>
      </c>
      <c r="H65" s="4">
        <v>50</v>
      </c>
      <c r="I65" s="5">
        <f>G65*D65</f>
        <v>684.66666666666663</v>
      </c>
      <c r="J65" s="5">
        <f t="shared" si="16"/>
        <v>634.66666666666663</v>
      </c>
      <c r="K65">
        <v>36</v>
      </c>
      <c r="N65" s="51">
        <v>720</v>
      </c>
      <c r="P65" t="s">
        <v>851</v>
      </c>
    </row>
    <row r="66" spans="1:17">
      <c r="A66" s="80" t="s">
        <v>831</v>
      </c>
      <c r="B66" s="4">
        <v>9</v>
      </c>
      <c r="C66" s="4">
        <v>19</v>
      </c>
      <c r="D66" s="4">
        <v>65</v>
      </c>
      <c r="E66" s="4">
        <v>1</v>
      </c>
      <c r="F66" s="4">
        <v>50</v>
      </c>
      <c r="G66" s="10">
        <f t="shared" si="17"/>
        <v>9.3166666666666664</v>
      </c>
      <c r="H66" s="4">
        <v>50</v>
      </c>
      <c r="I66" s="5">
        <f>G66*D66</f>
        <v>605.58333333333337</v>
      </c>
      <c r="J66" s="5">
        <f t="shared" si="16"/>
        <v>555.58333333333337</v>
      </c>
      <c r="K66">
        <v>38</v>
      </c>
      <c r="N66" s="51">
        <v>847</v>
      </c>
      <c r="P66" t="s">
        <v>852</v>
      </c>
    </row>
    <row r="67" spans="1:17" ht="19">
      <c r="A67" s="91" t="s">
        <v>591</v>
      </c>
      <c r="B67" s="8">
        <f>SUM(B68:B74)</f>
        <v>26</v>
      </c>
      <c r="C67" s="8">
        <f>SUM(C68:C74)</f>
        <v>94</v>
      </c>
      <c r="D67" s="8">
        <f>SUM(D68)</f>
        <v>45</v>
      </c>
      <c r="E67" s="8">
        <f>SUM(E68:E74)</f>
        <v>6</v>
      </c>
      <c r="F67" s="8">
        <f>SUM(F68:F74)</f>
        <v>350</v>
      </c>
      <c r="G67" s="93">
        <f t="shared" si="17"/>
        <v>27.566666666666666</v>
      </c>
      <c r="H67" s="8">
        <f>SUM(H68:H74)</f>
        <v>200</v>
      </c>
      <c r="I67" s="9">
        <f>SUM(I68:I74)</f>
        <v>1313</v>
      </c>
      <c r="J67" s="14">
        <f>SUM(J68:J74)</f>
        <v>1113</v>
      </c>
      <c r="K67" s="8">
        <f>SUM(K68:K74)</f>
        <v>96</v>
      </c>
      <c r="L67" s="9">
        <v>0</v>
      </c>
      <c r="M67" s="96">
        <f>J67</f>
        <v>1113</v>
      </c>
      <c r="N67" s="102">
        <f>SUM(N68:N74)</f>
        <v>2511</v>
      </c>
      <c r="O67" s="98">
        <f>2148-N67</f>
        <v>-363</v>
      </c>
      <c r="P67" s="86"/>
      <c r="Q67" s="86"/>
    </row>
    <row r="68" spans="1:17">
      <c r="A68" s="80" t="s">
        <v>820</v>
      </c>
      <c r="B68" s="4">
        <v>6</v>
      </c>
      <c r="C68" s="4">
        <v>18</v>
      </c>
      <c r="D68" s="4">
        <v>45</v>
      </c>
      <c r="E68" s="4">
        <v>1</v>
      </c>
      <c r="F68" s="4">
        <v>50</v>
      </c>
      <c r="G68" s="10">
        <f t="shared" si="17"/>
        <v>6.3</v>
      </c>
      <c r="H68" s="4">
        <v>50</v>
      </c>
      <c r="I68" s="5">
        <f t="shared" ref="I68:I74" si="18">G68*D68</f>
        <v>283.5</v>
      </c>
      <c r="J68" s="5">
        <f t="shared" ref="J68:J73" si="19">I68-H68</f>
        <v>233.5</v>
      </c>
      <c r="K68">
        <v>22</v>
      </c>
      <c r="N68" s="51">
        <v>352</v>
      </c>
      <c r="O68" s="51"/>
      <c r="P68" t="s">
        <v>853</v>
      </c>
    </row>
    <row r="69" spans="1:17">
      <c r="A69" s="80" t="s">
        <v>822</v>
      </c>
      <c r="B69" s="4">
        <v>7</v>
      </c>
      <c r="C69" s="4">
        <v>23</v>
      </c>
      <c r="D69" s="4">
        <v>45</v>
      </c>
      <c r="E69" s="4">
        <v>1</v>
      </c>
      <c r="F69" s="4">
        <v>50</v>
      </c>
      <c r="G69" s="10">
        <f t="shared" si="17"/>
        <v>7.3833333333333337</v>
      </c>
      <c r="H69" s="4">
        <v>50</v>
      </c>
      <c r="I69" s="5">
        <f t="shared" si="18"/>
        <v>332.25</v>
      </c>
      <c r="J69" s="5">
        <f t="shared" si="19"/>
        <v>282.25</v>
      </c>
      <c r="K69">
        <v>24</v>
      </c>
      <c r="N69" s="51">
        <v>514</v>
      </c>
      <c r="P69" t="s">
        <v>854</v>
      </c>
    </row>
    <row r="70" spans="1:17">
      <c r="A70" s="80" t="s">
        <v>824</v>
      </c>
      <c r="B70" s="4">
        <v>7</v>
      </c>
      <c r="C70" s="4">
        <v>15</v>
      </c>
      <c r="D70" s="4">
        <v>55</v>
      </c>
      <c r="E70" s="4">
        <v>1</v>
      </c>
      <c r="F70" s="4">
        <v>50</v>
      </c>
      <c r="G70" s="10">
        <f t="shared" si="17"/>
        <v>7.25</v>
      </c>
      <c r="H70" s="4">
        <v>50</v>
      </c>
      <c r="I70" s="5">
        <f t="shared" si="18"/>
        <v>398.75</v>
      </c>
      <c r="J70" s="5">
        <f t="shared" si="19"/>
        <v>348.75</v>
      </c>
      <c r="K70">
        <v>31</v>
      </c>
      <c r="N70" s="51">
        <f>328</f>
        <v>328</v>
      </c>
      <c r="P70" t="s">
        <v>855</v>
      </c>
      <c r="Q70" t="s">
        <v>64</v>
      </c>
    </row>
    <row r="71" spans="1:17">
      <c r="A71" s="80" t="s">
        <v>826</v>
      </c>
      <c r="B71" s="4">
        <v>6</v>
      </c>
      <c r="C71" s="4">
        <v>38</v>
      </c>
      <c r="D71" s="4">
        <v>45</v>
      </c>
      <c r="E71" s="4">
        <v>1</v>
      </c>
      <c r="F71" s="4">
        <v>50</v>
      </c>
      <c r="G71" s="10">
        <f t="shared" si="17"/>
        <v>6.6333333333333329</v>
      </c>
      <c r="H71" s="4">
        <v>50</v>
      </c>
      <c r="I71" s="5">
        <f t="shared" si="18"/>
        <v>298.5</v>
      </c>
      <c r="J71" s="5">
        <f t="shared" si="19"/>
        <v>248.5</v>
      </c>
      <c r="K71">
        <v>19</v>
      </c>
      <c r="N71" s="51">
        <f>432</f>
        <v>432</v>
      </c>
      <c r="O71" t="s">
        <v>856</v>
      </c>
      <c r="P71" t="s">
        <v>857</v>
      </c>
    </row>
    <row r="72" spans="1:17">
      <c r="A72" s="80" t="s">
        <v>828</v>
      </c>
      <c r="B72" s="4">
        <v>0</v>
      </c>
      <c r="C72" s="4">
        <v>0</v>
      </c>
      <c r="D72" s="4">
        <v>45</v>
      </c>
      <c r="E72" s="4">
        <v>0</v>
      </c>
      <c r="F72" s="4">
        <v>50</v>
      </c>
      <c r="G72" s="10">
        <f t="shared" si="17"/>
        <v>0</v>
      </c>
      <c r="H72" s="4">
        <v>0</v>
      </c>
      <c r="I72" s="5">
        <f t="shared" si="18"/>
        <v>0</v>
      </c>
      <c r="J72" s="5">
        <f t="shared" si="19"/>
        <v>0</v>
      </c>
      <c r="K72">
        <v>0</v>
      </c>
      <c r="N72" s="51">
        <v>0</v>
      </c>
      <c r="Q72" t="s">
        <v>64</v>
      </c>
    </row>
    <row r="73" spans="1:17">
      <c r="A73" s="80" t="s">
        <v>830</v>
      </c>
      <c r="B73" s="4">
        <v>0</v>
      </c>
      <c r="C73" s="4">
        <v>0</v>
      </c>
      <c r="D73" s="4">
        <v>45</v>
      </c>
      <c r="E73" s="4">
        <v>1</v>
      </c>
      <c r="F73" s="4">
        <v>50</v>
      </c>
      <c r="G73" s="10">
        <f t="shared" si="17"/>
        <v>0</v>
      </c>
      <c r="H73" s="4">
        <v>0</v>
      </c>
      <c r="I73" s="5">
        <f t="shared" si="18"/>
        <v>0</v>
      </c>
      <c r="J73" s="5">
        <f t="shared" si="19"/>
        <v>0</v>
      </c>
      <c r="K73">
        <v>0</v>
      </c>
      <c r="N73" s="51">
        <v>0</v>
      </c>
    </row>
    <row r="74" spans="1:17">
      <c r="A74" s="80" t="s">
        <v>831</v>
      </c>
      <c r="B74" s="4">
        <v>0</v>
      </c>
      <c r="C74" s="4">
        <v>0</v>
      </c>
      <c r="D74" s="4">
        <v>45</v>
      </c>
      <c r="E74" s="4">
        <v>1</v>
      </c>
      <c r="F74" s="4">
        <v>50</v>
      </c>
      <c r="G74" s="10">
        <f t="shared" si="17"/>
        <v>0</v>
      </c>
      <c r="H74" s="4">
        <v>0</v>
      </c>
      <c r="I74" s="5">
        <f t="shared" si="18"/>
        <v>0</v>
      </c>
      <c r="J74" s="5">
        <v>0</v>
      </c>
      <c r="K74">
        <v>0</v>
      </c>
      <c r="N74" s="51">
        <v>885</v>
      </c>
    </row>
    <row r="75" spans="1:17" ht="19">
      <c r="A75" s="91" t="s">
        <v>597</v>
      </c>
      <c r="B75" s="8">
        <f>SUM(B76:B82)</f>
        <v>15</v>
      </c>
      <c r="C75" s="8">
        <f>SUM(C76:C82)</f>
        <v>52</v>
      </c>
      <c r="D75" s="8">
        <f>SUM(D76)</f>
        <v>45</v>
      </c>
      <c r="E75" s="8">
        <f>SUM(E76:E82)</f>
        <v>7</v>
      </c>
      <c r="F75" s="8">
        <f>SUM(F76:F82)</f>
        <v>350</v>
      </c>
      <c r="G75" s="93">
        <f t="shared" si="17"/>
        <v>15.866666666666667</v>
      </c>
      <c r="H75" s="8">
        <f>SUM(H76:H82)</f>
        <v>100</v>
      </c>
      <c r="I75" s="9">
        <f>SUM(I76:I79)</f>
        <v>714</v>
      </c>
      <c r="J75" s="14">
        <f>SUM(J76:J79)</f>
        <v>614</v>
      </c>
      <c r="K75" s="8">
        <f>SUM(K76:K82)</f>
        <v>38</v>
      </c>
      <c r="L75" s="9">
        <v>0</v>
      </c>
      <c r="M75" s="96">
        <f>J75</f>
        <v>614</v>
      </c>
      <c r="N75" s="102">
        <f>SUM(N76:N79)</f>
        <v>990</v>
      </c>
      <c r="O75" s="98">
        <f>1014-N75</f>
        <v>24</v>
      </c>
      <c r="P75" s="86"/>
      <c r="Q75" s="86"/>
    </row>
    <row r="76" spans="1:17">
      <c r="A76" s="6">
        <v>46132</v>
      </c>
      <c r="B76" s="4">
        <v>8</v>
      </c>
      <c r="C76" s="4">
        <v>14</v>
      </c>
      <c r="D76" s="4">
        <v>45</v>
      </c>
      <c r="E76" s="4">
        <v>1</v>
      </c>
      <c r="F76" s="4">
        <v>50</v>
      </c>
      <c r="G76" s="10">
        <f t="shared" si="17"/>
        <v>8.2333333333333325</v>
      </c>
      <c r="H76" s="4">
        <v>50</v>
      </c>
      <c r="I76" s="5">
        <f t="shared" ref="I76:I81" si="20">G76*D76</f>
        <v>370.49999999999994</v>
      </c>
      <c r="J76" s="5">
        <f>I76-H76</f>
        <v>320.49999999999994</v>
      </c>
      <c r="K76">
        <v>23</v>
      </c>
      <c r="N76" s="51">
        <f>540</f>
        <v>540</v>
      </c>
      <c r="O76" s="51"/>
      <c r="P76" t="s">
        <v>847</v>
      </c>
    </row>
    <row r="77" spans="1:17">
      <c r="A77" s="80" t="s">
        <v>822</v>
      </c>
      <c r="B77" s="4">
        <v>7</v>
      </c>
      <c r="C77" s="4">
        <v>38</v>
      </c>
      <c r="D77" s="4">
        <v>45</v>
      </c>
      <c r="E77" s="4">
        <v>1</v>
      </c>
      <c r="F77" s="4">
        <v>50</v>
      </c>
      <c r="G77" s="10">
        <f t="shared" si="17"/>
        <v>7.6333333333333329</v>
      </c>
      <c r="H77" s="4">
        <v>50</v>
      </c>
      <c r="I77" s="5">
        <f t="shared" si="20"/>
        <v>343.5</v>
      </c>
      <c r="J77" s="5">
        <f>I77-H77</f>
        <v>293.5</v>
      </c>
      <c r="K77">
        <v>15</v>
      </c>
      <c r="N77" s="51">
        <v>450</v>
      </c>
      <c r="P77" t="s">
        <v>858</v>
      </c>
    </row>
    <row r="78" spans="1:17">
      <c r="A78" s="80" t="s">
        <v>824</v>
      </c>
      <c r="B78" s="4">
        <v>0</v>
      </c>
      <c r="C78" s="4">
        <v>0</v>
      </c>
      <c r="D78" s="4">
        <v>45</v>
      </c>
      <c r="E78" s="4">
        <v>1</v>
      </c>
      <c r="F78" s="4">
        <v>50</v>
      </c>
      <c r="G78" s="10">
        <f t="shared" si="17"/>
        <v>0</v>
      </c>
      <c r="H78" s="4">
        <v>0</v>
      </c>
      <c r="I78" s="5">
        <f t="shared" si="20"/>
        <v>0</v>
      </c>
      <c r="J78" s="5">
        <v>0</v>
      </c>
      <c r="K78">
        <v>0</v>
      </c>
      <c r="N78" s="51">
        <v>0</v>
      </c>
      <c r="Q78" t="s">
        <v>64</v>
      </c>
    </row>
    <row r="79" spans="1:17">
      <c r="A79" s="80" t="s">
        <v>826</v>
      </c>
      <c r="B79" s="4">
        <v>0</v>
      </c>
      <c r="C79" s="4">
        <v>0</v>
      </c>
      <c r="D79" s="4">
        <v>45</v>
      </c>
      <c r="E79" s="4">
        <v>1</v>
      </c>
      <c r="F79" s="4">
        <v>50</v>
      </c>
      <c r="G79" s="10">
        <f t="shared" si="17"/>
        <v>0</v>
      </c>
      <c r="H79" s="4">
        <v>0</v>
      </c>
      <c r="I79" s="5">
        <f t="shared" si="20"/>
        <v>0</v>
      </c>
      <c r="J79" s="5">
        <v>0</v>
      </c>
      <c r="K79">
        <v>0</v>
      </c>
      <c r="N79" s="51">
        <v>0</v>
      </c>
    </row>
    <row r="80" spans="1:17">
      <c r="A80" s="80" t="s">
        <v>828</v>
      </c>
      <c r="B80" s="4">
        <v>0</v>
      </c>
      <c r="C80" s="4">
        <v>0</v>
      </c>
      <c r="D80" s="4">
        <v>45</v>
      </c>
      <c r="E80" s="4">
        <v>1</v>
      </c>
      <c r="F80" s="4">
        <v>50</v>
      </c>
      <c r="G80" s="10">
        <f t="shared" si="17"/>
        <v>0</v>
      </c>
      <c r="H80" s="4">
        <v>0</v>
      </c>
      <c r="I80" s="5">
        <f t="shared" si="20"/>
        <v>0</v>
      </c>
      <c r="J80" s="5">
        <f>I80-H80</f>
        <v>0</v>
      </c>
      <c r="K80">
        <v>0</v>
      </c>
      <c r="N80" s="51">
        <v>0</v>
      </c>
    </row>
    <row r="81" spans="1:17">
      <c r="A81" s="80" t="s">
        <v>830</v>
      </c>
      <c r="B81" s="4">
        <v>0</v>
      </c>
      <c r="C81" s="4">
        <v>0</v>
      </c>
      <c r="D81" s="4">
        <v>45</v>
      </c>
      <c r="E81" s="4">
        <v>1</v>
      </c>
      <c r="F81" s="4">
        <v>50</v>
      </c>
      <c r="G81" s="10">
        <f t="shared" si="17"/>
        <v>0</v>
      </c>
      <c r="H81" s="4">
        <v>0</v>
      </c>
      <c r="I81" s="5">
        <f t="shared" si="20"/>
        <v>0</v>
      </c>
      <c r="J81" s="5">
        <v>0</v>
      </c>
      <c r="K81">
        <v>0</v>
      </c>
      <c r="N81" s="51">
        <v>0</v>
      </c>
    </row>
    <row r="82" spans="1:17">
      <c r="A82" s="80" t="s">
        <v>831</v>
      </c>
      <c r="B82" s="4">
        <v>0</v>
      </c>
      <c r="C82" s="4">
        <v>0</v>
      </c>
      <c r="D82" s="4">
        <v>45</v>
      </c>
      <c r="E82" s="4">
        <v>1</v>
      </c>
      <c r="F82" s="4">
        <v>50</v>
      </c>
      <c r="G82" s="10">
        <v>0</v>
      </c>
      <c r="H82" s="4">
        <v>0</v>
      </c>
      <c r="I82" s="5">
        <v>0</v>
      </c>
      <c r="J82" s="5">
        <v>0</v>
      </c>
      <c r="K82">
        <v>0</v>
      </c>
      <c r="N82" s="51">
        <v>0</v>
      </c>
    </row>
    <row r="83" spans="1:17" ht="19">
      <c r="A83" s="91" t="s">
        <v>494</v>
      </c>
      <c r="B83" s="8">
        <f>SUM(B84:B98)</f>
        <v>126</v>
      </c>
      <c r="C83" s="8">
        <f>SUM(C84:C98)</f>
        <v>328</v>
      </c>
      <c r="D83" s="8">
        <f>SUM(D84)</f>
        <v>45</v>
      </c>
      <c r="E83" s="8">
        <f>SUM(E84:E90)</f>
        <v>4</v>
      </c>
      <c r="F83" s="8">
        <f>SUM(F84:F98)</f>
        <v>1050</v>
      </c>
      <c r="G83" s="93">
        <f t="shared" ref="G83:G114" si="21">B83+C83/60</f>
        <v>131.46666666666667</v>
      </c>
      <c r="H83" s="92">
        <f>SUM(H84:H90)</f>
        <v>200</v>
      </c>
      <c r="I83" s="9">
        <f>SUM(I84:I90)</f>
        <v>1704</v>
      </c>
      <c r="J83" s="9">
        <f>SUM(J84:J90)</f>
        <v>1504</v>
      </c>
      <c r="K83" s="8">
        <f>SUM(K84:K90)</f>
        <v>67</v>
      </c>
      <c r="L83" s="9">
        <v>0</v>
      </c>
      <c r="M83" s="96">
        <f>J83</f>
        <v>1504</v>
      </c>
      <c r="N83" s="102">
        <f>SUM(N84:N90)</f>
        <v>1533</v>
      </c>
      <c r="O83" s="98">
        <f>1533-N83</f>
        <v>0</v>
      </c>
      <c r="P83" s="86"/>
      <c r="Q83" s="86"/>
    </row>
    <row r="84" spans="1:17">
      <c r="A84" s="6">
        <v>46132</v>
      </c>
      <c r="B84" s="4">
        <v>9</v>
      </c>
      <c r="C84" s="4">
        <v>27</v>
      </c>
      <c r="D84" s="4">
        <v>45</v>
      </c>
      <c r="E84" s="4">
        <v>1</v>
      </c>
      <c r="F84" s="4">
        <v>50</v>
      </c>
      <c r="G84" s="144">
        <f t="shared" si="21"/>
        <v>9.4499999999999993</v>
      </c>
      <c r="H84" s="167">
        <v>50</v>
      </c>
      <c r="I84" s="142">
        <f t="shared" ref="I84:I90" si="22">G84*D84</f>
        <v>425.24999999999994</v>
      </c>
      <c r="J84" s="5">
        <f t="shared" ref="J84:J90" si="23">I84-H84</f>
        <v>375.24999999999994</v>
      </c>
      <c r="K84">
        <v>22</v>
      </c>
      <c r="N84" s="83">
        <f>505</f>
        <v>505</v>
      </c>
      <c r="O84" s="51"/>
      <c r="P84" t="s">
        <v>846</v>
      </c>
    </row>
    <row r="85" spans="1:17">
      <c r="A85" s="6">
        <v>46133</v>
      </c>
      <c r="B85" s="4">
        <v>8</v>
      </c>
      <c r="C85" s="4">
        <v>54</v>
      </c>
      <c r="D85" s="4">
        <v>45</v>
      </c>
      <c r="E85" s="4">
        <v>1</v>
      </c>
      <c r="F85" s="4">
        <v>50</v>
      </c>
      <c r="G85" s="144">
        <f t="shared" si="21"/>
        <v>8.9</v>
      </c>
      <c r="H85" s="167">
        <v>50</v>
      </c>
      <c r="I85" s="142">
        <f t="shared" si="22"/>
        <v>400.5</v>
      </c>
      <c r="J85" s="5">
        <f t="shared" si="23"/>
        <v>350.5</v>
      </c>
      <c r="K85">
        <v>16</v>
      </c>
      <c r="N85" s="83">
        <f>391</f>
        <v>391</v>
      </c>
      <c r="P85" t="s">
        <v>859</v>
      </c>
    </row>
    <row r="86" spans="1:17">
      <c r="A86" s="6">
        <v>46134</v>
      </c>
      <c r="B86" s="4">
        <v>9</v>
      </c>
      <c r="C86" s="4">
        <v>21</v>
      </c>
      <c r="D86" s="4">
        <v>45</v>
      </c>
      <c r="E86" s="4">
        <v>1</v>
      </c>
      <c r="F86" s="4">
        <v>50</v>
      </c>
      <c r="G86" s="144">
        <f t="shared" si="21"/>
        <v>9.35</v>
      </c>
      <c r="H86" s="167">
        <v>50</v>
      </c>
      <c r="I86" s="142">
        <f t="shared" si="22"/>
        <v>420.75</v>
      </c>
      <c r="J86" s="5">
        <f t="shared" si="23"/>
        <v>370.75</v>
      </c>
      <c r="K86">
        <v>13</v>
      </c>
      <c r="N86" s="51">
        <f>305</f>
        <v>305</v>
      </c>
      <c r="P86" t="s">
        <v>860</v>
      </c>
    </row>
    <row r="87" spans="1:17">
      <c r="A87" s="6">
        <v>46135</v>
      </c>
      <c r="B87" s="4">
        <v>10</v>
      </c>
      <c r="C87" s="4">
        <v>10</v>
      </c>
      <c r="D87" s="4">
        <v>45</v>
      </c>
      <c r="E87" s="4">
        <v>1</v>
      </c>
      <c r="F87" s="4">
        <v>50</v>
      </c>
      <c r="G87" s="144">
        <f t="shared" si="21"/>
        <v>10.166666666666666</v>
      </c>
      <c r="H87" s="167">
        <v>50</v>
      </c>
      <c r="I87" s="142">
        <f t="shared" si="22"/>
        <v>457.5</v>
      </c>
      <c r="J87" s="5">
        <f t="shared" si="23"/>
        <v>407.5</v>
      </c>
      <c r="K87">
        <v>16</v>
      </c>
      <c r="N87" s="51">
        <f>332</f>
        <v>332</v>
      </c>
      <c r="P87" t="s">
        <v>861</v>
      </c>
    </row>
    <row r="88" spans="1:17">
      <c r="A88" s="6">
        <v>46136</v>
      </c>
      <c r="B88" s="4">
        <v>0</v>
      </c>
      <c r="C88" s="4">
        <v>0</v>
      </c>
      <c r="D88" s="4">
        <v>45</v>
      </c>
      <c r="E88" s="4">
        <v>0</v>
      </c>
      <c r="F88" s="4">
        <v>50</v>
      </c>
      <c r="G88" s="10">
        <f t="shared" si="21"/>
        <v>0</v>
      </c>
      <c r="H88" s="141">
        <v>0</v>
      </c>
      <c r="I88" s="5">
        <f t="shared" si="22"/>
        <v>0</v>
      </c>
      <c r="J88" s="5">
        <f t="shared" si="23"/>
        <v>0</v>
      </c>
      <c r="K88">
        <v>0</v>
      </c>
      <c r="N88" s="51">
        <v>0</v>
      </c>
    </row>
    <row r="89" spans="1:17">
      <c r="A89" s="6">
        <v>46137</v>
      </c>
      <c r="B89" s="4">
        <v>0</v>
      </c>
      <c r="C89" s="4">
        <v>0</v>
      </c>
      <c r="D89" s="4">
        <v>45</v>
      </c>
      <c r="E89" s="4">
        <v>0</v>
      </c>
      <c r="F89" s="4">
        <v>50</v>
      </c>
      <c r="G89" s="10">
        <f t="shared" si="21"/>
        <v>0</v>
      </c>
      <c r="H89" s="4">
        <v>0</v>
      </c>
      <c r="I89" s="5">
        <f t="shared" si="22"/>
        <v>0</v>
      </c>
      <c r="J89" s="5">
        <f t="shared" si="23"/>
        <v>0</v>
      </c>
      <c r="K89">
        <v>0</v>
      </c>
      <c r="N89" s="51">
        <v>0</v>
      </c>
    </row>
    <row r="90" spans="1:17">
      <c r="A90" s="6">
        <v>46138</v>
      </c>
      <c r="B90" s="4">
        <v>0</v>
      </c>
      <c r="C90" s="4">
        <v>0</v>
      </c>
      <c r="D90" s="4">
        <v>45</v>
      </c>
      <c r="E90" s="4">
        <v>0</v>
      </c>
      <c r="F90" s="4">
        <v>50</v>
      </c>
      <c r="G90" s="10">
        <f t="shared" si="21"/>
        <v>0</v>
      </c>
      <c r="H90" s="4">
        <v>0</v>
      </c>
      <c r="I90" s="5">
        <f t="shared" si="22"/>
        <v>0</v>
      </c>
      <c r="J90" s="5">
        <f t="shared" si="23"/>
        <v>0</v>
      </c>
      <c r="K90">
        <v>0</v>
      </c>
      <c r="N90" s="51">
        <v>0</v>
      </c>
    </row>
    <row r="91" spans="1:17" ht="19">
      <c r="A91" s="91" t="s">
        <v>862</v>
      </c>
      <c r="B91" s="8">
        <f>SUM(B92:B98)</f>
        <v>45</v>
      </c>
      <c r="C91" s="8">
        <f>SUM(C92:C98)</f>
        <v>108</v>
      </c>
      <c r="D91" s="8">
        <f>SUM(D92)</f>
        <v>45</v>
      </c>
      <c r="E91" s="8">
        <f>SUM(E92:E98)</f>
        <v>5</v>
      </c>
      <c r="F91" s="8">
        <f>SUM(F92:F98)</f>
        <v>350</v>
      </c>
      <c r="G91" s="93">
        <f t="shared" si="21"/>
        <v>46.8</v>
      </c>
      <c r="H91" s="8">
        <f>SUM(H92:H98)</f>
        <v>250</v>
      </c>
      <c r="I91" s="9">
        <f>SUM(I92:I98)</f>
        <v>2106</v>
      </c>
      <c r="J91" s="14">
        <f>SUM(J92:J98)</f>
        <v>1856</v>
      </c>
      <c r="K91" s="8">
        <f>SUM(K92:K98)</f>
        <v>93</v>
      </c>
      <c r="L91" s="9">
        <v>0</v>
      </c>
      <c r="M91" s="96">
        <f>J91</f>
        <v>1856</v>
      </c>
      <c r="N91" s="102">
        <f>SUM(N92:N98)</f>
        <v>2151</v>
      </c>
      <c r="O91" s="98">
        <f>2294-N91</f>
        <v>143</v>
      </c>
      <c r="P91" s="86"/>
      <c r="Q91" s="86"/>
    </row>
    <row r="92" spans="1:17" ht="19">
      <c r="A92" s="6">
        <v>46132</v>
      </c>
      <c r="B92" s="4">
        <v>11</v>
      </c>
      <c r="C92" s="4">
        <v>0</v>
      </c>
      <c r="D92" s="4">
        <v>45</v>
      </c>
      <c r="E92" s="4">
        <v>1</v>
      </c>
      <c r="F92" s="4">
        <v>50</v>
      </c>
      <c r="G92" s="10">
        <f t="shared" si="21"/>
        <v>11</v>
      </c>
      <c r="H92" s="4">
        <v>50</v>
      </c>
      <c r="I92" s="5">
        <f>G92*D92</f>
        <v>495</v>
      </c>
      <c r="J92" s="5">
        <f>I92-H92</f>
        <v>445</v>
      </c>
      <c r="K92">
        <v>18</v>
      </c>
      <c r="N92" s="51">
        <f>638</f>
        <v>638</v>
      </c>
      <c r="O92" s="49"/>
    </row>
    <row r="93" spans="1:17">
      <c r="A93" s="6">
        <v>46133</v>
      </c>
      <c r="B93" s="4">
        <v>11</v>
      </c>
      <c r="C93" s="4">
        <v>0</v>
      </c>
      <c r="D93" s="4">
        <v>45</v>
      </c>
      <c r="E93" s="4">
        <v>1</v>
      </c>
      <c r="F93" s="4">
        <v>50</v>
      </c>
      <c r="G93" s="10">
        <f t="shared" si="21"/>
        <v>11</v>
      </c>
      <c r="H93" s="4">
        <v>50</v>
      </c>
      <c r="I93" s="5">
        <f>G93*D93</f>
        <v>495</v>
      </c>
      <c r="J93" s="5">
        <f>I93-H93</f>
        <v>445</v>
      </c>
      <c r="K93">
        <v>15</v>
      </c>
      <c r="N93" s="51">
        <v>360</v>
      </c>
    </row>
    <row r="94" spans="1:17">
      <c r="A94" s="6">
        <v>46134</v>
      </c>
      <c r="B94" s="4">
        <v>10</v>
      </c>
      <c r="C94" s="4">
        <v>57</v>
      </c>
      <c r="D94" s="4">
        <v>45</v>
      </c>
      <c r="E94" s="4">
        <v>1</v>
      </c>
      <c r="F94" s="4">
        <v>50</v>
      </c>
      <c r="G94" s="10">
        <f t="shared" si="21"/>
        <v>10.95</v>
      </c>
      <c r="H94" s="4">
        <v>50</v>
      </c>
      <c r="I94" s="5">
        <f>G94*D94</f>
        <v>492.74999999999994</v>
      </c>
      <c r="J94" s="5">
        <f>I94-H94</f>
        <v>442.74999999999994</v>
      </c>
      <c r="K94">
        <v>25</v>
      </c>
      <c r="N94" s="51">
        <f>650</f>
        <v>650</v>
      </c>
    </row>
    <row r="95" spans="1:17">
      <c r="A95" s="6">
        <v>46135</v>
      </c>
      <c r="B95" s="4">
        <v>4</v>
      </c>
      <c r="C95" s="4">
        <v>31</v>
      </c>
      <c r="D95" s="4">
        <v>45</v>
      </c>
      <c r="E95" s="4">
        <v>1</v>
      </c>
      <c r="F95" s="4">
        <v>50</v>
      </c>
      <c r="G95" s="10">
        <f t="shared" si="21"/>
        <v>4.5166666666666666</v>
      </c>
      <c r="H95" s="4">
        <v>50</v>
      </c>
      <c r="I95" s="5">
        <f>G95*D95</f>
        <v>203.25</v>
      </c>
      <c r="J95" s="5">
        <f>I95-H95</f>
        <v>153.25</v>
      </c>
      <c r="K95">
        <v>15</v>
      </c>
      <c r="N95" s="51">
        <f>398</f>
        <v>398</v>
      </c>
      <c r="P95" t="s">
        <v>863</v>
      </c>
    </row>
    <row r="96" spans="1:17">
      <c r="A96" s="6">
        <v>46136</v>
      </c>
      <c r="B96" s="4">
        <v>9</v>
      </c>
      <c r="C96" s="4">
        <v>20</v>
      </c>
      <c r="D96" s="4">
        <v>45</v>
      </c>
      <c r="E96" s="4">
        <v>1</v>
      </c>
      <c r="F96" s="4">
        <v>50</v>
      </c>
      <c r="G96" s="10">
        <f t="shared" si="21"/>
        <v>9.3333333333333339</v>
      </c>
      <c r="H96" s="4">
        <v>50</v>
      </c>
      <c r="I96" s="5">
        <f>G96*D96</f>
        <v>420</v>
      </c>
      <c r="J96" s="5">
        <f>I96-H96</f>
        <v>370</v>
      </c>
      <c r="K96">
        <v>20</v>
      </c>
      <c r="N96" s="51">
        <v>105</v>
      </c>
      <c r="P96" t="s">
        <v>864</v>
      </c>
    </row>
    <row r="97" spans="1:17">
      <c r="A97" s="6">
        <v>46137</v>
      </c>
      <c r="B97" s="4">
        <v>0</v>
      </c>
      <c r="C97" s="4">
        <v>0</v>
      </c>
      <c r="D97" s="4">
        <v>45</v>
      </c>
      <c r="E97" s="4">
        <v>0</v>
      </c>
      <c r="F97" s="4">
        <v>50</v>
      </c>
      <c r="G97" s="10">
        <f t="shared" si="21"/>
        <v>0</v>
      </c>
      <c r="H97" s="4">
        <v>0</v>
      </c>
      <c r="I97" s="5">
        <v>0</v>
      </c>
      <c r="J97" s="5">
        <v>0</v>
      </c>
      <c r="K97">
        <v>0</v>
      </c>
      <c r="N97" s="51">
        <v>0</v>
      </c>
    </row>
    <row r="98" spans="1:17">
      <c r="A98" s="6">
        <v>46138</v>
      </c>
      <c r="B98" s="4">
        <v>0</v>
      </c>
      <c r="C98" s="4">
        <v>0</v>
      </c>
      <c r="D98" s="4">
        <v>45</v>
      </c>
      <c r="E98" s="4">
        <v>0</v>
      </c>
      <c r="F98" s="4">
        <v>50</v>
      </c>
      <c r="G98" s="10">
        <f t="shared" si="21"/>
        <v>0</v>
      </c>
      <c r="H98" s="4">
        <v>0</v>
      </c>
      <c r="I98" s="5">
        <f>G98*D98</f>
        <v>0</v>
      </c>
      <c r="J98" s="5">
        <f>I98-H98</f>
        <v>0</v>
      </c>
      <c r="K98">
        <v>0</v>
      </c>
      <c r="N98" s="51">
        <v>0</v>
      </c>
    </row>
    <row r="99" spans="1:17" ht="19">
      <c r="A99" s="91" t="s">
        <v>505</v>
      </c>
      <c r="B99" s="8">
        <f>SUM(B100:B106)</f>
        <v>64</v>
      </c>
      <c r="C99" s="8">
        <f>SUM(C100:C106)</f>
        <v>218</v>
      </c>
      <c r="D99" s="8">
        <v>45</v>
      </c>
      <c r="E99" s="8">
        <f>SUM(E100:E106)</f>
        <v>7</v>
      </c>
      <c r="F99" s="8">
        <f>SUM(F100:F106)</f>
        <v>350</v>
      </c>
      <c r="G99" s="93">
        <f t="shared" si="21"/>
        <v>67.63333333333334</v>
      </c>
      <c r="H99" s="8">
        <f>SUM(H100:H106)</f>
        <v>350</v>
      </c>
      <c r="I99" s="9">
        <f>SUM(I100:I106)</f>
        <v>3145.833333333333</v>
      </c>
      <c r="J99" s="14">
        <f>SUM(J100:J106)</f>
        <v>2795.833333333333</v>
      </c>
      <c r="K99" s="8">
        <f>SUM(K100:K106)</f>
        <v>166</v>
      </c>
      <c r="L99" s="9">
        <v>0</v>
      </c>
      <c r="M99" s="96">
        <f>J99</f>
        <v>2795.833333333333</v>
      </c>
      <c r="N99" s="102">
        <f>SUM(N100:N106)</f>
        <v>4374</v>
      </c>
      <c r="O99" s="98">
        <f>4374-N99</f>
        <v>0</v>
      </c>
      <c r="P99" s="86"/>
      <c r="Q99" s="86"/>
    </row>
    <row r="100" spans="1:17">
      <c r="A100" s="6">
        <v>46132</v>
      </c>
      <c r="B100" s="4">
        <v>10</v>
      </c>
      <c r="C100" s="4">
        <v>14</v>
      </c>
      <c r="D100" s="4">
        <v>55</v>
      </c>
      <c r="E100" s="4">
        <v>1</v>
      </c>
      <c r="F100" s="4">
        <v>50</v>
      </c>
      <c r="G100" s="10">
        <f t="shared" si="21"/>
        <v>10.233333333333333</v>
      </c>
      <c r="H100" s="4">
        <v>50</v>
      </c>
      <c r="I100" s="5">
        <f t="shared" ref="I100:I106" si="24">G100*D100</f>
        <v>562.83333333333326</v>
      </c>
      <c r="J100" s="5">
        <f t="shared" ref="J100:J106" si="25">I100-H100</f>
        <v>512.83333333333326</v>
      </c>
      <c r="K100">
        <v>30</v>
      </c>
      <c r="N100" s="51">
        <f>812</f>
        <v>812</v>
      </c>
      <c r="O100" s="51"/>
      <c r="P100" t="s">
        <v>865</v>
      </c>
    </row>
    <row r="101" spans="1:17">
      <c r="A101" s="6">
        <v>46133</v>
      </c>
      <c r="B101" s="4">
        <v>9</v>
      </c>
      <c r="C101" s="4">
        <v>40</v>
      </c>
      <c r="D101" s="4">
        <v>45</v>
      </c>
      <c r="E101" s="4">
        <v>1</v>
      </c>
      <c r="F101" s="4">
        <v>50</v>
      </c>
      <c r="G101" s="10">
        <f t="shared" si="21"/>
        <v>9.6666666666666661</v>
      </c>
      <c r="H101" s="4">
        <v>50</v>
      </c>
      <c r="I101" s="5">
        <f t="shared" si="24"/>
        <v>435</v>
      </c>
      <c r="J101" s="5">
        <f t="shared" si="25"/>
        <v>385</v>
      </c>
      <c r="K101">
        <v>23</v>
      </c>
      <c r="N101" s="51">
        <f>287+619</f>
        <v>906</v>
      </c>
      <c r="P101" t="s">
        <v>866</v>
      </c>
    </row>
    <row r="102" spans="1:17">
      <c r="A102" s="6">
        <v>46134</v>
      </c>
      <c r="B102" s="4">
        <v>9</v>
      </c>
      <c r="C102" s="4">
        <v>45</v>
      </c>
      <c r="D102" s="4">
        <v>45</v>
      </c>
      <c r="E102" s="4">
        <v>1</v>
      </c>
      <c r="F102" s="4">
        <v>50</v>
      </c>
      <c r="G102" s="10">
        <f t="shared" si="21"/>
        <v>9.75</v>
      </c>
      <c r="H102" s="4">
        <v>50</v>
      </c>
      <c r="I102" s="5">
        <f t="shared" si="24"/>
        <v>438.75</v>
      </c>
      <c r="J102" s="5">
        <f t="shared" si="25"/>
        <v>388.75</v>
      </c>
      <c r="K102">
        <v>17</v>
      </c>
      <c r="N102" s="51">
        <v>0</v>
      </c>
      <c r="P102" t="s">
        <v>867</v>
      </c>
      <c r="Q102" t="s">
        <v>64</v>
      </c>
    </row>
    <row r="103" spans="1:17">
      <c r="A103" s="6">
        <v>46135</v>
      </c>
      <c r="B103" s="4">
        <v>10</v>
      </c>
      <c r="C103" s="4">
        <v>37</v>
      </c>
      <c r="D103" s="4">
        <v>45</v>
      </c>
      <c r="E103" s="4">
        <v>1</v>
      </c>
      <c r="F103" s="4">
        <v>50</v>
      </c>
      <c r="G103" s="10">
        <f t="shared" si="21"/>
        <v>10.616666666666667</v>
      </c>
      <c r="H103" s="4">
        <v>50</v>
      </c>
      <c r="I103" s="5">
        <f t="shared" si="24"/>
        <v>477.75</v>
      </c>
      <c r="J103" s="5">
        <f t="shared" si="25"/>
        <v>427.75</v>
      </c>
      <c r="K103">
        <v>21</v>
      </c>
      <c r="N103" s="51">
        <f>802</f>
        <v>802</v>
      </c>
      <c r="P103" t="s">
        <v>868</v>
      </c>
    </row>
    <row r="104" spans="1:17">
      <c r="A104" s="6">
        <v>46136</v>
      </c>
      <c r="B104" s="4">
        <v>9</v>
      </c>
      <c r="C104" s="4">
        <v>50</v>
      </c>
      <c r="D104" s="4">
        <v>45</v>
      </c>
      <c r="E104" s="4">
        <v>1</v>
      </c>
      <c r="F104" s="4">
        <v>50</v>
      </c>
      <c r="G104" s="10">
        <f t="shared" si="21"/>
        <v>9.8333333333333339</v>
      </c>
      <c r="H104" s="4">
        <v>50</v>
      </c>
      <c r="I104" s="5">
        <f t="shared" si="24"/>
        <v>442.5</v>
      </c>
      <c r="J104" s="5">
        <f t="shared" si="25"/>
        <v>392.5</v>
      </c>
      <c r="K104">
        <v>27</v>
      </c>
      <c r="N104" s="51">
        <v>684</v>
      </c>
      <c r="P104" t="s">
        <v>869</v>
      </c>
    </row>
    <row r="105" spans="1:17">
      <c r="A105" s="6">
        <v>46137</v>
      </c>
      <c r="B105" s="4">
        <v>9</v>
      </c>
      <c r="C105" s="4">
        <v>7</v>
      </c>
      <c r="D105" s="4">
        <v>45</v>
      </c>
      <c r="E105" s="4">
        <v>1</v>
      </c>
      <c r="F105" s="4">
        <v>50</v>
      </c>
      <c r="G105" s="10">
        <f t="shared" si="21"/>
        <v>9.1166666666666671</v>
      </c>
      <c r="H105" s="4">
        <v>50</v>
      </c>
      <c r="I105" s="5">
        <f t="shared" si="24"/>
        <v>410.25</v>
      </c>
      <c r="J105" s="5">
        <f t="shared" si="25"/>
        <v>360.25</v>
      </c>
      <c r="K105">
        <v>24</v>
      </c>
      <c r="N105" s="51">
        <v>563</v>
      </c>
    </row>
    <row r="106" spans="1:17">
      <c r="A106" s="6">
        <v>46138</v>
      </c>
      <c r="B106" s="4">
        <v>8</v>
      </c>
      <c r="C106" s="4">
        <v>25</v>
      </c>
      <c r="D106" s="4">
        <v>45</v>
      </c>
      <c r="E106" s="4">
        <v>1</v>
      </c>
      <c r="F106" s="4">
        <v>50</v>
      </c>
      <c r="G106" s="10">
        <f t="shared" si="21"/>
        <v>8.4166666666666661</v>
      </c>
      <c r="H106" s="4">
        <v>50</v>
      </c>
      <c r="I106" s="5">
        <f t="shared" si="24"/>
        <v>378.75</v>
      </c>
      <c r="J106" s="5">
        <f t="shared" si="25"/>
        <v>328.75</v>
      </c>
      <c r="K106">
        <v>24</v>
      </c>
      <c r="N106" s="51">
        <v>607</v>
      </c>
    </row>
    <row r="107" spans="1:17" ht="19">
      <c r="A107" s="91" t="s">
        <v>870</v>
      </c>
      <c r="B107" s="8">
        <f>SUM(B108:B114)</f>
        <v>53</v>
      </c>
      <c r="C107" s="8">
        <f>SUM(C108:C114)</f>
        <v>180</v>
      </c>
      <c r="D107" s="8">
        <v>45</v>
      </c>
      <c r="E107" s="8">
        <f>SUM(E108:E114)</f>
        <v>6</v>
      </c>
      <c r="F107" s="8">
        <f>SUM(F108:F114)</f>
        <v>350</v>
      </c>
      <c r="G107" s="93">
        <f t="shared" si="21"/>
        <v>56</v>
      </c>
      <c r="H107" s="8">
        <f>SUM(H108:H114)</f>
        <v>300</v>
      </c>
      <c r="I107" s="14">
        <f>SUM(I108:I114)</f>
        <v>3203.833333333333</v>
      </c>
      <c r="J107" s="14">
        <f>SUM(J108:J114)</f>
        <v>2903.833333333333</v>
      </c>
      <c r="K107" s="8">
        <f>SUM(K108:K114)</f>
        <v>183</v>
      </c>
      <c r="L107" s="9">
        <v>0</v>
      </c>
      <c r="M107" s="96">
        <f>J107</f>
        <v>2903.833333333333</v>
      </c>
      <c r="N107" s="102">
        <f>SUM(N108:N114)</f>
        <v>3361</v>
      </c>
      <c r="O107" s="98">
        <f>3639-N107</f>
        <v>278</v>
      </c>
      <c r="P107" s="86"/>
      <c r="Q107" s="86"/>
    </row>
    <row r="108" spans="1:17">
      <c r="A108" s="80" t="s">
        <v>820</v>
      </c>
      <c r="B108" s="4">
        <v>10</v>
      </c>
      <c r="C108" s="4">
        <v>0</v>
      </c>
      <c r="D108" s="4">
        <v>65</v>
      </c>
      <c r="E108" s="4">
        <v>1</v>
      </c>
      <c r="F108" s="4">
        <v>50</v>
      </c>
      <c r="G108" s="10">
        <f t="shared" si="21"/>
        <v>10</v>
      </c>
      <c r="H108" s="4">
        <v>50</v>
      </c>
      <c r="I108" s="5">
        <f t="shared" ref="I108:I114" si="26">G108*D108</f>
        <v>650</v>
      </c>
      <c r="J108" s="5">
        <f t="shared" ref="J108:J114" si="27">I108-H108</f>
        <v>600</v>
      </c>
      <c r="K108">
        <v>34</v>
      </c>
      <c r="N108" s="51">
        <v>700</v>
      </c>
      <c r="O108" s="51"/>
    </row>
    <row r="109" spans="1:17">
      <c r="A109" s="80" t="s">
        <v>822</v>
      </c>
      <c r="B109" s="4">
        <v>5</v>
      </c>
      <c r="C109" s="4">
        <v>54</v>
      </c>
      <c r="D109" s="4">
        <v>55</v>
      </c>
      <c r="E109" s="4">
        <v>1</v>
      </c>
      <c r="F109" s="4">
        <v>50</v>
      </c>
      <c r="G109" s="10">
        <f t="shared" si="21"/>
        <v>5.9</v>
      </c>
      <c r="H109" s="4">
        <v>50</v>
      </c>
      <c r="I109" s="5">
        <f t="shared" si="26"/>
        <v>324.5</v>
      </c>
      <c r="J109" s="5">
        <f t="shared" si="27"/>
        <v>274.5</v>
      </c>
      <c r="K109">
        <v>30</v>
      </c>
      <c r="N109" s="51">
        <f>600</f>
        <v>600</v>
      </c>
      <c r="Q109" t="s">
        <v>871</v>
      </c>
    </row>
    <row r="110" spans="1:17">
      <c r="A110" s="80" t="s">
        <v>824</v>
      </c>
      <c r="B110" s="4">
        <v>10</v>
      </c>
      <c r="C110" s="4">
        <v>6</v>
      </c>
      <c r="D110" s="4">
        <v>55</v>
      </c>
      <c r="E110" s="4">
        <v>1</v>
      </c>
      <c r="F110" s="4">
        <v>50</v>
      </c>
      <c r="G110" s="10">
        <f t="shared" si="21"/>
        <v>10.1</v>
      </c>
      <c r="H110" s="4">
        <v>50</v>
      </c>
      <c r="I110" s="5">
        <f t="shared" si="26"/>
        <v>555.5</v>
      </c>
      <c r="J110" s="5">
        <f t="shared" si="27"/>
        <v>505.5</v>
      </c>
      <c r="K110">
        <v>29</v>
      </c>
      <c r="N110" s="51">
        <f>541</f>
        <v>541</v>
      </c>
      <c r="Q110" t="s">
        <v>872</v>
      </c>
    </row>
    <row r="111" spans="1:17">
      <c r="A111" s="80" t="s">
        <v>826</v>
      </c>
      <c r="B111" s="4">
        <v>10</v>
      </c>
      <c r="C111" s="4">
        <v>55</v>
      </c>
      <c r="D111" s="4">
        <v>55</v>
      </c>
      <c r="E111" s="4">
        <v>1</v>
      </c>
      <c r="F111" s="4">
        <v>50</v>
      </c>
      <c r="G111" s="10">
        <f t="shared" si="21"/>
        <v>10.916666666666666</v>
      </c>
      <c r="H111" s="4">
        <v>50</v>
      </c>
      <c r="I111" s="5">
        <f t="shared" si="26"/>
        <v>600.41666666666663</v>
      </c>
      <c r="J111" s="5">
        <f t="shared" si="27"/>
        <v>550.41666666666663</v>
      </c>
      <c r="K111">
        <v>29</v>
      </c>
      <c r="N111" s="51">
        <f>550</f>
        <v>550</v>
      </c>
    </row>
    <row r="112" spans="1:17">
      <c r="A112" s="80" t="s">
        <v>828</v>
      </c>
      <c r="B112" s="4">
        <v>10</v>
      </c>
      <c r="C112" s="4">
        <v>44</v>
      </c>
      <c r="D112" s="4">
        <v>65</v>
      </c>
      <c r="E112" s="4">
        <v>1</v>
      </c>
      <c r="F112" s="4">
        <v>50</v>
      </c>
      <c r="G112" s="10">
        <f t="shared" si="21"/>
        <v>10.733333333333333</v>
      </c>
      <c r="H112" s="4">
        <v>50</v>
      </c>
      <c r="I112" s="5">
        <f t="shared" si="26"/>
        <v>697.66666666666663</v>
      </c>
      <c r="J112" s="5">
        <f t="shared" si="27"/>
        <v>647.66666666666663</v>
      </c>
      <c r="K112">
        <v>36</v>
      </c>
      <c r="N112" s="51">
        <v>530</v>
      </c>
      <c r="Q112" t="s">
        <v>873</v>
      </c>
    </row>
    <row r="113" spans="1:17">
      <c r="A113" s="80" t="s">
        <v>830</v>
      </c>
      <c r="B113" s="4">
        <v>8</v>
      </c>
      <c r="C113" s="4">
        <v>21</v>
      </c>
      <c r="D113" s="4">
        <v>45</v>
      </c>
      <c r="E113" s="4">
        <v>1</v>
      </c>
      <c r="F113" s="4">
        <v>50</v>
      </c>
      <c r="G113" s="10">
        <f t="shared" si="21"/>
        <v>8.35</v>
      </c>
      <c r="H113" s="4">
        <v>50</v>
      </c>
      <c r="I113" s="5">
        <f t="shared" si="26"/>
        <v>375.75</v>
      </c>
      <c r="J113" s="5">
        <f t="shared" si="27"/>
        <v>325.75</v>
      </c>
      <c r="K113">
        <v>25</v>
      </c>
      <c r="N113" s="51">
        <v>440</v>
      </c>
      <c r="Q113" t="s">
        <v>874</v>
      </c>
    </row>
    <row r="114" spans="1:17">
      <c r="A114" s="80" t="s">
        <v>831</v>
      </c>
      <c r="B114" s="4">
        <v>0</v>
      </c>
      <c r="C114" s="4">
        <v>0</v>
      </c>
      <c r="D114" s="4">
        <v>45</v>
      </c>
      <c r="E114" s="4">
        <v>0</v>
      </c>
      <c r="F114" s="4">
        <v>50</v>
      </c>
      <c r="G114" s="10">
        <f t="shared" si="21"/>
        <v>0</v>
      </c>
      <c r="H114" s="4">
        <v>0</v>
      </c>
      <c r="I114" s="5">
        <f t="shared" si="26"/>
        <v>0</v>
      </c>
      <c r="J114" s="5">
        <f t="shared" si="27"/>
        <v>0</v>
      </c>
      <c r="K114">
        <v>0</v>
      </c>
      <c r="N114" s="51"/>
    </row>
    <row r="115" spans="1:17" ht="19">
      <c r="A115" s="91" t="s">
        <v>502</v>
      </c>
      <c r="B115" s="8">
        <f>SUM(B116:B122)</f>
        <v>0</v>
      </c>
      <c r="C115" s="8">
        <f>SUM(C116:C122)</f>
        <v>0</v>
      </c>
      <c r="D115" s="8">
        <f>SUM(D116)</f>
        <v>45</v>
      </c>
      <c r="E115" s="8">
        <f>SUM(E116:E122)</f>
        <v>7</v>
      </c>
      <c r="F115" s="8">
        <f>SUM(F116:F122)</f>
        <v>350</v>
      </c>
      <c r="G115" s="93">
        <f t="shared" ref="G115:G146" si="28">B115+C115/60</f>
        <v>0</v>
      </c>
      <c r="H115" s="92">
        <f>SUM(H116:H122)</f>
        <v>0</v>
      </c>
      <c r="I115" s="9">
        <f>SUM(I116:I122)</f>
        <v>0</v>
      </c>
      <c r="J115" s="14">
        <f>SUM(J116:J122)</f>
        <v>0</v>
      </c>
      <c r="K115" s="8">
        <f>SUM(K116:K122)</f>
        <v>0</v>
      </c>
      <c r="L115" s="9">
        <v>0</v>
      </c>
      <c r="M115" s="96">
        <f>J115</f>
        <v>0</v>
      </c>
      <c r="N115" s="102">
        <f>SUM(N116:N122)</f>
        <v>0</v>
      </c>
      <c r="O115" s="98">
        <f>-N115</f>
        <v>0</v>
      </c>
      <c r="P115" s="86"/>
      <c r="Q115" s="86"/>
    </row>
    <row r="116" spans="1:17">
      <c r="A116" s="6">
        <v>46132</v>
      </c>
      <c r="B116" s="4">
        <v>0</v>
      </c>
      <c r="C116" s="4">
        <v>0</v>
      </c>
      <c r="D116" s="4">
        <v>45</v>
      </c>
      <c r="E116" s="4">
        <v>1</v>
      </c>
      <c r="F116" s="4">
        <v>50</v>
      </c>
      <c r="G116" s="144">
        <f t="shared" si="28"/>
        <v>0</v>
      </c>
      <c r="H116" s="167">
        <v>0</v>
      </c>
      <c r="I116" s="142">
        <f t="shared" ref="I116:I122" si="29">G116*D116</f>
        <v>0</v>
      </c>
      <c r="J116" s="5">
        <f t="shared" ref="J116:J122" si="30">I116-H116</f>
        <v>0</v>
      </c>
      <c r="K116">
        <v>0</v>
      </c>
      <c r="N116" s="51">
        <v>0</v>
      </c>
      <c r="O116" s="51"/>
      <c r="P116" s="115"/>
    </row>
    <row r="117" spans="1:17">
      <c r="A117" s="6">
        <v>46133</v>
      </c>
      <c r="B117" s="4">
        <v>0</v>
      </c>
      <c r="C117" s="4">
        <v>0</v>
      </c>
      <c r="D117" s="4">
        <v>65</v>
      </c>
      <c r="E117" s="4">
        <v>1</v>
      </c>
      <c r="F117" s="4">
        <v>50</v>
      </c>
      <c r="G117" s="144">
        <f t="shared" si="28"/>
        <v>0</v>
      </c>
      <c r="H117" s="167">
        <v>0</v>
      </c>
      <c r="I117" s="142">
        <f t="shared" si="29"/>
        <v>0</v>
      </c>
      <c r="J117" s="5">
        <f t="shared" si="30"/>
        <v>0</v>
      </c>
      <c r="K117">
        <v>0</v>
      </c>
      <c r="N117" s="51">
        <v>0</v>
      </c>
    </row>
    <row r="118" spans="1:17">
      <c r="A118" s="6">
        <v>46134</v>
      </c>
      <c r="B118" s="4">
        <v>0</v>
      </c>
      <c r="C118" s="4">
        <v>0</v>
      </c>
      <c r="D118" s="4">
        <v>65</v>
      </c>
      <c r="E118" s="4">
        <v>1</v>
      </c>
      <c r="F118" s="4">
        <v>50</v>
      </c>
      <c r="G118" s="144">
        <f t="shared" si="28"/>
        <v>0</v>
      </c>
      <c r="H118" s="167">
        <v>0</v>
      </c>
      <c r="I118" s="142">
        <f t="shared" si="29"/>
        <v>0</v>
      </c>
      <c r="J118" s="5">
        <f t="shared" si="30"/>
        <v>0</v>
      </c>
      <c r="K118">
        <v>0</v>
      </c>
      <c r="N118" s="51">
        <v>0</v>
      </c>
      <c r="Q118" t="s">
        <v>64</v>
      </c>
    </row>
    <row r="119" spans="1:17">
      <c r="A119" s="6">
        <v>46135</v>
      </c>
      <c r="B119" s="4">
        <v>0</v>
      </c>
      <c r="C119" s="4">
        <v>0</v>
      </c>
      <c r="D119" s="4">
        <v>45</v>
      </c>
      <c r="E119" s="4">
        <v>1</v>
      </c>
      <c r="F119" s="4">
        <v>50</v>
      </c>
      <c r="G119" s="144">
        <f t="shared" si="28"/>
        <v>0</v>
      </c>
      <c r="H119" s="167">
        <v>0</v>
      </c>
      <c r="I119" s="142">
        <f t="shared" si="29"/>
        <v>0</v>
      </c>
      <c r="J119" s="5">
        <f t="shared" si="30"/>
        <v>0</v>
      </c>
      <c r="K119">
        <v>0</v>
      </c>
      <c r="N119" s="51">
        <v>0</v>
      </c>
    </row>
    <row r="120" spans="1:17">
      <c r="A120" s="6">
        <v>46136</v>
      </c>
      <c r="B120" s="4">
        <v>0</v>
      </c>
      <c r="C120" s="4">
        <v>0</v>
      </c>
      <c r="D120" s="4">
        <v>45</v>
      </c>
      <c r="E120" s="4">
        <v>1</v>
      </c>
      <c r="F120" s="4">
        <v>50</v>
      </c>
      <c r="G120" s="144">
        <f t="shared" si="28"/>
        <v>0</v>
      </c>
      <c r="H120" s="167">
        <v>0</v>
      </c>
      <c r="I120" s="142">
        <f t="shared" si="29"/>
        <v>0</v>
      </c>
      <c r="J120" s="5">
        <f t="shared" si="30"/>
        <v>0</v>
      </c>
      <c r="K120">
        <v>0</v>
      </c>
      <c r="N120" s="51">
        <v>0</v>
      </c>
    </row>
    <row r="121" spans="1:17">
      <c r="A121" s="6">
        <v>46137</v>
      </c>
      <c r="B121" s="4">
        <v>0</v>
      </c>
      <c r="C121" s="4">
        <v>0</v>
      </c>
      <c r="D121" s="4">
        <v>45</v>
      </c>
      <c r="E121" s="4">
        <v>1</v>
      </c>
      <c r="F121" s="4">
        <v>50</v>
      </c>
      <c r="G121" s="10">
        <f t="shared" si="28"/>
        <v>0</v>
      </c>
      <c r="H121" s="141">
        <v>0</v>
      </c>
      <c r="I121" s="5">
        <f t="shared" si="29"/>
        <v>0</v>
      </c>
      <c r="J121" s="5">
        <f t="shared" si="30"/>
        <v>0</v>
      </c>
      <c r="K121">
        <v>0</v>
      </c>
      <c r="N121" s="51">
        <v>0</v>
      </c>
    </row>
    <row r="122" spans="1:17">
      <c r="A122" s="6">
        <v>46138</v>
      </c>
      <c r="B122" s="4">
        <v>0</v>
      </c>
      <c r="C122" s="4">
        <v>0</v>
      </c>
      <c r="D122" s="4">
        <v>45</v>
      </c>
      <c r="E122" s="4">
        <v>1</v>
      </c>
      <c r="F122" s="4">
        <v>50</v>
      </c>
      <c r="G122" s="10">
        <f t="shared" si="28"/>
        <v>0</v>
      </c>
      <c r="H122" s="4">
        <v>0</v>
      </c>
      <c r="I122" s="5">
        <f t="shared" si="29"/>
        <v>0</v>
      </c>
      <c r="J122" s="5">
        <f t="shared" si="30"/>
        <v>0</v>
      </c>
      <c r="K122">
        <v>0</v>
      </c>
      <c r="N122" s="51">
        <v>0</v>
      </c>
    </row>
    <row r="123" spans="1:17" ht="19">
      <c r="A123" s="91" t="s">
        <v>518</v>
      </c>
      <c r="B123" s="8">
        <f>SUM(B124:B130)</f>
        <v>48</v>
      </c>
      <c r="C123" s="8">
        <f>SUM(C124:C130)</f>
        <v>108</v>
      </c>
      <c r="D123" s="8">
        <f>SUM(D124)</f>
        <v>45</v>
      </c>
      <c r="E123" s="8">
        <f>SUM(E124:E130)</f>
        <v>5</v>
      </c>
      <c r="F123" s="8">
        <f>SUM(F124:F130)</f>
        <v>250</v>
      </c>
      <c r="G123" s="93">
        <f t="shared" si="28"/>
        <v>49.8</v>
      </c>
      <c r="H123" s="8">
        <f>SUM(H124:H130)</f>
        <v>250</v>
      </c>
      <c r="I123" s="9">
        <f>SUM(I124:I130)</f>
        <v>2541.8333333333335</v>
      </c>
      <c r="J123" s="14">
        <f>SUM(J124:J130)</f>
        <v>2291.8333333333335</v>
      </c>
      <c r="K123" s="8">
        <f>SUM(K124:K130)</f>
        <v>141</v>
      </c>
      <c r="L123" s="9">
        <v>0</v>
      </c>
      <c r="M123" s="96">
        <f>J123</f>
        <v>2291.8333333333335</v>
      </c>
      <c r="N123" s="102">
        <f>SUM(N124:N130)</f>
        <v>2974</v>
      </c>
      <c r="O123" s="98">
        <f>2865-N123</f>
        <v>-109</v>
      </c>
      <c r="P123" s="86"/>
      <c r="Q123" s="86"/>
    </row>
    <row r="124" spans="1:17">
      <c r="A124" s="6">
        <v>46132</v>
      </c>
      <c r="B124" s="4">
        <v>10</v>
      </c>
      <c r="C124" s="4">
        <v>16</v>
      </c>
      <c r="D124" s="4">
        <v>45</v>
      </c>
      <c r="E124" s="4">
        <v>1</v>
      </c>
      <c r="F124" s="4">
        <v>50</v>
      </c>
      <c r="G124" s="10">
        <f t="shared" si="28"/>
        <v>10.266666666666667</v>
      </c>
      <c r="H124" s="4">
        <v>50</v>
      </c>
      <c r="I124" s="5">
        <f t="shared" ref="I124:I130" si="31">G124*D124</f>
        <v>462.00000000000006</v>
      </c>
      <c r="J124" s="5">
        <f t="shared" ref="J124:J130" si="32">I124-H124</f>
        <v>412.00000000000006</v>
      </c>
      <c r="K124">
        <v>24</v>
      </c>
      <c r="N124" s="51">
        <f>527</f>
        <v>527</v>
      </c>
      <c r="O124" s="51"/>
    </row>
    <row r="125" spans="1:17">
      <c r="A125" s="6">
        <v>46133</v>
      </c>
      <c r="B125" s="4">
        <v>10</v>
      </c>
      <c r="C125" s="4">
        <v>41</v>
      </c>
      <c r="D125" s="4">
        <v>55</v>
      </c>
      <c r="E125" s="4">
        <v>1</v>
      </c>
      <c r="F125" s="4">
        <v>50</v>
      </c>
      <c r="G125" s="10">
        <f t="shared" si="28"/>
        <v>10.683333333333334</v>
      </c>
      <c r="H125" s="4">
        <v>50</v>
      </c>
      <c r="I125" s="5">
        <f t="shared" si="31"/>
        <v>587.58333333333337</v>
      </c>
      <c r="J125" s="5">
        <f t="shared" si="32"/>
        <v>537.58333333333337</v>
      </c>
      <c r="K125">
        <v>30</v>
      </c>
      <c r="N125" s="51">
        <f>88+2+90</f>
        <v>180</v>
      </c>
    </row>
    <row r="126" spans="1:17">
      <c r="A126" s="6">
        <v>46134</v>
      </c>
      <c r="B126" s="4">
        <v>0</v>
      </c>
      <c r="C126" s="4">
        <v>0</v>
      </c>
      <c r="D126" s="4">
        <v>45</v>
      </c>
      <c r="E126" s="4">
        <v>0</v>
      </c>
      <c r="F126" s="4">
        <v>0</v>
      </c>
      <c r="G126" s="10">
        <f t="shared" si="28"/>
        <v>0</v>
      </c>
      <c r="H126" s="4">
        <v>0</v>
      </c>
      <c r="I126" s="5">
        <f t="shared" si="31"/>
        <v>0</v>
      </c>
      <c r="J126" s="5">
        <f t="shared" si="32"/>
        <v>0</v>
      </c>
      <c r="K126">
        <v>0</v>
      </c>
      <c r="N126" s="83">
        <f>566</f>
        <v>566</v>
      </c>
    </row>
    <row r="127" spans="1:17">
      <c r="A127" s="6">
        <v>46135</v>
      </c>
      <c r="B127" s="4">
        <v>0</v>
      </c>
      <c r="C127" s="4">
        <v>0</v>
      </c>
      <c r="D127" s="4">
        <v>45</v>
      </c>
      <c r="E127" s="4">
        <v>0</v>
      </c>
      <c r="F127" s="4">
        <v>0</v>
      </c>
      <c r="G127" s="10">
        <f t="shared" si="28"/>
        <v>0</v>
      </c>
      <c r="H127" s="4">
        <v>0</v>
      </c>
      <c r="I127" s="5">
        <f t="shared" si="31"/>
        <v>0</v>
      </c>
      <c r="J127" s="5">
        <f t="shared" si="32"/>
        <v>0</v>
      </c>
      <c r="K127">
        <v>0</v>
      </c>
      <c r="N127" s="51"/>
    </row>
    <row r="128" spans="1:17">
      <c r="A128" s="6">
        <v>46136</v>
      </c>
      <c r="B128" s="4">
        <v>10</v>
      </c>
      <c r="C128" s="4">
        <v>8</v>
      </c>
      <c r="D128" s="4">
        <v>45</v>
      </c>
      <c r="E128" s="4">
        <v>1</v>
      </c>
      <c r="F128" s="4">
        <v>50</v>
      </c>
      <c r="G128" s="10">
        <f t="shared" si="28"/>
        <v>10.133333333333333</v>
      </c>
      <c r="H128" s="4">
        <v>50</v>
      </c>
      <c r="I128" s="5">
        <f t="shared" si="31"/>
        <v>456</v>
      </c>
      <c r="J128" s="5">
        <f t="shared" si="32"/>
        <v>406</v>
      </c>
      <c r="K128">
        <v>25</v>
      </c>
      <c r="N128" s="51">
        <v>646</v>
      </c>
      <c r="Q128" t="s">
        <v>875</v>
      </c>
    </row>
    <row r="129" spans="1:17">
      <c r="A129" s="6">
        <v>46137</v>
      </c>
      <c r="B129" s="4">
        <v>9</v>
      </c>
      <c r="C129" s="4">
        <v>1</v>
      </c>
      <c r="D129" s="4">
        <v>45</v>
      </c>
      <c r="E129" s="4">
        <v>1</v>
      </c>
      <c r="F129" s="4">
        <v>50</v>
      </c>
      <c r="G129" s="10">
        <f t="shared" si="28"/>
        <v>9.0166666666666675</v>
      </c>
      <c r="H129" s="4">
        <v>50</v>
      </c>
      <c r="I129" s="5">
        <f t="shared" si="31"/>
        <v>405.75000000000006</v>
      </c>
      <c r="J129" s="5">
        <f t="shared" si="32"/>
        <v>355.75000000000006</v>
      </c>
      <c r="K129">
        <v>26</v>
      </c>
      <c r="N129" s="51">
        <v>610</v>
      </c>
    </row>
    <row r="130" spans="1:17">
      <c r="A130" s="6">
        <v>46138</v>
      </c>
      <c r="B130" s="4">
        <v>9</v>
      </c>
      <c r="C130" s="4">
        <v>42</v>
      </c>
      <c r="D130" s="4">
        <v>65</v>
      </c>
      <c r="E130" s="4">
        <v>1</v>
      </c>
      <c r="F130" s="4">
        <v>50</v>
      </c>
      <c r="G130" s="10">
        <f t="shared" si="28"/>
        <v>9.6999999999999993</v>
      </c>
      <c r="H130" s="4">
        <v>50</v>
      </c>
      <c r="I130" s="5">
        <f t="shared" si="31"/>
        <v>630.5</v>
      </c>
      <c r="J130" s="5">
        <f t="shared" si="32"/>
        <v>580.5</v>
      </c>
      <c r="K130">
        <v>36</v>
      </c>
      <c r="N130" s="51">
        <v>445</v>
      </c>
      <c r="Q130" t="s">
        <v>455</v>
      </c>
    </row>
    <row r="131" spans="1:17" ht="19">
      <c r="A131" s="91" t="s">
        <v>519</v>
      </c>
      <c r="B131" s="8">
        <f>SUM(B132:B137)</f>
        <v>0</v>
      </c>
      <c r="C131" s="8">
        <f>SUM(C132:C137)</f>
        <v>0</v>
      </c>
      <c r="D131" s="8">
        <f>SUM(D132)</f>
        <v>45</v>
      </c>
      <c r="E131" s="8">
        <f>SUM(E132:E137)</f>
        <v>6</v>
      </c>
      <c r="F131" s="8">
        <f>SUM(F132:F137)</f>
        <v>300</v>
      </c>
      <c r="G131" s="93">
        <f t="shared" si="28"/>
        <v>0</v>
      </c>
      <c r="H131" s="8">
        <f>SUM(H132:H137)</f>
        <v>0</v>
      </c>
      <c r="I131" s="9">
        <f>SUM(I132:I137)</f>
        <v>0</v>
      </c>
      <c r="J131" s="14">
        <f>SUM(J132:J137)</f>
        <v>0</v>
      </c>
      <c r="K131" s="8">
        <f>SUM(K132:K137)</f>
        <v>0</v>
      </c>
      <c r="L131" s="9">
        <v>0</v>
      </c>
      <c r="M131" s="96">
        <f>J131</f>
        <v>0</v>
      </c>
      <c r="N131" s="102">
        <f>SUM(N132:N135)</f>
        <v>0</v>
      </c>
      <c r="O131" s="98">
        <v>0</v>
      </c>
      <c r="P131" s="86"/>
      <c r="Q131" s="86"/>
    </row>
    <row r="132" spans="1:17">
      <c r="A132" s="6">
        <v>46132</v>
      </c>
      <c r="B132" s="4">
        <v>0</v>
      </c>
      <c r="C132" s="4">
        <v>0</v>
      </c>
      <c r="D132" s="4">
        <v>45</v>
      </c>
      <c r="E132" s="4">
        <v>1</v>
      </c>
      <c r="F132" s="4">
        <v>50</v>
      </c>
      <c r="G132" s="10">
        <f t="shared" si="28"/>
        <v>0</v>
      </c>
      <c r="H132" s="4">
        <v>0</v>
      </c>
      <c r="I132" s="5">
        <f t="shared" ref="I132:I138" si="33">G132*D132</f>
        <v>0</v>
      </c>
      <c r="J132" s="5">
        <f t="shared" ref="J132:J138" si="34">I132-H132</f>
        <v>0</v>
      </c>
      <c r="K132">
        <v>0</v>
      </c>
      <c r="N132" s="51">
        <v>0</v>
      </c>
      <c r="O132" s="51"/>
    </row>
    <row r="133" spans="1:17">
      <c r="A133" s="6">
        <v>46133</v>
      </c>
      <c r="B133" s="4">
        <v>0</v>
      </c>
      <c r="C133" s="4">
        <v>0</v>
      </c>
      <c r="D133" s="4">
        <v>55</v>
      </c>
      <c r="E133" s="4">
        <v>1</v>
      </c>
      <c r="F133" s="4">
        <v>50</v>
      </c>
      <c r="G133" s="10">
        <f t="shared" si="28"/>
        <v>0</v>
      </c>
      <c r="H133" s="4">
        <v>0</v>
      </c>
      <c r="I133" s="5">
        <f t="shared" si="33"/>
        <v>0</v>
      </c>
      <c r="J133" s="5">
        <f t="shared" si="34"/>
        <v>0</v>
      </c>
      <c r="K133">
        <v>0</v>
      </c>
      <c r="N133" s="51">
        <v>0</v>
      </c>
    </row>
    <row r="134" spans="1:17">
      <c r="A134" s="6">
        <v>46134</v>
      </c>
      <c r="B134" s="4">
        <v>0</v>
      </c>
      <c r="C134" s="4">
        <v>0</v>
      </c>
      <c r="D134" s="4">
        <v>45</v>
      </c>
      <c r="E134" s="4">
        <v>1</v>
      </c>
      <c r="F134" s="4">
        <v>50</v>
      </c>
      <c r="G134" s="10">
        <f t="shared" si="28"/>
        <v>0</v>
      </c>
      <c r="H134" s="4">
        <v>0</v>
      </c>
      <c r="I134" s="5">
        <f t="shared" si="33"/>
        <v>0</v>
      </c>
      <c r="J134" s="5">
        <f t="shared" si="34"/>
        <v>0</v>
      </c>
      <c r="K134">
        <v>0</v>
      </c>
      <c r="N134" s="83">
        <v>0</v>
      </c>
      <c r="Q134" t="s">
        <v>64</v>
      </c>
    </row>
    <row r="135" spans="1:17">
      <c r="A135" s="6">
        <v>46135</v>
      </c>
      <c r="B135" s="4">
        <v>0</v>
      </c>
      <c r="C135" s="4">
        <v>0</v>
      </c>
      <c r="D135" s="4">
        <v>45</v>
      </c>
      <c r="E135" s="4">
        <v>1</v>
      </c>
      <c r="F135" s="4">
        <v>50</v>
      </c>
      <c r="G135" s="10">
        <f t="shared" si="28"/>
        <v>0</v>
      </c>
      <c r="H135" s="4">
        <v>0</v>
      </c>
      <c r="I135" s="5">
        <f t="shared" si="33"/>
        <v>0</v>
      </c>
      <c r="J135" s="5">
        <f t="shared" si="34"/>
        <v>0</v>
      </c>
      <c r="K135">
        <v>0</v>
      </c>
      <c r="N135" s="51">
        <v>0</v>
      </c>
    </row>
    <row r="136" spans="1:17">
      <c r="A136" s="6">
        <v>46136</v>
      </c>
      <c r="B136" s="4">
        <v>0</v>
      </c>
      <c r="C136" s="4">
        <v>0</v>
      </c>
      <c r="D136" s="4">
        <v>45</v>
      </c>
      <c r="E136" s="4">
        <v>1</v>
      </c>
      <c r="F136" s="4">
        <v>50</v>
      </c>
      <c r="G136" s="10">
        <f t="shared" si="28"/>
        <v>0</v>
      </c>
      <c r="H136" s="4">
        <v>0</v>
      </c>
      <c r="I136" s="5">
        <f t="shared" si="33"/>
        <v>0</v>
      </c>
      <c r="J136" s="5">
        <f t="shared" si="34"/>
        <v>0</v>
      </c>
      <c r="K136">
        <v>0</v>
      </c>
      <c r="N136" s="51">
        <v>0</v>
      </c>
    </row>
    <row r="137" spans="1:17">
      <c r="A137" s="6">
        <v>46137</v>
      </c>
      <c r="B137" s="4">
        <v>0</v>
      </c>
      <c r="C137" s="4">
        <v>0</v>
      </c>
      <c r="D137" s="4">
        <v>45</v>
      </c>
      <c r="E137" s="4">
        <v>1</v>
      </c>
      <c r="F137" s="4">
        <v>50</v>
      </c>
      <c r="G137" s="10">
        <f t="shared" si="28"/>
        <v>0</v>
      </c>
      <c r="H137" s="4">
        <v>0</v>
      </c>
      <c r="I137" s="5">
        <f t="shared" si="33"/>
        <v>0</v>
      </c>
      <c r="J137" s="5">
        <f t="shared" si="34"/>
        <v>0</v>
      </c>
      <c r="K137">
        <v>0</v>
      </c>
      <c r="N137" s="51">
        <v>0</v>
      </c>
    </row>
    <row r="138" spans="1:17">
      <c r="A138" s="6">
        <v>46138</v>
      </c>
      <c r="B138" s="4">
        <v>0</v>
      </c>
      <c r="C138" s="4">
        <v>0</v>
      </c>
      <c r="D138" s="4">
        <v>45</v>
      </c>
      <c r="E138" s="4">
        <v>1</v>
      </c>
      <c r="F138" s="4">
        <v>50</v>
      </c>
      <c r="G138" s="10">
        <f t="shared" si="28"/>
        <v>0</v>
      </c>
      <c r="H138" s="4">
        <v>0</v>
      </c>
      <c r="I138" s="5">
        <f t="shared" si="33"/>
        <v>0</v>
      </c>
      <c r="J138" s="5">
        <f t="shared" si="34"/>
        <v>0</v>
      </c>
      <c r="K138">
        <v>0</v>
      </c>
      <c r="N138" s="51">
        <v>0</v>
      </c>
    </row>
    <row r="139" spans="1:17" ht="19">
      <c r="A139" s="91" t="s">
        <v>528</v>
      </c>
      <c r="B139" s="8">
        <f>SUM(B140:B146)</f>
        <v>67</v>
      </c>
      <c r="C139" s="8">
        <f>SUM(C140:C146)</f>
        <v>243</v>
      </c>
      <c r="D139" s="8">
        <f>SUM(D140)</f>
        <v>45</v>
      </c>
      <c r="E139" s="8">
        <f>SUM(E140:E146)</f>
        <v>7</v>
      </c>
      <c r="F139" s="8">
        <f>SUM(F140:F146)</f>
        <v>350</v>
      </c>
      <c r="G139" s="93">
        <f t="shared" si="28"/>
        <v>71.05</v>
      </c>
      <c r="H139" s="8">
        <f>SUM(H140:H146)</f>
        <v>350</v>
      </c>
      <c r="I139" s="9">
        <f>SUM(I140:I146)</f>
        <v>3301.083333333333</v>
      </c>
      <c r="J139" s="9">
        <f>SUM(J140:J146)</f>
        <v>2951.083333333333</v>
      </c>
      <c r="K139" s="8">
        <f>SUM(K140:K146)</f>
        <v>155</v>
      </c>
      <c r="L139" s="9">
        <v>0</v>
      </c>
      <c r="M139" s="96">
        <f>J139</f>
        <v>2951.083333333333</v>
      </c>
      <c r="N139" s="102">
        <f>SUM(N140:N146)</f>
        <v>2947</v>
      </c>
      <c r="O139" s="98">
        <f>2926-N139</f>
        <v>-21</v>
      </c>
      <c r="P139" s="86"/>
      <c r="Q139" s="86"/>
    </row>
    <row r="140" spans="1:17">
      <c r="A140" s="6">
        <v>46132</v>
      </c>
      <c r="B140" s="4">
        <v>9</v>
      </c>
      <c r="C140" s="4">
        <v>9</v>
      </c>
      <c r="D140" s="4">
        <v>45</v>
      </c>
      <c r="E140" s="4">
        <v>1</v>
      </c>
      <c r="F140" s="4">
        <v>50</v>
      </c>
      <c r="G140" s="10">
        <f t="shared" si="28"/>
        <v>9.15</v>
      </c>
      <c r="H140" s="4">
        <v>50</v>
      </c>
      <c r="I140" s="5">
        <f t="shared" ref="I140:I146" si="35">G140*D140</f>
        <v>411.75</v>
      </c>
      <c r="J140" s="5">
        <f t="shared" ref="J140:J146" si="36">I140-H140</f>
        <v>361.75</v>
      </c>
      <c r="K140">
        <v>21</v>
      </c>
      <c r="N140" s="51">
        <f>251+150</f>
        <v>401</v>
      </c>
      <c r="O140" s="51"/>
      <c r="P140" t="s">
        <v>865</v>
      </c>
    </row>
    <row r="141" spans="1:17">
      <c r="A141" s="6">
        <v>46133</v>
      </c>
      <c r="B141" s="4">
        <v>10</v>
      </c>
      <c r="C141" s="4">
        <v>23</v>
      </c>
      <c r="D141" s="4">
        <v>45</v>
      </c>
      <c r="E141" s="4">
        <v>1</v>
      </c>
      <c r="F141" s="4">
        <v>50</v>
      </c>
      <c r="G141" s="10">
        <f t="shared" si="28"/>
        <v>10.383333333333333</v>
      </c>
      <c r="H141" s="4">
        <v>50</v>
      </c>
      <c r="I141" s="5">
        <f t="shared" si="35"/>
        <v>467.25</v>
      </c>
      <c r="J141" s="5">
        <f t="shared" si="36"/>
        <v>417.25</v>
      </c>
      <c r="K141">
        <v>23</v>
      </c>
      <c r="N141" s="51">
        <f>239+100</f>
        <v>339</v>
      </c>
      <c r="P141" t="s">
        <v>876</v>
      </c>
    </row>
    <row r="142" spans="1:17">
      <c r="A142" s="6">
        <v>46134</v>
      </c>
      <c r="B142" s="4">
        <v>9</v>
      </c>
      <c r="C142" s="4">
        <v>56</v>
      </c>
      <c r="D142" s="4">
        <v>45</v>
      </c>
      <c r="E142" s="4">
        <v>1</v>
      </c>
      <c r="F142" s="4">
        <v>50</v>
      </c>
      <c r="G142" s="10">
        <f t="shared" si="28"/>
        <v>9.9333333333333336</v>
      </c>
      <c r="H142" s="4">
        <v>50</v>
      </c>
      <c r="I142" s="5">
        <f t="shared" si="35"/>
        <v>447</v>
      </c>
      <c r="J142" s="5">
        <f t="shared" si="36"/>
        <v>397</v>
      </c>
      <c r="K142">
        <v>25</v>
      </c>
      <c r="N142" s="83">
        <f>380</f>
        <v>380</v>
      </c>
      <c r="P142" t="s">
        <v>877</v>
      </c>
    </row>
    <row r="143" spans="1:17">
      <c r="A143" s="6">
        <v>46135</v>
      </c>
      <c r="B143" s="4">
        <v>10</v>
      </c>
      <c r="C143" s="4">
        <v>40</v>
      </c>
      <c r="D143" s="4">
        <v>45</v>
      </c>
      <c r="E143" s="4">
        <v>1</v>
      </c>
      <c r="F143" s="4">
        <v>50</v>
      </c>
      <c r="G143" s="10">
        <f t="shared" si="28"/>
        <v>10.666666666666666</v>
      </c>
      <c r="H143" s="4">
        <v>50</v>
      </c>
      <c r="I143" s="5">
        <f t="shared" si="35"/>
        <v>480</v>
      </c>
      <c r="J143" s="5">
        <f t="shared" si="36"/>
        <v>430</v>
      </c>
      <c r="K143">
        <v>13</v>
      </c>
      <c r="N143" s="51">
        <f>380</f>
        <v>380</v>
      </c>
    </row>
    <row r="144" spans="1:17">
      <c r="A144" s="6">
        <v>46136</v>
      </c>
      <c r="B144" s="4">
        <v>10</v>
      </c>
      <c r="C144" s="4">
        <v>49</v>
      </c>
      <c r="D144" s="4">
        <v>45</v>
      </c>
      <c r="E144" s="4">
        <v>1</v>
      </c>
      <c r="F144" s="4">
        <v>50</v>
      </c>
      <c r="G144" s="10">
        <f t="shared" si="28"/>
        <v>10.816666666666666</v>
      </c>
      <c r="H144" s="4">
        <v>50</v>
      </c>
      <c r="I144" s="5">
        <f t="shared" si="35"/>
        <v>486.75</v>
      </c>
      <c r="J144" s="5">
        <f t="shared" si="36"/>
        <v>436.75</v>
      </c>
      <c r="K144">
        <v>20</v>
      </c>
      <c r="N144" s="51">
        <v>350</v>
      </c>
      <c r="P144" t="s">
        <v>878</v>
      </c>
    </row>
    <row r="145" spans="1:17">
      <c r="A145" s="6">
        <v>46137</v>
      </c>
      <c r="B145" s="4">
        <v>9</v>
      </c>
      <c r="C145" s="4">
        <v>43</v>
      </c>
      <c r="D145" s="4">
        <v>45</v>
      </c>
      <c r="E145" s="4">
        <v>1</v>
      </c>
      <c r="F145" s="4">
        <v>50</v>
      </c>
      <c r="G145" s="10">
        <f t="shared" si="28"/>
        <v>9.7166666666666668</v>
      </c>
      <c r="H145" s="4">
        <v>50</v>
      </c>
      <c r="I145" s="5">
        <f t="shared" si="35"/>
        <v>437.25</v>
      </c>
      <c r="J145" s="5">
        <f t="shared" si="36"/>
        <v>387.25</v>
      </c>
      <c r="K145">
        <v>26</v>
      </c>
      <c r="N145" s="51">
        <f>400+150</f>
        <v>550</v>
      </c>
    </row>
    <row r="146" spans="1:17">
      <c r="A146" s="6">
        <v>46138</v>
      </c>
      <c r="B146" s="4">
        <v>10</v>
      </c>
      <c r="C146" s="4">
        <v>23</v>
      </c>
      <c r="D146" s="4">
        <v>55</v>
      </c>
      <c r="E146" s="4">
        <v>1</v>
      </c>
      <c r="F146" s="4">
        <v>50</v>
      </c>
      <c r="G146" s="10">
        <f t="shared" si="28"/>
        <v>10.383333333333333</v>
      </c>
      <c r="H146" s="4">
        <v>50</v>
      </c>
      <c r="I146" s="5">
        <f t="shared" si="35"/>
        <v>571.08333333333326</v>
      </c>
      <c r="J146" s="5">
        <f t="shared" si="36"/>
        <v>521.08333333333326</v>
      </c>
      <c r="K146">
        <v>27</v>
      </c>
      <c r="N146" s="51">
        <v>547</v>
      </c>
    </row>
    <row r="147" spans="1:17" ht="19">
      <c r="A147" s="91" t="s">
        <v>529</v>
      </c>
      <c r="B147" s="8">
        <f>SUM(B148:B154)</f>
        <v>31</v>
      </c>
      <c r="C147" s="8">
        <f>SUM(C148:C154)</f>
        <v>38</v>
      </c>
      <c r="D147" s="8">
        <f>SUM(D148)</f>
        <v>45</v>
      </c>
      <c r="E147" s="8">
        <f>SUM(E148:E154)</f>
        <v>3</v>
      </c>
      <c r="F147" s="8">
        <f>SUM(F148:F154)</f>
        <v>150</v>
      </c>
      <c r="G147" s="93">
        <f t="shared" ref="G147:G178" si="37">B147+C147/60</f>
        <v>31.633333333333333</v>
      </c>
      <c r="H147" s="8">
        <f>SUM(H148:H154)</f>
        <v>150</v>
      </c>
      <c r="I147" s="9">
        <f>SUM(I148:I154)</f>
        <v>2056.1666666666665</v>
      </c>
      <c r="J147" s="14">
        <f>SUM(J148:J154)</f>
        <v>1906.1666666666665</v>
      </c>
      <c r="K147" s="8">
        <f>SUM(K148:K154)</f>
        <v>97</v>
      </c>
      <c r="L147" s="9">
        <v>0</v>
      </c>
      <c r="M147" s="96">
        <f>J147</f>
        <v>1906.1666666666665</v>
      </c>
      <c r="N147" s="102">
        <f>SUM(N148:N154)</f>
        <v>2156</v>
      </c>
      <c r="O147" s="98">
        <f>2328-N147</f>
        <v>172</v>
      </c>
      <c r="P147" s="86"/>
      <c r="Q147" s="86"/>
    </row>
    <row r="148" spans="1:17">
      <c r="A148" s="80" t="s">
        <v>820</v>
      </c>
      <c r="B148" s="4">
        <v>0</v>
      </c>
      <c r="C148" s="4">
        <v>0</v>
      </c>
      <c r="D148" s="4">
        <v>45</v>
      </c>
      <c r="E148" s="4">
        <v>0</v>
      </c>
      <c r="F148" s="4">
        <v>0</v>
      </c>
      <c r="G148" s="10">
        <f t="shared" si="37"/>
        <v>0</v>
      </c>
      <c r="H148" s="4">
        <v>0</v>
      </c>
      <c r="I148" s="5">
        <f t="shared" ref="I148:I154" si="38">G148*D148</f>
        <v>0</v>
      </c>
      <c r="J148" s="5">
        <f t="shared" ref="J148:J154" si="39">I148-H148</f>
        <v>0</v>
      </c>
      <c r="K148">
        <v>0</v>
      </c>
      <c r="N148" s="51">
        <v>0</v>
      </c>
      <c r="O148" s="51"/>
    </row>
    <row r="149" spans="1:17">
      <c r="A149" s="80" t="s">
        <v>822</v>
      </c>
      <c r="B149" s="4">
        <v>0</v>
      </c>
      <c r="C149" s="4">
        <v>0</v>
      </c>
      <c r="D149" s="4">
        <v>45</v>
      </c>
      <c r="E149" s="4">
        <v>0</v>
      </c>
      <c r="F149" s="4">
        <v>0</v>
      </c>
      <c r="G149" s="10">
        <f t="shared" si="37"/>
        <v>0</v>
      </c>
      <c r="H149" s="4">
        <v>0</v>
      </c>
      <c r="I149" s="5">
        <f t="shared" si="38"/>
        <v>0</v>
      </c>
      <c r="J149" s="5">
        <f t="shared" si="39"/>
        <v>0</v>
      </c>
      <c r="K149">
        <v>0</v>
      </c>
      <c r="N149" s="51">
        <v>0</v>
      </c>
    </row>
    <row r="150" spans="1:17">
      <c r="A150" s="80" t="s">
        <v>824</v>
      </c>
      <c r="B150" s="4">
        <v>10</v>
      </c>
      <c r="C150" s="4">
        <v>30</v>
      </c>
      <c r="D150" s="4">
        <v>65</v>
      </c>
      <c r="E150" s="4">
        <v>1</v>
      </c>
      <c r="F150" s="4">
        <v>50</v>
      </c>
      <c r="G150" s="10">
        <f t="shared" si="37"/>
        <v>10.5</v>
      </c>
      <c r="H150" s="4">
        <v>50</v>
      </c>
      <c r="I150" s="5">
        <f t="shared" si="38"/>
        <v>682.5</v>
      </c>
      <c r="J150" s="5">
        <f t="shared" si="39"/>
        <v>632.5</v>
      </c>
      <c r="K150">
        <v>32</v>
      </c>
      <c r="N150" s="51">
        <f>750</f>
        <v>750</v>
      </c>
    </row>
    <row r="151" spans="1:17">
      <c r="A151" s="80" t="s">
        <v>826</v>
      </c>
      <c r="B151" s="4">
        <v>11</v>
      </c>
      <c r="C151" s="4">
        <v>0</v>
      </c>
      <c r="D151" s="4">
        <v>65</v>
      </c>
      <c r="E151" s="4">
        <v>1</v>
      </c>
      <c r="F151" s="4">
        <v>50</v>
      </c>
      <c r="G151" s="10">
        <f t="shared" si="37"/>
        <v>11</v>
      </c>
      <c r="H151" s="4">
        <v>50</v>
      </c>
      <c r="I151" s="5">
        <f t="shared" si="38"/>
        <v>715</v>
      </c>
      <c r="J151" s="5">
        <f t="shared" si="39"/>
        <v>665</v>
      </c>
      <c r="K151">
        <v>33</v>
      </c>
      <c r="N151" s="51">
        <f>680</f>
        <v>680</v>
      </c>
    </row>
    <row r="152" spans="1:17">
      <c r="A152" s="80" t="s">
        <v>828</v>
      </c>
      <c r="B152" s="4">
        <v>10</v>
      </c>
      <c r="C152" s="4">
        <v>8</v>
      </c>
      <c r="D152" s="4">
        <v>65</v>
      </c>
      <c r="E152" s="4">
        <v>1</v>
      </c>
      <c r="F152" s="4">
        <v>50</v>
      </c>
      <c r="G152" s="10">
        <f t="shared" si="37"/>
        <v>10.133333333333333</v>
      </c>
      <c r="H152" s="4">
        <v>50</v>
      </c>
      <c r="I152" s="5">
        <f t="shared" si="38"/>
        <v>658.66666666666663</v>
      </c>
      <c r="J152" s="5">
        <f t="shared" si="39"/>
        <v>608.66666666666663</v>
      </c>
      <c r="K152">
        <v>32</v>
      </c>
      <c r="N152" s="51">
        <v>726</v>
      </c>
      <c r="P152" t="s">
        <v>879</v>
      </c>
    </row>
    <row r="153" spans="1:17">
      <c r="A153" s="80" t="s">
        <v>830</v>
      </c>
      <c r="B153" s="4">
        <v>0</v>
      </c>
      <c r="C153" s="4">
        <v>0</v>
      </c>
      <c r="D153" s="4">
        <v>45</v>
      </c>
      <c r="E153" s="4">
        <v>0</v>
      </c>
      <c r="F153" s="4">
        <v>0</v>
      </c>
      <c r="G153" s="10">
        <f t="shared" si="37"/>
        <v>0</v>
      </c>
      <c r="H153" s="4">
        <v>0</v>
      </c>
      <c r="I153" s="5">
        <f t="shared" si="38"/>
        <v>0</v>
      </c>
      <c r="J153" s="5">
        <f t="shared" si="39"/>
        <v>0</v>
      </c>
      <c r="K153">
        <v>0</v>
      </c>
      <c r="N153" s="51">
        <v>0</v>
      </c>
    </row>
    <row r="154" spans="1:17">
      <c r="A154" s="80" t="s">
        <v>831</v>
      </c>
      <c r="B154" s="4">
        <v>0</v>
      </c>
      <c r="C154" s="4">
        <v>0</v>
      </c>
      <c r="D154" s="4">
        <v>45</v>
      </c>
      <c r="E154" s="4">
        <v>0</v>
      </c>
      <c r="F154" s="4">
        <v>0</v>
      </c>
      <c r="G154" s="10">
        <f t="shared" si="37"/>
        <v>0</v>
      </c>
      <c r="H154" s="4">
        <v>0</v>
      </c>
      <c r="I154" s="5">
        <f t="shared" si="38"/>
        <v>0</v>
      </c>
      <c r="J154" s="5">
        <f t="shared" si="39"/>
        <v>0</v>
      </c>
      <c r="K154">
        <v>0</v>
      </c>
      <c r="N154" s="51">
        <v>0</v>
      </c>
    </row>
    <row r="155" spans="1:17" ht="19">
      <c r="A155" s="91" t="s">
        <v>880</v>
      </c>
      <c r="B155" s="8">
        <f>SUM(B156:B162)</f>
        <v>66</v>
      </c>
      <c r="C155" s="8">
        <f>SUM(C156:C162)</f>
        <v>171</v>
      </c>
      <c r="D155" s="126">
        <f>SUM(D156)</f>
        <v>55</v>
      </c>
      <c r="E155" s="126">
        <f>SUM(E156:E162)</f>
        <v>7</v>
      </c>
      <c r="F155" s="126">
        <f>SUM(F156:F162)</f>
        <v>350</v>
      </c>
      <c r="G155" s="123">
        <f t="shared" si="37"/>
        <v>68.849999999999994</v>
      </c>
      <c r="H155" s="8">
        <f>SUM(H156:H162)</f>
        <v>350</v>
      </c>
      <c r="I155" s="14">
        <f>SUM(I156:I162)</f>
        <v>4170.75</v>
      </c>
      <c r="J155" s="14">
        <f>SUM(J156:J162)</f>
        <v>3820.75</v>
      </c>
      <c r="K155" s="8">
        <f>SUM(K156:K162)</f>
        <v>235</v>
      </c>
      <c r="L155" s="9">
        <v>0</v>
      </c>
      <c r="M155" s="96">
        <f>J155</f>
        <v>3820.75</v>
      </c>
      <c r="N155" s="102">
        <f>SUM(N156:N162)</f>
        <v>5665</v>
      </c>
      <c r="O155" s="98">
        <f>5460-N155</f>
        <v>-205</v>
      </c>
      <c r="P155" s="86"/>
      <c r="Q155" s="86"/>
    </row>
    <row r="156" spans="1:17">
      <c r="A156" s="80" t="s">
        <v>820</v>
      </c>
      <c r="B156" s="4">
        <v>10</v>
      </c>
      <c r="C156" s="4">
        <v>0</v>
      </c>
      <c r="D156" s="4">
        <v>55</v>
      </c>
      <c r="E156" s="4">
        <v>1</v>
      </c>
      <c r="F156" s="4">
        <v>50</v>
      </c>
      <c r="G156" s="10">
        <f t="shared" si="37"/>
        <v>10</v>
      </c>
      <c r="H156" s="4">
        <v>50</v>
      </c>
      <c r="I156" s="5">
        <f t="shared" ref="I156:I162" si="40">G156*D156</f>
        <v>550</v>
      </c>
      <c r="J156" s="5">
        <f t="shared" ref="J156:J162" si="41">I156-H156</f>
        <v>500</v>
      </c>
      <c r="K156">
        <v>30</v>
      </c>
      <c r="N156" s="51">
        <v>875</v>
      </c>
      <c r="O156" s="51"/>
      <c r="P156" t="s">
        <v>881</v>
      </c>
    </row>
    <row r="157" spans="1:17">
      <c r="A157" s="80" t="s">
        <v>822</v>
      </c>
      <c r="B157" s="4">
        <v>10</v>
      </c>
      <c r="C157" s="4">
        <v>47</v>
      </c>
      <c r="D157" s="4">
        <v>55</v>
      </c>
      <c r="E157" s="4">
        <v>1</v>
      </c>
      <c r="F157" s="4">
        <v>50</v>
      </c>
      <c r="G157" s="10">
        <f t="shared" si="37"/>
        <v>10.783333333333333</v>
      </c>
      <c r="H157" s="4">
        <v>50</v>
      </c>
      <c r="I157" s="5">
        <f t="shared" si="40"/>
        <v>593.08333333333337</v>
      </c>
      <c r="J157" s="5">
        <f t="shared" si="41"/>
        <v>543.08333333333337</v>
      </c>
      <c r="K157">
        <v>28</v>
      </c>
      <c r="N157" s="51">
        <v>766</v>
      </c>
      <c r="P157" t="s">
        <v>882</v>
      </c>
    </row>
    <row r="158" spans="1:17">
      <c r="A158" s="80" t="s">
        <v>824</v>
      </c>
      <c r="B158" s="4">
        <v>9</v>
      </c>
      <c r="C158" s="4">
        <v>40</v>
      </c>
      <c r="D158" s="4">
        <v>55</v>
      </c>
      <c r="E158" s="4">
        <v>1</v>
      </c>
      <c r="F158" s="4">
        <v>50</v>
      </c>
      <c r="G158" s="10">
        <f t="shared" si="37"/>
        <v>9.6666666666666661</v>
      </c>
      <c r="H158" s="4">
        <v>50</v>
      </c>
      <c r="I158" s="5">
        <f t="shared" si="40"/>
        <v>531.66666666666663</v>
      </c>
      <c r="J158" s="5">
        <f t="shared" si="41"/>
        <v>481.66666666666663</v>
      </c>
      <c r="K158">
        <v>28</v>
      </c>
      <c r="N158" s="51">
        <f>561</f>
        <v>561</v>
      </c>
      <c r="P158" t="s">
        <v>883</v>
      </c>
      <c r="Q158" t="s">
        <v>64</v>
      </c>
    </row>
    <row r="159" spans="1:17">
      <c r="A159" s="80" t="s">
        <v>826</v>
      </c>
      <c r="B159" s="4">
        <v>10</v>
      </c>
      <c r="C159" s="4">
        <v>15</v>
      </c>
      <c r="D159" s="4">
        <v>65</v>
      </c>
      <c r="E159" s="4">
        <v>1</v>
      </c>
      <c r="F159" s="4">
        <v>50</v>
      </c>
      <c r="G159" s="10">
        <f t="shared" si="37"/>
        <v>10.25</v>
      </c>
      <c r="H159" s="4">
        <v>50</v>
      </c>
      <c r="I159" s="5">
        <f t="shared" si="40"/>
        <v>666.25</v>
      </c>
      <c r="J159" s="5">
        <f t="shared" si="41"/>
        <v>616.25</v>
      </c>
      <c r="K159">
        <v>39</v>
      </c>
      <c r="N159" s="51">
        <f>854</f>
        <v>854</v>
      </c>
      <c r="P159" t="s">
        <v>884</v>
      </c>
    </row>
    <row r="160" spans="1:17">
      <c r="A160" s="80" t="s">
        <v>828</v>
      </c>
      <c r="B160" s="4">
        <v>9</v>
      </c>
      <c r="C160" s="4">
        <v>26</v>
      </c>
      <c r="D160" s="4">
        <v>65</v>
      </c>
      <c r="E160" s="4">
        <v>1</v>
      </c>
      <c r="F160" s="4">
        <v>50</v>
      </c>
      <c r="G160" s="10">
        <f t="shared" si="37"/>
        <v>9.4333333333333336</v>
      </c>
      <c r="H160" s="4">
        <v>50</v>
      </c>
      <c r="I160" s="5">
        <f t="shared" si="40"/>
        <v>613.16666666666663</v>
      </c>
      <c r="J160" s="5">
        <f t="shared" si="41"/>
        <v>563.16666666666663</v>
      </c>
      <c r="K160">
        <v>36</v>
      </c>
      <c r="N160" s="51">
        <v>810</v>
      </c>
      <c r="P160" t="s">
        <v>885</v>
      </c>
    </row>
    <row r="161" spans="1:17">
      <c r="A161" s="80" t="s">
        <v>830</v>
      </c>
      <c r="B161" s="4">
        <v>9</v>
      </c>
      <c r="C161" s="4">
        <v>9</v>
      </c>
      <c r="D161" s="4">
        <v>65</v>
      </c>
      <c r="E161" s="4">
        <v>1</v>
      </c>
      <c r="F161" s="4">
        <v>50</v>
      </c>
      <c r="G161" s="10">
        <f t="shared" si="37"/>
        <v>9.15</v>
      </c>
      <c r="H161" s="4">
        <v>50</v>
      </c>
      <c r="I161" s="5">
        <f t="shared" si="40"/>
        <v>594.75</v>
      </c>
      <c r="J161" s="5">
        <f t="shared" si="41"/>
        <v>544.75</v>
      </c>
      <c r="K161">
        <v>35</v>
      </c>
      <c r="N161" s="51">
        <v>880</v>
      </c>
      <c r="P161" t="s">
        <v>886</v>
      </c>
    </row>
    <row r="162" spans="1:17">
      <c r="A162" s="80" t="s">
        <v>831</v>
      </c>
      <c r="B162" s="4">
        <v>9</v>
      </c>
      <c r="C162" s="4">
        <v>34</v>
      </c>
      <c r="D162" s="4">
        <v>65</v>
      </c>
      <c r="E162" s="4">
        <v>1</v>
      </c>
      <c r="F162" s="4">
        <v>50</v>
      </c>
      <c r="G162" s="10">
        <f t="shared" si="37"/>
        <v>9.5666666666666664</v>
      </c>
      <c r="H162" s="4">
        <v>50</v>
      </c>
      <c r="I162" s="5">
        <f t="shared" si="40"/>
        <v>621.83333333333337</v>
      </c>
      <c r="J162" s="5">
        <f t="shared" si="41"/>
        <v>571.83333333333337</v>
      </c>
      <c r="K162">
        <v>39</v>
      </c>
      <c r="N162" s="51">
        <v>919</v>
      </c>
      <c r="P162" t="s">
        <v>887</v>
      </c>
    </row>
    <row r="163" spans="1:17" ht="19">
      <c r="A163" s="91" t="s">
        <v>888</v>
      </c>
      <c r="B163" s="8">
        <f>SUM(B164:B170)</f>
        <v>15</v>
      </c>
      <c r="C163" s="8">
        <f>SUM(C164:C170)</f>
        <v>23</v>
      </c>
      <c r="D163" s="8">
        <f>SUM(D164)</f>
        <v>45</v>
      </c>
      <c r="E163" s="8">
        <f>SUM(E164:E170)</f>
        <v>7</v>
      </c>
      <c r="F163" s="8">
        <f>SUM(F164:F170)</f>
        <v>350</v>
      </c>
      <c r="G163" s="93">
        <f t="shared" si="37"/>
        <v>15.383333333333333</v>
      </c>
      <c r="H163" s="92">
        <f>SUM(H164:H170)</f>
        <v>100</v>
      </c>
      <c r="I163" s="9">
        <f>SUM(I164:I170)</f>
        <v>692.25</v>
      </c>
      <c r="J163" s="14">
        <f>SUM(J164:J170)</f>
        <v>592.25</v>
      </c>
      <c r="K163" s="8">
        <f>SUM(K164:K170)</f>
        <v>25</v>
      </c>
      <c r="L163" s="9">
        <v>0</v>
      </c>
      <c r="M163" s="96">
        <f>J163</f>
        <v>592.25</v>
      </c>
      <c r="N163" s="102">
        <f>SUM(N164:N170)</f>
        <v>340</v>
      </c>
      <c r="O163" s="98">
        <f>482-N163</f>
        <v>142</v>
      </c>
      <c r="P163" s="86"/>
      <c r="Q163" s="86"/>
    </row>
    <row r="164" spans="1:17">
      <c r="A164" s="6">
        <v>46132</v>
      </c>
      <c r="B164" s="4">
        <v>0</v>
      </c>
      <c r="C164" s="4">
        <v>0</v>
      </c>
      <c r="D164" s="4">
        <v>45</v>
      </c>
      <c r="E164" s="4">
        <v>1</v>
      </c>
      <c r="F164" s="4">
        <v>50</v>
      </c>
      <c r="G164" s="144">
        <f t="shared" si="37"/>
        <v>0</v>
      </c>
      <c r="H164" s="167">
        <v>0</v>
      </c>
      <c r="I164" s="142">
        <f t="shared" ref="I164:I170" si="42">G164*D164</f>
        <v>0</v>
      </c>
      <c r="J164" s="5">
        <f t="shared" ref="J164:J170" si="43">I164-H164</f>
        <v>0</v>
      </c>
      <c r="K164">
        <v>0</v>
      </c>
      <c r="N164" s="51">
        <v>0</v>
      </c>
      <c r="O164" s="51"/>
      <c r="P164" s="115"/>
    </row>
    <row r="165" spans="1:17">
      <c r="A165" s="6">
        <v>46133</v>
      </c>
      <c r="B165" s="4">
        <v>0</v>
      </c>
      <c r="C165" s="4">
        <v>0</v>
      </c>
      <c r="D165" s="4">
        <v>65</v>
      </c>
      <c r="E165" s="4">
        <v>1</v>
      </c>
      <c r="F165" s="4">
        <v>50</v>
      </c>
      <c r="G165" s="144">
        <f t="shared" si="37"/>
        <v>0</v>
      </c>
      <c r="H165" s="167">
        <v>0</v>
      </c>
      <c r="I165" s="142">
        <f t="shared" si="42"/>
        <v>0</v>
      </c>
      <c r="J165" s="5">
        <f t="shared" si="43"/>
        <v>0</v>
      </c>
      <c r="K165">
        <v>0</v>
      </c>
      <c r="N165" s="51">
        <v>0</v>
      </c>
    </row>
    <row r="166" spans="1:17">
      <c r="A166" s="6">
        <v>46134</v>
      </c>
      <c r="B166" s="4">
        <v>0</v>
      </c>
      <c r="C166" s="4">
        <v>0</v>
      </c>
      <c r="D166" s="4">
        <v>65</v>
      </c>
      <c r="E166" s="4">
        <v>1</v>
      </c>
      <c r="F166" s="4">
        <v>50</v>
      </c>
      <c r="G166" s="144">
        <f t="shared" si="37"/>
        <v>0</v>
      </c>
      <c r="H166" s="167">
        <v>0</v>
      </c>
      <c r="I166" s="142">
        <f t="shared" si="42"/>
        <v>0</v>
      </c>
      <c r="J166" s="5">
        <f t="shared" si="43"/>
        <v>0</v>
      </c>
      <c r="K166">
        <v>0</v>
      </c>
      <c r="N166" s="51">
        <v>0</v>
      </c>
      <c r="Q166" t="s">
        <v>64</v>
      </c>
    </row>
    <row r="167" spans="1:17">
      <c r="A167" s="6">
        <v>46135</v>
      </c>
      <c r="B167" s="4">
        <v>0</v>
      </c>
      <c r="C167" s="4">
        <v>0</v>
      </c>
      <c r="D167" s="4">
        <v>45</v>
      </c>
      <c r="E167" s="4">
        <v>1</v>
      </c>
      <c r="F167" s="4">
        <v>50</v>
      </c>
      <c r="G167" s="144">
        <f t="shared" si="37"/>
        <v>0</v>
      </c>
      <c r="H167" s="167">
        <v>0</v>
      </c>
      <c r="I167" s="142">
        <f t="shared" si="42"/>
        <v>0</v>
      </c>
      <c r="J167" s="5">
        <f t="shared" si="43"/>
        <v>0</v>
      </c>
      <c r="K167">
        <v>0</v>
      </c>
      <c r="N167" s="51">
        <v>0</v>
      </c>
    </row>
    <row r="168" spans="1:17">
      <c r="A168" s="6">
        <v>46136</v>
      </c>
      <c r="B168" s="4">
        <v>0</v>
      </c>
      <c r="C168" s="4">
        <v>0</v>
      </c>
      <c r="D168" s="4">
        <v>45</v>
      </c>
      <c r="E168" s="4">
        <v>1</v>
      </c>
      <c r="F168" s="4">
        <v>50</v>
      </c>
      <c r="G168" s="144">
        <f t="shared" si="37"/>
        <v>0</v>
      </c>
      <c r="H168" s="167">
        <v>0</v>
      </c>
      <c r="I168" s="142">
        <f t="shared" si="42"/>
        <v>0</v>
      </c>
      <c r="J168" s="5">
        <f t="shared" si="43"/>
        <v>0</v>
      </c>
      <c r="K168">
        <v>0</v>
      </c>
      <c r="N168" s="51">
        <v>0</v>
      </c>
    </row>
    <row r="169" spans="1:17">
      <c r="A169" s="6">
        <v>46137</v>
      </c>
      <c r="B169" s="4">
        <v>7</v>
      </c>
      <c r="C169" s="4">
        <v>12</v>
      </c>
      <c r="D169" s="4">
        <v>45</v>
      </c>
      <c r="E169" s="4">
        <v>1</v>
      </c>
      <c r="F169" s="4">
        <v>50</v>
      </c>
      <c r="G169" s="10">
        <f t="shared" si="37"/>
        <v>7.2</v>
      </c>
      <c r="H169" s="141">
        <v>50</v>
      </c>
      <c r="I169" s="5">
        <f t="shared" si="42"/>
        <v>324</v>
      </c>
      <c r="J169" s="5">
        <f t="shared" si="43"/>
        <v>274</v>
      </c>
      <c r="K169">
        <v>10</v>
      </c>
      <c r="N169" s="51">
        <v>0</v>
      </c>
    </row>
    <row r="170" spans="1:17">
      <c r="A170" s="6">
        <v>46138</v>
      </c>
      <c r="B170" s="4">
        <v>8</v>
      </c>
      <c r="C170" s="4">
        <v>11</v>
      </c>
      <c r="D170" s="4">
        <v>45</v>
      </c>
      <c r="E170" s="4">
        <v>1</v>
      </c>
      <c r="F170" s="4">
        <v>50</v>
      </c>
      <c r="G170" s="10">
        <f t="shared" si="37"/>
        <v>8.1833333333333336</v>
      </c>
      <c r="H170" s="4">
        <v>50</v>
      </c>
      <c r="I170" s="5">
        <f t="shared" si="42"/>
        <v>368.25</v>
      </c>
      <c r="J170" s="5">
        <f t="shared" si="43"/>
        <v>318.25</v>
      </c>
      <c r="K170">
        <v>15</v>
      </c>
      <c r="N170" s="51">
        <v>340</v>
      </c>
    </row>
    <row r="171" spans="1:17" ht="19">
      <c r="A171" s="91" t="s">
        <v>889</v>
      </c>
      <c r="B171" s="8">
        <f>SUM(B172:B177)</f>
        <v>49</v>
      </c>
      <c r="C171" s="8">
        <f>SUM(C172:C177)</f>
        <v>208</v>
      </c>
      <c r="D171" s="126">
        <f>SUM(D172)</f>
        <v>55</v>
      </c>
      <c r="E171" s="126">
        <f>SUM(E172:E177)</f>
        <v>6</v>
      </c>
      <c r="F171" s="126">
        <f>SUM(F172:F177)</f>
        <v>300</v>
      </c>
      <c r="G171" s="123">
        <f t="shared" si="37"/>
        <v>52.466666666666669</v>
      </c>
      <c r="H171" s="8">
        <f>SUM(H172:H177)</f>
        <v>300</v>
      </c>
      <c r="I171" s="14">
        <f>SUM(I172:I177)</f>
        <v>2553.5</v>
      </c>
      <c r="J171" s="14">
        <f>SUM(J172:J177)</f>
        <v>2253.5</v>
      </c>
      <c r="K171" s="176">
        <f>SUM(K172:K177)</f>
        <v>151</v>
      </c>
      <c r="L171" s="9">
        <v>0</v>
      </c>
      <c r="M171" s="96">
        <f>J171</f>
        <v>2253.5</v>
      </c>
      <c r="N171" s="102">
        <f>SUM(N172:N177)</f>
        <v>2553</v>
      </c>
      <c r="O171" s="98">
        <f>3486-N171</f>
        <v>933</v>
      </c>
      <c r="P171" s="86"/>
      <c r="Q171" s="86"/>
    </row>
    <row r="172" spans="1:17">
      <c r="A172" s="80" t="s">
        <v>820</v>
      </c>
      <c r="B172" s="4">
        <v>9</v>
      </c>
      <c r="C172" s="4">
        <v>52</v>
      </c>
      <c r="D172" s="4">
        <v>55</v>
      </c>
      <c r="E172" s="4">
        <v>1</v>
      </c>
      <c r="F172" s="4">
        <v>50</v>
      </c>
      <c r="G172" s="10">
        <f t="shared" si="37"/>
        <v>9.8666666666666671</v>
      </c>
      <c r="H172" s="4">
        <v>50</v>
      </c>
      <c r="I172" s="5">
        <f t="shared" ref="I172:I177" si="44">G172*D172</f>
        <v>542.66666666666674</v>
      </c>
      <c r="J172" s="5">
        <f t="shared" ref="J172:J177" si="45">I172-H172</f>
        <v>492.66666666666674</v>
      </c>
      <c r="K172">
        <v>27</v>
      </c>
      <c r="N172" s="51">
        <f>532</f>
        <v>532</v>
      </c>
      <c r="O172" s="51"/>
    </row>
    <row r="173" spans="1:17">
      <c r="A173" s="80" t="s">
        <v>822</v>
      </c>
      <c r="B173" s="4">
        <v>8</v>
      </c>
      <c r="C173" s="4">
        <v>36</v>
      </c>
      <c r="D173" s="4">
        <v>45</v>
      </c>
      <c r="E173" s="4">
        <v>1</v>
      </c>
      <c r="F173" s="4">
        <v>50</v>
      </c>
      <c r="G173" s="10">
        <f t="shared" si="37"/>
        <v>8.6</v>
      </c>
      <c r="H173" s="4">
        <v>50</v>
      </c>
      <c r="I173" s="5">
        <f t="shared" si="44"/>
        <v>387</v>
      </c>
      <c r="J173" s="5">
        <f t="shared" si="45"/>
        <v>337</v>
      </c>
      <c r="K173">
        <v>24</v>
      </c>
      <c r="N173" s="51">
        <f>165+200</f>
        <v>365</v>
      </c>
      <c r="P173" t="s">
        <v>890</v>
      </c>
    </row>
    <row r="174" spans="1:17">
      <c r="A174" s="80" t="s">
        <v>824</v>
      </c>
      <c r="B174" s="4">
        <v>8</v>
      </c>
      <c r="C174" s="4">
        <v>42</v>
      </c>
      <c r="D174" s="4">
        <v>45</v>
      </c>
      <c r="E174" s="4">
        <v>1</v>
      </c>
      <c r="F174" s="4">
        <v>50</v>
      </c>
      <c r="G174" s="10">
        <f t="shared" si="37"/>
        <v>8.6999999999999993</v>
      </c>
      <c r="H174" s="4">
        <v>50</v>
      </c>
      <c r="I174" s="5">
        <f t="shared" si="44"/>
        <v>391.49999999999994</v>
      </c>
      <c r="J174" s="5">
        <f t="shared" si="45"/>
        <v>341.49999999999994</v>
      </c>
      <c r="K174">
        <v>25</v>
      </c>
      <c r="N174" s="51">
        <v>329</v>
      </c>
      <c r="P174" t="s">
        <v>891</v>
      </c>
    </row>
    <row r="175" spans="1:17">
      <c r="A175" s="80" t="s">
        <v>826</v>
      </c>
      <c r="B175" s="4">
        <v>9</v>
      </c>
      <c r="C175" s="4">
        <v>33</v>
      </c>
      <c r="D175" s="4">
        <v>45</v>
      </c>
      <c r="E175" s="4">
        <v>1</v>
      </c>
      <c r="F175" s="4">
        <v>50</v>
      </c>
      <c r="G175" s="10">
        <f t="shared" si="37"/>
        <v>9.5500000000000007</v>
      </c>
      <c r="H175" s="4">
        <v>50</v>
      </c>
      <c r="I175" s="5">
        <f t="shared" si="44"/>
        <v>429.75000000000006</v>
      </c>
      <c r="J175" s="5">
        <f t="shared" si="45"/>
        <v>379.75000000000006</v>
      </c>
      <c r="K175">
        <v>25</v>
      </c>
      <c r="N175" s="51">
        <f>512</f>
        <v>512</v>
      </c>
      <c r="P175" t="s">
        <v>892</v>
      </c>
    </row>
    <row r="176" spans="1:17">
      <c r="A176" s="80" t="s">
        <v>828</v>
      </c>
      <c r="B176" s="4">
        <v>9</v>
      </c>
      <c r="C176" s="4">
        <v>23</v>
      </c>
      <c r="D176" s="4">
        <v>55</v>
      </c>
      <c r="E176" s="4">
        <v>1</v>
      </c>
      <c r="F176" s="4">
        <v>50</v>
      </c>
      <c r="G176" s="10">
        <f t="shared" si="37"/>
        <v>9.3833333333333329</v>
      </c>
      <c r="H176" s="4">
        <v>50</v>
      </c>
      <c r="I176" s="5">
        <f t="shared" si="44"/>
        <v>516.08333333333326</v>
      </c>
      <c r="J176" s="5">
        <f t="shared" si="45"/>
        <v>466.08333333333326</v>
      </c>
      <c r="K176">
        <v>28</v>
      </c>
      <c r="N176" s="51">
        <f>349+150</f>
        <v>499</v>
      </c>
      <c r="P176" t="s">
        <v>843</v>
      </c>
    </row>
    <row r="177" spans="1:17">
      <c r="A177" s="80" t="s">
        <v>830</v>
      </c>
      <c r="B177" s="4">
        <v>6</v>
      </c>
      <c r="C177" s="4">
        <v>22</v>
      </c>
      <c r="D177" s="4">
        <v>45</v>
      </c>
      <c r="E177" s="4">
        <v>1</v>
      </c>
      <c r="F177" s="4">
        <v>50</v>
      </c>
      <c r="G177" s="10">
        <f t="shared" si="37"/>
        <v>6.3666666666666663</v>
      </c>
      <c r="H177" s="4">
        <v>50</v>
      </c>
      <c r="I177" s="5">
        <f t="shared" si="44"/>
        <v>286.5</v>
      </c>
      <c r="J177" s="5">
        <f t="shared" si="45"/>
        <v>236.5</v>
      </c>
      <c r="K177">
        <v>22</v>
      </c>
      <c r="N177" s="51">
        <v>316</v>
      </c>
      <c r="P177" t="s">
        <v>893</v>
      </c>
    </row>
    <row r="178" spans="1:17" ht="19">
      <c r="A178" s="91" t="s">
        <v>894</v>
      </c>
      <c r="B178" s="8">
        <f>SUM(B179:B185)</f>
        <v>10</v>
      </c>
      <c r="C178" s="8">
        <f>SUM(C179:C185)</f>
        <v>1</v>
      </c>
      <c r="D178" s="126">
        <f>SUM(D179)</f>
        <v>65</v>
      </c>
      <c r="E178" s="126">
        <f>SUM(E179:E185)</f>
        <v>1</v>
      </c>
      <c r="F178" s="126">
        <f>SUM(F179:F185)</f>
        <v>350</v>
      </c>
      <c r="G178" s="123">
        <f t="shared" si="37"/>
        <v>10.016666666666667</v>
      </c>
      <c r="H178" s="8">
        <f>SUM(H179:H185)</f>
        <v>50</v>
      </c>
      <c r="I178" s="14">
        <f>SUM(I179:I185)</f>
        <v>651.08333333333337</v>
      </c>
      <c r="J178" s="14">
        <f>SUM(J179:J185)</f>
        <v>601.08333333333337</v>
      </c>
      <c r="K178" s="8">
        <f>SUM(K179:K185)</f>
        <v>33</v>
      </c>
      <c r="L178" s="9">
        <v>0</v>
      </c>
      <c r="M178" s="96">
        <f>J178</f>
        <v>601.08333333333337</v>
      </c>
      <c r="N178" s="102">
        <f>SUM(N179:N185)</f>
        <v>958</v>
      </c>
      <c r="O178" s="98">
        <f>958-N178</f>
        <v>0</v>
      </c>
      <c r="P178" s="86"/>
      <c r="Q178" s="86"/>
    </row>
    <row r="179" spans="1:17">
      <c r="A179" s="80" t="s">
        <v>820</v>
      </c>
      <c r="B179" s="4">
        <v>10</v>
      </c>
      <c r="C179" s="4">
        <v>1</v>
      </c>
      <c r="D179" s="4">
        <v>65</v>
      </c>
      <c r="E179" s="4">
        <v>1</v>
      </c>
      <c r="F179" s="4">
        <v>50</v>
      </c>
      <c r="G179" s="10">
        <f t="shared" ref="G179:G210" si="46">B179+C179/60</f>
        <v>10.016666666666667</v>
      </c>
      <c r="H179" s="4">
        <v>50</v>
      </c>
      <c r="I179" s="5">
        <f>G179*D179</f>
        <v>651.08333333333337</v>
      </c>
      <c r="J179" s="5">
        <f>I179-H179</f>
        <v>601.08333333333337</v>
      </c>
      <c r="K179">
        <v>33</v>
      </c>
      <c r="N179" s="51">
        <f>958</f>
        <v>958</v>
      </c>
      <c r="O179" s="51"/>
    </row>
    <row r="180" spans="1:17">
      <c r="A180" s="80" t="s">
        <v>822</v>
      </c>
      <c r="B180" s="4">
        <v>0</v>
      </c>
      <c r="C180" s="4">
        <v>0</v>
      </c>
      <c r="D180" s="4">
        <v>55</v>
      </c>
      <c r="E180" s="4">
        <v>0</v>
      </c>
      <c r="F180" s="4">
        <v>50</v>
      </c>
      <c r="G180" s="10">
        <f t="shared" si="46"/>
        <v>0</v>
      </c>
      <c r="H180" s="4">
        <v>0</v>
      </c>
      <c r="I180" s="5">
        <f>G180*D180</f>
        <v>0</v>
      </c>
      <c r="J180" s="5">
        <f>I180-H180</f>
        <v>0</v>
      </c>
      <c r="K180">
        <v>0</v>
      </c>
      <c r="N180" s="83">
        <v>0</v>
      </c>
    </row>
    <row r="181" spans="1:17">
      <c r="A181" s="80" t="s">
        <v>824</v>
      </c>
      <c r="B181" s="4">
        <v>0</v>
      </c>
      <c r="C181" s="4">
        <v>0</v>
      </c>
      <c r="D181" s="4">
        <v>45</v>
      </c>
      <c r="E181" s="4">
        <v>0</v>
      </c>
      <c r="F181" s="4">
        <v>50</v>
      </c>
      <c r="G181" s="10">
        <f t="shared" si="46"/>
        <v>0</v>
      </c>
      <c r="H181" s="4">
        <v>0</v>
      </c>
      <c r="I181" s="5">
        <v>0</v>
      </c>
      <c r="J181" s="5">
        <f>I181-H181</f>
        <v>0</v>
      </c>
      <c r="K181">
        <v>0</v>
      </c>
      <c r="N181" s="83">
        <v>0</v>
      </c>
      <c r="Q181" t="s">
        <v>64</v>
      </c>
    </row>
    <row r="182" spans="1:17">
      <c r="A182" s="80" t="s">
        <v>826</v>
      </c>
      <c r="B182" s="4">
        <v>0</v>
      </c>
      <c r="C182" s="4">
        <v>0</v>
      </c>
      <c r="D182" s="4">
        <v>45</v>
      </c>
      <c r="E182" s="4">
        <v>0</v>
      </c>
      <c r="F182" s="4">
        <v>50</v>
      </c>
      <c r="G182" s="10">
        <f t="shared" si="46"/>
        <v>0</v>
      </c>
      <c r="H182" s="4">
        <v>0</v>
      </c>
      <c r="I182" s="5">
        <f>G182*D182</f>
        <v>0</v>
      </c>
      <c r="J182" s="5"/>
      <c r="K182">
        <v>0</v>
      </c>
      <c r="N182" s="83">
        <v>0</v>
      </c>
    </row>
    <row r="183" spans="1:17">
      <c r="A183" s="80" t="s">
        <v>828</v>
      </c>
      <c r="B183" s="4">
        <v>0</v>
      </c>
      <c r="C183" s="4">
        <v>0</v>
      </c>
      <c r="D183" s="4">
        <v>45</v>
      </c>
      <c r="E183" s="4">
        <v>0</v>
      </c>
      <c r="F183" s="4">
        <v>50</v>
      </c>
      <c r="G183" s="10">
        <f t="shared" si="46"/>
        <v>0</v>
      </c>
      <c r="H183" s="4">
        <v>0</v>
      </c>
      <c r="I183" s="5">
        <f>G183*D183</f>
        <v>0</v>
      </c>
      <c r="J183" s="5">
        <f>I183-H183</f>
        <v>0</v>
      </c>
      <c r="K183">
        <v>0</v>
      </c>
      <c r="N183" s="51">
        <v>0</v>
      </c>
    </row>
    <row r="184" spans="1:17">
      <c r="A184" s="80" t="s">
        <v>830</v>
      </c>
      <c r="B184" s="4">
        <v>0</v>
      </c>
      <c r="C184" s="4">
        <v>0</v>
      </c>
      <c r="D184" s="4">
        <v>45</v>
      </c>
      <c r="E184" s="4">
        <v>0</v>
      </c>
      <c r="F184" s="4">
        <v>50</v>
      </c>
      <c r="G184" s="10">
        <f t="shared" si="46"/>
        <v>0</v>
      </c>
      <c r="H184" s="4">
        <v>0</v>
      </c>
      <c r="I184" s="5">
        <f>G184*D184</f>
        <v>0</v>
      </c>
      <c r="J184" s="5">
        <f>I184-H184</f>
        <v>0</v>
      </c>
      <c r="K184">
        <v>0</v>
      </c>
      <c r="N184" s="51">
        <v>0</v>
      </c>
    </row>
    <row r="185" spans="1:17">
      <c r="A185" s="80" t="s">
        <v>831</v>
      </c>
      <c r="B185" s="4">
        <v>0</v>
      </c>
      <c r="C185" s="4">
        <v>0</v>
      </c>
      <c r="D185" s="4">
        <v>45</v>
      </c>
      <c r="E185" s="4">
        <v>0</v>
      </c>
      <c r="F185" s="4">
        <v>50</v>
      </c>
      <c r="G185" s="10">
        <f t="shared" si="46"/>
        <v>0</v>
      </c>
      <c r="H185" s="4">
        <v>0</v>
      </c>
      <c r="I185" s="5">
        <f>G185*D185</f>
        <v>0</v>
      </c>
      <c r="J185" s="5">
        <f>I185-H185</f>
        <v>0</v>
      </c>
      <c r="K185">
        <v>0</v>
      </c>
      <c r="N185" s="51">
        <v>0</v>
      </c>
    </row>
    <row r="186" spans="1:17" ht="19">
      <c r="A186" s="91" t="s">
        <v>895</v>
      </c>
      <c r="B186" s="8">
        <f>SUM(B187:B193)</f>
        <v>66</v>
      </c>
      <c r="C186" s="8">
        <f>SUM(C187:C193)</f>
        <v>127</v>
      </c>
      <c r="D186" s="126">
        <f>SUM(D187)</f>
        <v>65</v>
      </c>
      <c r="E186" s="126">
        <f>SUM(E187:E193)</f>
        <v>7</v>
      </c>
      <c r="F186" s="126">
        <f>SUM(F187:F193)</f>
        <v>350</v>
      </c>
      <c r="G186" s="123">
        <f t="shared" si="46"/>
        <v>68.11666666666666</v>
      </c>
      <c r="H186" s="8">
        <f>SUM(H187:H193)</f>
        <v>350</v>
      </c>
      <c r="I186" s="14">
        <f>SUM(I187:I193)</f>
        <v>4427.583333333333</v>
      </c>
      <c r="J186" s="14">
        <f>SUM(J187:J193)</f>
        <v>4077.583333333333</v>
      </c>
      <c r="K186" s="8">
        <f>SUM(K187:K193)</f>
        <v>236</v>
      </c>
      <c r="L186" s="9">
        <v>300</v>
      </c>
      <c r="M186" s="96">
        <f>J186+L186</f>
        <v>4377.583333333333</v>
      </c>
      <c r="N186" s="102">
        <f>SUM(N187:N193)</f>
        <v>4591.5</v>
      </c>
      <c r="O186" s="98">
        <f>4967-N186</f>
        <v>375.5</v>
      </c>
      <c r="P186" s="86"/>
      <c r="Q186" s="86"/>
    </row>
    <row r="187" spans="1:17">
      <c r="A187" s="80" t="s">
        <v>820</v>
      </c>
      <c r="B187" s="4">
        <v>11</v>
      </c>
      <c r="C187" s="4">
        <v>0</v>
      </c>
      <c r="D187" s="4">
        <v>65</v>
      </c>
      <c r="E187" s="4">
        <v>1</v>
      </c>
      <c r="F187" s="4">
        <v>50</v>
      </c>
      <c r="G187" s="10">
        <f t="shared" si="46"/>
        <v>11</v>
      </c>
      <c r="H187" s="4">
        <v>50</v>
      </c>
      <c r="I187" s="5">
        <f t="shared" ref="I187:I193" si="47">G187*D187</f>
        <v>715</v>
      </c>
      <c r="J187" s="5">
        <f t="shared" ref="J187:J193" si="48">I187-H187</f>
        <v>665</v>
      </c>
      <c r="K187">
        <v>32</v>
      </c>
      <c r="N187" s="51">
        <f>597</f>
        <v>597</v>
      </c>
      <c r="O187" s="51"/>
    </row>
    <row r="188" spans="1:17">
      <c r="A188" s="80" t="s">
        <v>822</v>
      </c>
      <c r="B188" s="4">
        <v>10</v>
      </c>
      <c r="C188" s="4">
        <v>11</v>
      </c>
      <c r="D188" s="4">
        <v>65</v>
      </c>
      <c r="E188" s="4">
        <v>1</v>
      </c>
      <c r="F188" s="4">
        <v>50</v>
      </c>
      <c r="G188" s="10">
        <f t="shared" si="46"/>
        <v>10.183333333333334</v>
      </c>
      <c r="H188" s="4">
        <v>50</v>
      </c>
      <c r="I188" s="5">
        <f t="shared" si="47"/>
        <v>661.91666666666663</v>
      </c>
      <c r="J188" s="5">
        <f t="shared" si="48"/>
        <v>611.91666666666663</v>
      </c>
      <c r="K188">
        <v>32</v>
      </c>
      <c r="N188" s="83">
        <f>500</f>
        <v>500</v>
      </c>
      <c r="P188" t="s">
        <v>896</v>
      </c>
      <c r="Q188" t="s">
        <v>897</v>
      </c>
    </row>
    <row r="189" spans="1:17">
      <c r="A189" s="80" t="s">
        <v>824</v>
      </c>
      <c r="B189" s="4">
        <v>11</v>
      </c>
      <c r="C189" s="4">
        <v>0</v>
      </c>
      <c r="D189" s="4">
        <v>65</v>
      </c>
      <c r="E189" s="4">
        <v>1</v>
      </c>
      <c r="F189" s="4">
        <v>50</v>
      </c>
      <c r="G189" s="10">
        <f t="shared" si="46"/>
        <v>11</v>
      </c>
      <c r="H189" s="4">
        <v>50</v>
      </c>
      <c r="I189" s="5">
        <f t="shared" si="47"/>
        <v>715</v>
      </c>
      <c r="J189" s="5">
        <f t="shared" si="48"/>
        <v>665</v>
      </c>
      <c r="K189">
        <v>33</v>
      </c>
      <c r="N189" s="83">
        <f>741</f>
        <v>741</v>
      </c>
    </row>
    <row r="190" spans="1:17">
      <c r="A190" s="80" t="s">
        <v>826</v>
      </c>
      <c r="B190" s="4">
        <v>9</v>
      </c>
      <c r="C190" s="4">
        <v>44</v>
      </c>
      <c r="D190" s="4">
        <v>65</v>
      </c>
      <c r="E190" s="4">
        <v>1</v>
      </c>
      <c r="F190" s="4">
        <v>50</v>
      </c>
      <c r="G190" s="10">
        <f t="shared" si="46"/>
        <v>9.7333333333333325</v>
      </c>
      <c r="H190" s="4">
        <v>50</v>
      </c>
      <c r="I190" s="5">
        <f t="shared" si="47"/>
        <v>632.66666666666663</v>
      </c>
      <c r="J190" s="5">
        <f t="shared" si="48"/>
        <v>582.66666666666663</v>
      </c>
      <c r="K190">
        <v>32</v>
      </c>
      <c r="N190" s="83">
        <f>736</f>
        <v>736</v>
      </c>
      <c r="P190" t="s">
        <v>898</v>
      </c>
    </row>
    <row r="191" spans="1:17">
      <c r="A191" s="80" t="s">
        <v>828</v>
      </c>
      <c r="B191" s="4">
        <v>9</v>
      </c>
      <c r="C191" s="4">
        <v>22</v>
      </c>
      <c r="D191" s="4">
        <v>65</v>
      </c>
      <c r="E191" s="4">
        <v>1</v>
      </c>
      <c r="F191" s="4">
        <v>50</v>
      </c>
      <c r="G191" s="10">
        <f t="shared" si="46"/>
        <v>9.3666666666666671</v>
      </c>
      <c r="H191" s="4">
        <v>50</v>
      </c>
      <c r="I191" s="5">
        <f t="shared" si="47"/>
        <v>608.83333333333337</v>
      </c>
      <c r="J191" s="5">
        <f t="shared" si="48"/>
        <v>558.83333333333337</v>
      </c>
      <c r="K191">
        <v>38</v>
      </c>
      <c r="N191" s="51">
        <v>1074</v>
      </c>
      <c r="P191" t="s">
        <v>899</v>
      </c>
    </row>
    <row r="192" spans="1:17">
      <c r="A192" s="80" t="s">
        <v>830</v>
      </c>
      <c r="B192" s="4">
        <v>9</v>
      </c>
      <c r="C192" s="4">
        <v>33</v>
      </c>
      <c r="D192" s="4">
        <v>65</v>
      </c>
      <c r="E192" s="4">
        <v>1</v>
      </c>
      <c r="F192" s="4">
        <v>50</v>
      </c>
      <c r="G192" s="10">
        <f t="shared" si="46"/>
        <v>9.5500000000000007</v>
      </c>
      <c r="H192" s="4">
        <v>50</v>
      </c>
      <c r="I192" s="5">
        <f t="shared" si="47"/>
        <v>620.75</v>
      </c>
      <c r="J192" s="5">
        <f t="shared" si="48"/>
        <v>570.75</v>
      </c>
      <c r="K192">
        <v>37</v>
      </c>
      <c r="N192" s="51">
        <v>943.5</v>
      </c>
      <c r="P192" t="s">
        <v>900</v>
      </c>
    </row>
    <row r="193" spans="1:17">
      <c r="A193" s="80" t="s">
        <v>831</v>
      </c>
      <c r="B193" s="4">
        <v>7</v>
      </c>
      <c r="C193" s="4">
        <v>17</v>
      </c>
      <c r="D193" s="4">
        <v>65</v>
      </c>
      <c r="E193" s="4">
        <v>1</v>
      </c>
      <c r="F193" s="4">
        <v>50</v>
      </c>
      <c r="G193" s="10">
        <f t="shared" si="46"/>
        <v>7.2833333333333332</v>
      </c>
      <c r="H193" s="4">
        <v>50</v>
      </c>
      <c r="I193" s="5">
        <f t="shared" si="47"/>
        <v>473.41666666666669</v>
      </c>
      <c r="J193" s="5">
        <f t="shared" si="48"/>
        <v>423.41666666666669</v>
      </c>
      <c r="K193">
        <v>32</v>
      </c>
      <c r="N193" s="51">
        <v>0</v>
      </c>
      <c r="P193" t="s">
        <v>901</v>
      </c>
    </row>
    <row r="194" spans="1:17" ht="19">
      <c r="A194" s="91" t="s">
        <v>533</v>
      </c>
      <c r="B194" s="8">
        <f>SUM(B195:B201)</f>
        <v>36</v>
      </c>
      <c r="C194" s="8">
        <f>SUM(C195:C201)</f>
        <v>139</v>
      </c>
      <c r="D194" s="126">
        <f>SUM(D195)</f>
        <v>45</v>
      </c>
      <c r="E194" s="126">
        <f>SUM(E195:E201)</f>
        <v>5</v>
      </c>
      <c r="F194" s="126">
        <f>SUM(F195:F201)</f>
        <v>350</v>
      </c>
      <c r="G194" s="123">
        <f t="shared" si="46"/>
        <v>38.31666666666667</v>
      </c>
      <c r="H194" s="8">
        <f>SUM(H195:H201)</f>
        <v>250</v>
      </c>
      <c r="I194" s="14">
        <f>SUM(I195:I201)</f>
        <v>1918.5833333333335</v>
      </c>
      <c r="J194" s="14">
        <f>SUM(J195:J201)</f>
        <v>1668.5833333333335</v>
      </c>
      <c r="K194" s="8">
        <f>SUM(K195:K201)</f>
        <v>111</v>
      </c>
      <c r="L194" s="9">
        <v>0</v>
      </c>
      <c r="M194" s="96">
        <f>J194</f>
        <v>1668.5833333333335</v>
      </c>
      <c r="N194" s="102">
        <f>SUM(N195:N201)</f>
        <v>1902</v>
      </c>
      <c r="O194" s="98">
        <f>2084-N194</f>
        <v>182</v>
      </c>
      <c r="P194" s="86"/>
      <c r="Q194" s="86"/>
    </row>
    <row r="195" spans="1:17">
      <c r="A195" s="6">
        <v>46132</v>
      </c>
      <c r="B195" s="4">
        <v>0</v>
      </c>
      <c r="C195" s="4">
        <v>0</v>
      </c>
      <c r="D195" s="4">
        <v>45</v>
      </c>
      <c r="E195" s="4">
        <v>0</v>
      </c>
      <c r="F195" s="4">
        <v>50</v>
      </c>
      <c r="G195" s="10">
        <f t="shared" si="46"/>
        <v>0</v>
      </c>
      <c r="H195" s="4">
        <v>0</v>
      </c>
      <c r="I195" s="5">
        <f t="shared" ref="I195:I201" si="49">G195*D195</f>
        <v>0</v>
      </c>
      <c r="J195" s="5">
        <f t="shared" ref="J195:J201" si="50">I195-H195</f>
        <v>0</v>
      </c>
      <c r="K195">
        <v>0</v>
      </c>
      <c r="N195" s="51">
        <v>0</v>
      </c>
      <c r="O195" s="51"/>
    </row>
    <row r="196" spans="1:17">
      <c r="A196" s="6">
        <v>46133</v>
      </c>
      <c r="B196" s="4">
        <v>0</v>
      </c>
      <c r="C196" s="4">
        <v>0</v>
      </c>
      <c r="D196" s="4">
        <v>45</v>
      </c>
      <c r="E196" s="4">
        <v>0</v>
      </c>
      <c r="F196" s="4">
        <v>50</v>
      </c>
      <c r="G196" s="10">
        <f t="shared" si="46"/>
        <v>0</v>
      </c>
      <c r="H196" s="4">
        <v>0</v>
      </c>
      <c r="I196" s="5">
        <f t="shared" si="49"/>
        <v>0</v>
      </c>
      <c r="J196" s="5">
        <f t="shared" si="50"/>
        <v>0</v>
      </c>
      <c r="K196">
        <v>0</v>
      </c>
      <c r="N196" s="51">
        <v>0</v>
      </c>
    </row>
    <row r="197" spans="1:17">
      <c r="A197" s="6">
        <v>46134</v>
      </c>
      <c r="B197" s="4">
        <v>5</v>
      </c>
      <c r="C197" s="4">
        <v>24</v>
      </c>
      <c r="D197" s="4">
        <v>45</v>
      </c>
      <c r="E197" s="4">
        <v>1</v>
      </c>
      <c r="F197" s="4">
        <v>50</v>
      </c>
      <c r="G197" s="10">
        <f t="shared" si="46"/>
        <v>5.4</v>
      </c>
      <c r="H197" s="4">
        <v>50</v>
      </c>
      <c r="I197" s="5">
        <f t="shared" si="49"/>
        <v>243.00000000000003</v>
      </c>
      <c r="J197" s="5">
        <f t="shared" si="50"/>
        <v>193.00000000000003</v>
      </c>
      <c r="K197">
        <v>12</v>
      </c>
      <c r="N197" s="51">
        <v>345</v>
      </c>
    </row>
    <row r="198" spans="1:17">
      <c r="A198" s="80" t="s">
        <v>826</v>
      </c>
      <c r="B198" s="4">
        <v>10</v>
      </c>
      <c r="C198" s="4">
        <v>26</v>
      </c>
      <c r="D198" s="4">
        <v>45</v>
      </c>
      <c r="E198" s="4">
        <v>1</v>
      </c>
      <c r="F198" s="4">
        <v>50</v>
      </c>
      <c r="G198" s="10">
        <f t="shared" si="46"/>
        <v>10.433333333333334</v>
      </c>
      <c r="H198" s="4">
        <v>50</v>
      </c>
      <c r="I198" s="5">
        <f t="shared" si="49"/>
        <v>469.5</v>
      </c>
      <c r="J198" s="5">
        <f t="shared" si="50"/>
        <v>419.5</v>
      </c>
      <c r="K198">
        <v>26</v>
      </c>
      <c r="N198" s="51">
        <v>520</v>
      </c>
      <c r="P198" t="s">
        <v>902</v>
      </c>
    </row>
    <row r="199" spans="1:17">
      <c r="A199" s="80" t="s">
        <v>828</v>
      </c>
      <c r="B199" s="4">
        <v>9</v>
      </c>
      <c r="C199" s="4">
        <v>50</v>
      </c>
      <c r="D199" s="4">
        <v>55</v>
      </c>
      <c r="E199" s="4">
        <v>1</v>
      </c>
      <c r="F199" s="4">
        <v>50</v>
      </c>
      <c r="G199" s="10">
        <f t="shared" si="46"/>
        <v>9.8333333333333339</v>
      </c>
      <c r="H199" s="4">
        <v>50</v>
      </c>
      <c r="I199" s="5">
        <f t="shared" si="49"/>
        <v>540.83333333333337</v>
      </c>
      <c r="J199" s="5">
        <f t="shared" si="50"/>
        <v>490.83333333333337</v>
      </c>
      <c r="K199">
        <v>30</v>
      </c>
      <c r="N199" s="51">
        <v>440</v>
      </c>
      <c r="P199" t="s">
        <v>903</v>
      </c>
    </row>
    <row r="200" spans="1:17">
      <c r="A200" s="80" t="s">
        <v>830</v>
      </c>
      <c r="B200" s="4">
        <v>9</v>
      </c>
      <c r="C200" s="4">
        <v>36</v>
      </c>
      <c r="D200" s="4">
        <v>55</v>
      </c>
      <c r="E200" s="4">
        <v>1</v>
      </c>
      <c r="F200" s="4">
        <v>50</v>
      </c>
      <c r="G200" s="10">
        <f t="shared" si="46"/>
        <v>9.6</v>
      </c>
      <c r="H200" s="4">
        <v>50</v>
      </c>
      <c r="I200" s="5">
        <f t="shared" si="49"/>
        <v>528</v>
      </c>
      <c r="J200" s="5">
        <f t="shared" si="50"/>
        <v>478</v>
      </c>
      <c r="K200">
        <v>31</v>
      </c>
      <c r="N200" s="51">
        <v>500</v>
      </c>
      <c r="P200" t="s">
        <v>904</v>
      </c>
    </row>
    <row r="201" spans="1:17">
      <c r="A201" s="80" t="s">
        <v>831</v>
      </c>
      <c r="B201" s="4">
        <v>3</v>
      </c>
      <c r="C201" s="4">
        <v>3</v>
      </c>
      <c r="D201" s="4">
        <v>45</v>
      </c>
      <c r="E201" s="4">
        <v>1</v>
      </c>
      <c r="F201" s="4">
        <v>50</v>
      </c>
      <c r="G201" s="10">
        <f t="shared" si="46"/>
        <v>3.05</v>
      </c>
      <c r="H201" s="4">
        <v>50</v>
      </c>
      <c r="I201" s="5">
        <f t="shared" si="49"/>
        <v>137.25</v>
      </c>
      <c r="J201" s="5">
        <f t="shared" si="50"/>
        <v>87.25</v>
      </c>
      <c r="K201">
        <v>12</v>
      </c>
      <c r="N201" s="51">
        <v>97</v>
      </c>
      <c r="P201" t="s">
        <v>905</v>
      </c>
    </row>
    <row r="202" spans="1:17" ht="19">
      <c r="A202" s="91" t="s">
        <v>906</v>
      </c>
      <c r="B202" s="8">
        <f>SUM(B203:B209)</f>
        <v>14</v>
      </c>
      <c r="C202" s="8">
        <f>SUM(C203:C209)</f>
        <v>51</v>
      </c>
      <c r="D202" s="8">
        <f>SUM(D203)</f>
        <v>45</v>
      </c>
      <c r="E202" s="8">
        <f>SUM(E203:E209)</f>
        <v>6</v>
      </c>
      <c r="F202" s="8">
        <f>SUM(F203:F209)</f>
        <v>350</v>
      </c>
      <c r="G202" s="93">
        <f t="shared" si="46"/>
        <v>14.85</v>
      </c>
      <c r="H202" s="92">
        <f>SUM(H203:H209)</f>
        <v>100</v>
      </c>
      <c r="I202" s="9">
        <f>SUM(I203:I209)</f>
        <v>668.25</v>
      </c>
      <c r="J202" s="14">
        <f>SUM(J203:J209)</f>
        <v>568.25</v>
      </c>
      <c r="K202" s="8">
        <f>SUM(K203:K209)</f>
        <v>19</v>
      </c>
      <c r="L202" s="9">
        <v>0</v>
      </c>
      <c r="M202" s="96">
        <f>J202</f>
        <v>568.25</v>
      </c>
      <c r="N202" s="102">
        <f>SUM(N203:N209)</f>
        <v>622</v>
      </c>
      <c r="O202" s="98">
        <f>675-N202</f>
        <v>53</v>
      </c>
      <c r="P202" s="86"/>
      <c r="Q202" s="86"/>
    </row>
    <row r="203" spans="1:17">
      <c r="A203" s="6">
        <v>46132</v>
      </c>
      <c r="B203" s="4">
        <v>0</v>
      </c>
      <c r="C203" s="4">
        <v>0</v>
      </c>
      <c r="D203" s="4">
        <v>45</v>
      </c>
      <c r="E203" s="4">
        <v>1</v>
      </c>
      <c r="F203" s="4">
        <v>50</v>
      </c>
      <c r="G203" s="144">
        <f t="shared" si="46"/>
        <v>0</v>
      </c>
      <c r="H203" s="167">
        <v>0</v>
      </c>
      <c r="I203" s="142">
        <f t="shared" ref="I203:I209" si="51">G203*D203</f>
        <v>0</v>
      </c>
      <c r="J203" s="5">
        <f t="shared" ref="J203:J209" si="52">I203-H203</f>
        <v>0</v>
      </c>
      <c r="K203">
        <v>0</v>
      </c>
      <c r="N203" s="51">
        <v>0</v>
      </c>
      <c r="O203" s="51"/>
      <c r="P203" s="115"/>
    </row>
    <row r="204" spans="1:17">
      <c r="A204" s="6">
        <v>46133</v>
      </c>
      <c r="B204" s="4">
        <v>0</v>
      </c>
      <c r="C204" s="4">
        <v>0</v>
      </c>
      <c r="D204" s="4">
        <v>65</v>
      </c>
      <c r="E204" s="4">
        <v>1</v>
      </c>
      <c r="F204" s="4">
        <v>50</v>
      </c>
      <c r="G204" s="144">
        <f t="shared" si="46"/>
        <v>0</v>
      </c>
      <c r="H204" s="167">
        <v>0</v>
      </c>
      <c r="I204" s="142">
        <f t="shared" si="51"/>
        <v>0</v>
      </c>
      <c r="J204" s="5">
        <f t="shared" si="52"/>
        <v>0</v>
      </c>
      <c r="K204">
        <v>0</v>
      </c>
      <c r="N204" s="51">
        <v>0</v>
      </c>
    </row>
    <row r="205" spans="1:17">
      <c r="A205" s="6">
        <v>46134</v>
      </c>
      <c r="B205" s="4">
        <v>0</v>
      </c>
      <c r="C205" s="4">
        <v>0</v>
      </c>
      <c r="D205" s="4">
        <v>65</v>
      </c>
      <c r="E205" s="4">
        <v>1</v>
      </c>
      <c r="F205" s="4">
        <v>50</v>
      </c>
      <c r="G205" s="144">
        <f t="shared" si="46"/>
        <v>0</v>
      </c>
      <c r="H205" s="167">
        <v>0</v>
      </c>
      <c r="I205" s="142">
        <f t="shared" si="51"/>
        <v>0</v>
      </c>
      <c r="J205" s="5">
        <f t="shared" si="52"/>
        <v>0</v>
      </c>
      <c r="K205">
        <v>0</v>
      </c>
      <c r="N205" s="51">
        <v>0</v>
      </c>
      <c r="Q205" t="s">
        <v>64</v>
      </c>
    </row>
    <row r="206" spans="1:17">
      <c r="A206" s="6">
        <v>46135</v>
      </c>
      <c r="B206" s="4">
        <v>0</v>
      </c>
      <c r="C206" s="4">
        <v>0</v>
      </c>
      <c r="D206" s="4">
        <v>45</v>
      </c>
      <c r="E206" s="4">
        <v>1</v>
      </c>
      <c r="F206" s="4">
        <v>50</v>
      </c>
      <c r="G206" s="144">
        <f t="shared" si="46"/>
        <v>0</v>
      </c>
      <c r="H206" s="167">
        <v>0</v>
      </c>
      <c r="I206" s="142">
        <f t="shared" si="51"/>
        <v>0</v>
      </c>
      <c r="J206" s="5">
        <f t="shared" si="52"/>
        <v>0</v>
      </c>
      <c r="K206">
        <v>0</v>
      </c>
      <c r="N206" s="51">
        <v>0</v>
      </c>
    </row>
    <row r="207" spans="1:17">
      <c r="A207" s="6">
        <v>46136</v>
      </c>
      <c r="B207" s="4">
        <v>7</v>
      </c>
      <c r="C207" s="4">
        <v>6</v>
      </c>
      <c r="D207" s="4">
        <v>45</v>
      </c>
      <c r="E207" s="4">
        <v>1</v>
      </c>
      <c r="F207" s="4">
        <v>50</v>
      </c>
      <c r="G207" s="144">
        <f t="shared" si="46"/>
        <v>7.1</v>
      </c>
      <c r="H207" s="167">
        <v>50</v>
      </c>
      <c r="I207" s="142">
        <f t="shared" si="51"/>
        <v>319.5</v>
      </c>
      <c r="J207" s="5">
        <f t="shared" si="52"/>
        <v>269.5</v>
      </c>
      <c r="K207">
        <v>5</v>
      </c>
      <c r="N207" s="51">
        <v>57</v>
      </c>
    </row>
    <row r="208" spans="1:17">
      <c r="A208" s="6">
        <v>46137</v>
      </c>
      <c r="B208" s="4">
        <v>7</v>
      </c>
      <c r="C208" s="4">
        <v>45</v>
      </c>
      <c r="D208" s="4">
        <v>45</v>
      </c>
      <c r="E208" s="4">
        <v>1</v>
      </c>
      <c r="F208" s="4">
        <v>50</v>
      </c>
      <c r="G208" s="10">
        <f t="shared" si="46"/>
        <v>7.75</v>
      </c>
      <c r="H208" s="141">
        <v>50</v>
      </c>
      <c r="I208" s="5">
        <f t="shared" si="51"/>
        <v>348.75</v>
      </c>
      <c r="J208" s="5">
        <f t="shared" si="52"/>
        <v>298.75</v>
      </c>
      <c r="K208">
        <v>14</v>
      </c>
      <c r="N208" s="51">
        <v>565</v>
      </c>
    </row>
    <row r="209" spans="1:17">
      <c r="A209" s="6">
        <v>46138</v>
      </c>
      <c r="B209" s="4">
        <v>0</v>
      </c>
      <c r="C209" s="4">
        <v>0</v>
      </c>
      <c r="D209" s="4">
        <v>45</v>
      </c>
      <c r="E209" s="4">
        <v>0</v>
      </c>
      <c r="F209" s="4">
        <v>50</v>
      </c>
      <c r="G209" s="10">
        <f t="shared" si="46"/>
        <v>0</v>
      </c>
      <c r="H209" s="4">
        <v>0</v>
      </c>
      <c r="I209" s="5">
        <f t="shared" si="51"/>
        <v>0</v>
      </c>
      <c r="J209" s="5">
        <f t="shared" si="52"/>
        <v>0</v>
      </c>
      <c r="K209">
        <v>0</v>
      </c>
      <c r="N209" s="51">
        <v>0</v>
      </c>
    </row>
    <row r="210" spans="1:17" ht="19">
      <c r="A210" s="91" t="s">
        <v>539</v>
      </c>
      <c r="B210" s="8">
        <f>SUM(B211:B217)</f>
        <v>43</v>
      </c>
      <c r="C210" s="8">
        <f>SUM(C211:C217)</f>
        <v>127</v>
      </c>
      <c r="D210" s="126">
        <f>SUM(D211)</f>
        <v>45</v>
      </c>
      <c r="E210" s="126">
        <f>SUM(E211:E217)</f>
        <v>5</v>
      </c>
      <c r="F210" s="126">
        <f>SUM(F211:F217)</f>
        <v>350</v>
      </c>
      <c r="G210" s="123">
        <f t="shared" si="46"/>
        <v>45.116666666666667</v>
      </c>
      <c r="H210" s="8">
        <f>SUM(H211:H217)</f>
        <v>250</v>
      </c>
      <c r="I210" s="14">
        <f>SUM(I211:I217)</f>
        <v>2755.25</v>
      </c>
      <c r="J210" s="14">
        <f>SUM(J211:J217)</f>
        <v>2505.25</v>
      </c>
      <c r="K210" s="8">
        <f>SUM(K211:K217)</f>
        <v>153</v>
      </c>
      <c r="L210" s="9">
        <v>0</v>
      </c>
      <c r="M210" s="96">
        <f>J210</f>
        <v>2505.25</v>
      </c>
      <c r="N210" s="102">
        <f>SUM(N211:N217)</f>
        <v>2413</v>
      </c>
      <c r="O210" s="98">
        <f>2723-N210</f>
        <v>310</v>
      </c>
      <c r="P210" s="86"/>
      <c r="Q210" s="86"/>
    </row>
    <row r="211" spans="1:17">
      <c r="A211" s="6">
        <v>46132</v>
      </c>
      <c r="B211" s="4">
        <v>0</v>
      </c>
      <c r="C211" s="4">
        <v>0</v>
      </c>
      <c r="D211" s="4">
        <v>45</v>
      </c>
      <c r="E211" s="4">
        <v>0</v>
      </c>
      <c r="F211" s="4">
        <v>50</v>
      </c>
      <c r="G211" s="10">
        <f t="shared" ref="G211:G224" si="53">B211+C211/60</f>
        <v>0</v>
      </c>
      <c r="H211" s="4">
        <v>0</v>
      </c>
      <c r="I211" s="5">
        <f t="shared" ref="I211:I217" si="54">G211*D211</f>
        <v>0</v>
      </c>
      <c r="J211" s="5">
        <f t="shared" ref="J211:J217" si="55">I211-H211</f>
        <v>0</v>
      </c>
      <c r="K211">
        <v>0</v>
      </c>
      <c r="N211" s="51">
        <v>0</v>
      </c>
      <c r="O211" s="51"/>
    </row>
    <row r="212" spans="1:17">
      <c r="A212" s="80" t="s">
        <v>822</v>
      </c>
      <c r="B212" s="4">
        <v>8</v>
      </c>
      <c r="C212" s="4">
        <v>26</v>
      </c>
      <c r="D212" s="4">
        <v>55</v>
      </c>
      <c r="E212" s="4">
        <v>1</v>
      </c>
      <c r="F212" s="4">
        <v>50</v>
      </c>
      <c r="G212" s="10">
        <f t="shared" si="53"/>
        <v>8.4333333333333336</v>
      </c>
      <c r="H212" s="4">
        <v>50</v>
      </c>
      <c r="I212" s="5">
        <f t="shared" si="54"/>
        <v>463.83333333333337</v>
      </c>
      <c r="J212" s="5">
        <f t="shared" si="55"/>
        <v>413.83333333333337</v>
      </c>
      <c r="K212">
        <v>27</v>
      </c>
      <c r="N212" s="51">
        <f>690</f>
        <v>690</v>
      </c>
      <c r="P212" t="s">
        <v>907</v>
      </c>
    </row>
    <row r="213" spans="1:17">
      <c r="A213" s="80" t="s">
        <v>824</v>
      </c>
      <c r="B213" s="4">
        <v>9</v>
      </c>
      <c r="C213" s="4">
        <v>18</v>
      </c>
      <c r="D213" s="4">
        <v>55</v>
      </c>
      <c r="E213" s="4">
        <v>1</v>
      </c>
      <c r="F213" s="4">
        <v>50</v>
      </c>
      <c r="G213" s="10">
        <f t="shared" si="53"/>
        <v>9.3000000000000007</v>
      </c>
      <c r="H213" s="4">
        <v>50</v>
      </c>
      <c r="I213" s="5">
        <f t="shared" si="54"/>
        <v>511.50000000000006</v>
      </c>
      <c r="J213" s="5">
        <f t="shared" si="55"/>
        <v>461.50000000000006</v>
      </c>
      <c r="K213">
        <v>29</v>
      </c>
      <c r="N213" s="51">
        <f>378</f>
        <v>378</v>
      </c>
      <c r="P213" t="s">
        <v>908</v>
      </c>
    </row>
    <row r="214" spans="1:17">
      <c r="A214" s="80" t="s">
        <v>826</v>
      </c>
      <c r="B214" s="4">
        <v>9</v>
      </c>
      <c r="C214" s="4">
        <v>22</v>
      </c>
      <c r="D214" s="4">
        <v>65</v>
      </c>
      <c r="E214" s="4">
        <v>1</v>
      </c>
      <c r="F214" s="4">
        <v>50</v>
      </c>
      <c r="G214" s="10">
        <f t="shared" si="53"/>
        <v>9.3666666666666671</v>
      </c>
      <c r="H214" s="4">
        <v>50</v>
      </c>
      <c r="I214" s="5">
        <f t="shared" si="54"/>
        <v>608.83333333333337</v>
      </c>
      <c r="J214" s="5">
        <f t="shared" si="55"/>
        <v>558.83333333333337</v>
      </c>
      <c r="K214">
        <v>32</v>
      </c>
      <c r="N214" s="51">
        <f>598</f>
        <v>598</v>
      </c>
      <c r="P214" t="s">
        <v>909</v>
      </c>
    </row>
    <row r="215" spans="1:17">
      <c r="A215" s="80" t="s">
        <v>828</v>
      </c>
      <c r="B215" s="4">
        <v>9</v>
      </c>
      <c r="C215" s="4">
        <v>41</v>
      </c>
      <c r="D215" s="4">
        <v>65</v>
      </c>
      <c r="E215" s="4">
        <v>1</v>
      </c>
      <c r="F215" s="4">
        <v>50</v>
      </c>
      <c r="G215" s="10">
        <f t="shared" si="53"/>
        <v>9.6833333333333336</v>
      </c>
      <c r="H215" s="4">
        <v>50</v>
      </c>
      <c r="I215" s="5">
        <f t="shared" si="54"/>
        <v>629.41666666666663</v>
      </c>
      <c r="J215" s="5">
        <f t="shared" si="55"/>
        <v>579.41666666666663</v>
      </c>
      <c r="K215">
        <v>32</v>
      </c>
      <c r="N215" s="51">
        <v>447</v>
      </c>
      <c r="P215" t="s">
        <v>910</v>
      </c>
    </row>
    <row r="216" spans="1:17">
      <c r="A216" s="80" t="s">
        <v>830</v>
      </c>
      <c r="B216" s="4">
        <v>8</v>
      </c>
      <c r="C216" s="4">
        <v>20</v>
      </c>
      <c r="D216" s="4">
        <v>65</v>
      </c>
      <c r="E216" s="4">
        <v>1</v>
      </c>
      <c r="F216" s="4">
        <v>50</v>
      </c>
      <c r="G216" s="10">
        <f t="shared" si="53"/>
        <v>8.3333333333333339</v>
      </c>
      <c r="H216" s="4">
        <v>50</v>
      </c>
      <c r="I216" s="5">
        <f t="shared" si="54"/>
        <v>541.66666666666674</v>
      </c>
      <c r="J216" s="5">
        <f t="shared" si="55"/>
        <v>491.66666666666674</v>
      </c>
      <c r="K216">
        <v>33</v>
      </c>
      <c r="N216" s="51">
        <v>300</v>
      </c>
      <c r="P216" t="s">
        <v>911</v>
      </c>
    </row>
    <row r="217" spans="1:17">
      <c r="A217" s="80" t="s">
        <v>831</v>
      </c>
      <c r="B217" s="4">
        <v>0</v>
      </c>
      <c r="C217" s="4">
        <v>0</v>
      </c>
      <c r="D217" s="4">
        <v>45</v>
      </c>
      <c r="E217" s="4">
        <v>0</v>
      </c>
      <c r="F217" s="4">
        <v>50</v>
      </c>
      <c r="G217" s="10">
        <f t="shared" si="53"/>
        <v>0</v>
      </c>
      <c r="H217" s="4">
        <v>0</v>
      </c>
      <c r="I217" s="5">
        <f t="shared" si="54"/>
        <v>0</v>
      </c>
      <c r="J217" s="5">
        <f t="shared" si="55"/>
        <v>0</v>
      </c>
      <c r="K217">
        <v>0</v>
      </c>
      <c r="N217" s="51">
        <v>0</v>
      </c>
    </row>
    <row r="218" spans="1:17" ht="19">
      <c r="A218" s="91" t="s">
        <v>540</v>
      </c>
      <c r="B218" s="8">
        <f>SUM(B219:B224)</f>
        <v>37</v>
      </c>
      <c r="C218" s="8">
        <f>SUM(C219:C224)</f>
        <v>150</v>
      </c>
      <c r="D218" s="126">
        <f>SUM(D219)</f>
        <v>45</v>
      </c>
      <c r="E218" s="126">
        <f>SUM(E219:E257)</f>
        <v>51</v>
      </c>
      <c r="F218" s="126">
        <f>SUM(F219:F224)</f>
        <v>300</v>
      </c>
      <c r="G218" s="123">
        <f t="shared" si="53"/>
        <v>39.5</v>
      </c>
      <c r="H218" s="8">
        <f>SUM(H219:H224)</f>
        <v>250</v>
      </c>
      <c r="I218" s="14">
        <f>SUM(I219:I224)</f>
        <v>1777.5</v>
      </c>
      <c r="J218" s="14">
        <f>SUM(J219:J224)</f>
        <v>1527.5</v>
      </c>
      <c r="K218" s="8">
        <f>SUM(K219:K224)</f>
        <v>57</v>
      </c>
      <c r="L218" s="9">
        <v>0</v>
      </c>
      <c r="M218" s="96">
        <f>J218</f>
        <v>1527.5</v>
      </c>
      <c r="N218" s="102">
        <f>SUM(N219:N224)</f>
        <v>1268</v>
      </c>
      <c r="O218" s="98">
        <f>1268-N218</f>
        <v>0</v>
      </c>
      <c r="P218" s="86"/>
      <c r="Q218" s="86"/>
    </row>
    <row r="219" spans="1:17">
      <c r="A219" s="145">
        <v>46132</v>
      </c>
      <c r="B219" s="4">
        <v>0</v>
      </c>
      <c r="C219" s="4">
        <v>0</v>
      </c>
      <c r="D219" s="4">
        <v>45</v>
      </c>
      <c r="E219" s="4">
        <v>0</v>
      </c>
      <c r="F219" s="4">
        <v>50</v>
      </c>
      <c r="G219" s="10">
        <f t="shared" si="53"/>
        <v>0</v>
      </c>
      <c r="H219" s="4">
        <v>0</v>
      </c>
      <c r="I219" s="5">
        <f t="shared" ref="I219:I225" si="56">G219*D219</f>
        <v>0</v>
      </c>
      <c r="J219" s="5">
        <f t="shared" ref="J219:J225" si="57">I219-H219</f>
        <v>0</v>
      </c>
      <c r="K219">
        <v>0</v>
      </c>
      <c r="N219" s="51">
        <v>0</v>
      </c>
      <c r="O219" s="51"/>
    </row>
    <row r="220" spans="1:17">
      <c r="A220" s="145">
        <v>46133</v>
      </c>
      <c r="B220" s="4">
        <v>3</v>
      </c>
      <c r="C220" s="4">
        <v>24</v>
      </c>
      <c r="D220" s="4">
        <v>45</v>
      </c>
      <c r="E220" s="4">
        <v>1</v>
      </c>
      <c r="F220" s="4">
        <v>50</v>
      </c>
      <c r="G220" s="10">
        <f t="shared" si="53"/>
        <v>3.4</v>
      </c>
      <c r="H220" s="4">
        <v>50</v>
      </c>
      <c r="I220" s="5">
        <f t="shared" si="56"/>
        <v>153</v>
      </c>
      <c r="J220" s="5">
        <f t="shared" si="57"/>
        <v>103</v>
      </c>
      <c r="K220">
        <v>3</v>
      </c>
      <c r="N220" s="51">
        <f>67</f>
        <v>67</v>
      </c>
      <c r="P220" t="s">
        <v>912</v>
      </c>
    </row>
    <row r="221" spans="1:17">
      <c r="A221" s="145">
        <v>46134</v>
      </c>
      <c r="B221" s="4">
        <v>10</v>
      </c>
      <c r="C221" s="4">
        <v>10</v>
      </c>
      <c r="D221" s="4">
        <v>45</v>
      </c>
      <c r="E221" s="4">
        <v>1</v>
      </c>
      <c r="F221" s="4">
        <v>50</v>
      </c>
      <c r="G221" s="10">
        <f t="shared" si="53"/>
        <v>10.166666666666666</v>
      </c>
      <c r="H221" s="4">
        <v>50</v>
      </c>
      <c r="I221" s="5">
        <f t="shared" si="56"/>
        <v>457.5</v>
      </c>
      <c r="J221" s="5">
        <f t="shared" si="57"/>
        <v>407.5</v>
      </c>
      <c r="K221">
        <v>13</v>
      </c>
      <c r="N221" s="51">
        <f>274</f>
        <v>274</v>
      </c>
      <c r="P221" t="s">
        <v>913</v>
      </c>
    </row>
    <row r="222" spans="1:17">
      <c r="A222" s="145">
        <v>46135</v>
      </c>
      <c r="B222" s="4">
        <v>8</v>
      </c>
      <c r="C222" s="4">
        <v>38</v>
      </c>
      <c r="D222" s="4">
        <v>45</v>
      </c>
      <c r="E222" s="4">
        <v>1</v>
      </c>
      <c r="F222" s="4">
        <v>50</v>
      </c>
      <c r="G222" s="10">
        <f t="shared" si="53"/>
        <v>8.6333333333333329</v>
      </c>
      <c r="H222" s="4">
        <v>50</v>
      </c>
      <c r="I222" s="5">
        <f t="shared" si="56"/>
        <v>388.5</v>
      </c>
      <c r="J222" s="5">
        <f t="shared" si="57"/>
        <v>338.5</v>
      </c>
      <c r="K222">
        <v>10</v>
      </c>
      <c r="N222" s="51">
        <f>331</f>
        <v>331</v>
      </c>
      <c r="P222" t="s">
        <v>914</v>
      </c>
    </row>
    <row r="223" spans="1:17">
      <c r="A223" s="145">
        <v>46136</v>
      </c>
      <c r="B223" s="4">
        <v>6</v>
      </c>
      <c r="C223" s="4">
        <v>57</v>
      </c>
      <c r="D223" s="4">
        <v>45</v>
      </c>
      <c r="E223" s="4">
        <v>1</v>
      </c>
      <c r="F223" s="4">
        <v>50</v>
      </c>
      <c r="G223" s="10">
        <f t="shared" si="53"/>
        <v>6.95</v>
      </c>
      <c r="H223" s="4">
        <v>50</v>
      </c>
      <c r="I223" s="5">
        <f t="shared" si="56"/>
        <v>312.75</v>
      </c>
      <c r="J223" s="5">
        <f t="shared" si="57"/>
        <v>262.75</v>
      </c>
      <c r="K223">
        <v>13</v>
      </c>
      <c r="N223" s="51">
        <v>261</v>
      </c>
      <c r="P223" t="s">
        <v>915</v>
      </c>
    </row>
    <row r="224" spans="1:17">
      <c r="A224" s="145">
        <v>46137</v>
      </c>
      <c r="B224" s="4">
        <v>10</v>
      </c>
      <c r="C224" s="4">
        <v>21</v>
      </c>
      <c r="D224" s="4">
        <v>45</v>
      </c>
      <c r="E224" s="4">
        <v>1</v>
      </c>
      <c r="F224" s="4">
        <v>50</v>
      </c>
      <c r="G224" s="10">
        <f t="shared" si="53"/>
        <v>10.35</v>
      </c>
      <c r="H224" s="4">
        <v>50</v>
      </c>
      <c r="I224" s="5">
        <f t="shared" si="56"/>
        <v>465.75</v>
      </c>
      <c r="J224" s="5">
        <f t="shared" si="57"/>
        <v>415.75</v>
      </c>
      <c r="K224">
        <v>18</v>
      </c>
      <c r="N224" s="51">
        <v>335</v>
      </c>
    </row>
    <row r="225" spans="1:17">
      <c r="A225" s="145">
        <v>46138</v>
      </c>
      <c r="B225" s="4">
        <v>0</v>
      </c>
      <c r="C225" s="4">
        <v>0</v>
      </c>
      <c r="D225" s="7">
        <v>45</v>
      </c>
      <c r="E225" s="7">
        <v>0</v>
      </c>
      <c r="F225" s="7">
        <v>50</v>
      </c>
      <c r="G225" s="10">
        <v>0</v>
      </c>
      <c r="H225" s="4">
        <v>0</v>
      </c>
      <c r="I225" s="5">
        <f t="shared" si="56"/>
        <v>0</v>
      </c>
      <c r="J225" s="5">
        <f t="shared" si="57"/>
        <v>0</v>
      </c>
      <c r="K225">
        <v>0</v>
      </c>
      <c r="N225" s="51"/>
    </row>
    <row r="226" spans="1:17" ht="19">
      <c r="A226" s="91" t="s">
        <v>916</v>
      </c>
      <c r="B226" s="8">
        <f>SUM(B227:B232)</f>
        <v>37</v>
      </c>
      <c r="C226" s="8">
        <f>SUM(C227:C232)</f>
        <v>82</v>
      </c>
      <c r="D226" s="126">
        <f>SUM(D227)</f>
        <v>55</v>
      </c>
      <c r="E226" s="126">
        <f>SUM(E227:E232)</f>
        <v>5</v>
      </c>
      <c r="F226" s="126">
        <f>SUM(F227:F232)</f>
        <v>300</v>
      </c>
      <c r="G226" s="123">
        <f t="shared" ref="G226:G231" si="58">B226+C226/60</f>
        <v>38.366666666666667</v>
      </c>
      <c r="H226" s="8">
        <f>SUM(H227:H232)</f>
        <v>250</v>
      </c>
      <c r="I226" s="14">
        <f>SUM(I227:I232)</f>
        <v>1806.5</v>
      </c>
      <c r="J226" s="14">
        <f>SUM(J227:J232)</f>
        <v>1556.5</v>
      </c>
      <c r="K226" s="8">
        <f>SUM(K227:K232)</f>
        <v>117</v>
      </c>
      <c r="L226" s="9">
        <v>0</v>
      </c>
      <c r="M226" s="96">
        <f>J226</f>
        <v>1556.5</v>
      </c>
      <c r="N226" s="102">
        <f>SUM(N227:N232)</f>
        <v>2970</v>
      </c>
      <c r="O226" s="98">
        <f>2947-N226</f>
        <v>-23</v>
      </c>
      <c r="P226" s="86"/>
      <c r="Q226" s="86"/>
    </row>
    <row r="227" spans="1:17">
      <c r="A227" s="146" t="s">
        <v>820</v>
      </c>
      <c r="B227" s="4">
        <v>8</v>
      </c>
      <c r="C227" s="4">
        <v>0</v>
      </c>
      <c r="D227" s="4">
        <v>55</v>
      </c>
      <c r="E227" s="4">
        <v>1</v>
      </c>
      <c r="F227" s="4">
        <v>50</v>
      </c>
      <c r="G227" s="10">
        <f t="shared" si="58"/>
        <v>8</v>
      </c>
      <c r="H227" s="4">
        <v>50</v>
      </c>
      <c r="I227" s="5">
        <f>G227*D227</f>
        <v>440</v>
      </c>
      <c r="J227" s="5">
        <f>I227-H227</f>
        <v>390</v>
      </c>
      <c r="K227">
        <v>27</v>
      </c>
      <c r="N227" s="51">
        <v>477</v>
      </c>
      <c r="O227" s="51"/>
      <c r="P227" t="s">
        <v>917</v>
      </c>
    </row>
    <row r="228" spans="1:17">
      <c r="A228" s="146" t="s">
        <v>822</v>
      </c>
      <c r="B228" s="4">
        <v>8</v>
      </c>
      <c r="C228" s="4">
        <v>31</v>
      </c>
      <c r="D228" s="4">
        <v>45</v>
      </c>
      <c r="E228" s="4">
        <v>1</v>
      </c>
      <c r="F228" s="4">
        <v>50</v>
      </c>
      <c r="G228" s="10">
        <f t="shared" si="58"/>
        <v>8.5166666666666675</v>
      </c>
      <c r="H228" s="4">
        <v>50</v>
      </c>
      <c r="I228" s="5">
        <f>G228*D228</f>
        <v>383.25000000000006</v>
      </c>
      <c r="J228" s="5">
        <f>I228-H228</f>
        <v>333.25000000000006</v>
      </c>
      <c r="K228">
        <v>27</v>
      </c>
      <c r="N228" s="51">
        <f>652</f>
        <v>652</v>
      </c>
      <c r="P228" t="s">
        <v>918</v>
      </c>
    </row>
    <row r="229" spans="1:17">
      <c r="A229" s="146" t="s">
        <v>824</v>
      </c>
      <c r="B229" s="4">
        <v>8</v>
      </c>
      <c r="C229" s="4">
        <v>26</v>
      </c>
      <c r="D229" s="4">
        <v>45</v>
      </c>
      <c r="E229" s="4">
        <v>1</v>
      </c>
      <c r="F229" s="4">
        <v>50</v>
      </c>
      <c r="G229" s="10">
        <f t="shared" si="58"/>
        <v>8.4333333333333336</v>
      </c>
      <c r="H229" s="4">
        <v>50</v>
      </c>
      <c r="I229" s="5">
        <f>G229*D229</f>
        <v>379.5</v>
      </c>
      <c r="J229" s="5">
        <f>I229-H229</f>
        <v>329.5</v>
      </c>
      <c r="K229">
        <v>18</v>
      </c>
      <c r="N229" s="51">
        <f>433</f>
        <v>433</v>
      </c>
      <c r="P229" t="s">
        <v>919</v>
      </c>
    </row>
    <row r="230" spans="1:17">
      <c r="A230" s="146" t="s">
        <v>826</v>
      </c>
      <c r="B230" s="4">
        <v>8</v>
      </c>
      <c r="C230" s="4">
        <v>24</v>
      </c>
      <c r="D230" s="4">
        <v>45</v>
      </c>
      <c r="E230" s="4">
        <v>1</v>
      </c>
      <c r="F230" s="4">
        <v>50</v>
      </c>
      <c r="G230" s="10">
        <f t="shared" si="58"/>
        <v>8.4</v>
      </c>
      <c r="H230" s="4">
        <v>50</v>
      </c>
      <c r="I230" s="5">
        <f>G230*D230</f>
        <v>378</v>
      </c>
      <c r="J230" s="5">
        <f>I230-H230</f>
        <v>328</v>
      </c>
      <c r="K230">
        <v>26</v>
      </c>
      <c r="N230" s="51">
        <v>535</v>
      </c>
      <c r="P230" t="s">
        <v>920</v>
      </c>
    </row>
    <row r="231" spans="1:17">
      <c r="A231" s="146" t="s">
        <v>828</v>
      </c>
      <c r="B231" s="4">
        <v>5</v>
      </c>
      <c r="C231" s="4">
        <v>1</v>
      </c>
      <c r="D231" s="4">
        <v>45</v>
      </c>
      <c r="E231" s="4">
        <v>1</v>
      </c>
      <c r="F231" s="4">
        <v>50</v>
      </c>
      <c r="G231" s="10">
        <f t="shared" si="58"/>
        <v>5.0166666666666666</v>
      </c>
      <c r="H231" s="4">
        <v>50</v>
      </c>
      <c r="I231" s="5">
        <f>G231*D231</f>
        <v>225.75</v>
      </c>
      <c r="J231" s="5">
        <f>I231-H231</f>
        <v>175.75</v>
      </c>
      <c r="K231">
        <v>19</v>
      </c>
      <c r="N231" s="51">
        <v>650</v>
      </c>
      <c r="P231" t="s">
        <v>921</v>
      </c>
    </row>
    <row r="232" spans="1:17">
      <c r="A232" s="146" t="s">
        <v>830</v>
      </c>
      <c r="B232" s="4">
        <v>0</v>
      </c>
      <c r="C232" s="4">
        <v>0</v>
      </c>
      <c r="D232" s="4">
        <v>45</v>
      </c>
      <c r="E232" s="4">
        <v>0</v>
      </c>
      <c r="F232" s="4">
        <v>50</v>
      </c>
      <c r="G232" s="10">
        <v>0</v>
      </c>
      <c r="H232" s="4">
        <v>0</v>
      </c>
      <c r="I232" s="5">
        <v>0</v>
      </c>
      <c r="J232" s="5">
        <v>0</v>
      </c>
      <c r="K232">
        <v>0</v>
      </c>
      <c r="N232" s="51">
        <v>223</v>
      </c>
    </row>
    <row r="233" spans="1:17" ht="19">
      <c r="A233" s="91" t="s">
        <v>922</v>
      </c>
      <c r="B233" s="8">
        <f>SUM(B234:B240)</f>
        <v>40</v>
      </c>
      <c r="C233" s="8">
        <f>SUM(C234:C240)</f>
        <v>117</v>
      </c>
      <c r="D233" s="126">
        <f>SUM(D234)</f>
        <v>55</v>
      </c>
      <c r="E233" s="126">
        <f>SUM(E234:E240)</f>
        <v>5</v>
      </c>
      <c r="F233" s="126">
        <f>SUM(F234:F240)</f>
        <v>350</v>
      </c>
      <c r="G233" s="123">
        <f t="shared" ref="G233:G238" si="59">B233+C233/60</f>
        <v>41.95</v>
      </c>
      <c r="H233" s="8">
        <f>SUM(H234:H240)</f>
        <v>250</v>
      </c>
      <c r="I233" s="14">
        <f>SUM(I234:I240)</f>
        <v>2223.9166666666665</v>
      </c>
      <c r="J233" s="14">
        <f>SUM(J234:J240)</f>
        <v>1973.9166666666665</v>
      </c>
      <c r="K233" s="8">
        <f>SUM(K234:K240)</f>
        <v>139</v>
      </c>
      <c r="L233" s="9">
        <v>0</v>
      </c>
      <c r="M233" s="96">
        <f>J233</f>
        <v>1973.9166666666665</v>
      </c>
      <c r="N233" s="102">
        <f>SUM(N234:N240)</f>
        <v>2994</v>
      </c>
      <c r="O233" s="98">
        <f>2868-N233</f>
        <v>-126</v>
      </c>
      <c r="P233" s="86"/>
      <c r="Q233" s="86"/>
    </row>
    <row r="234" spans="1:17">
      <c r="A234" s="80" t="s">
        <v>820</v>
      </c>
      <c r="B234" s="4">
        <v>9</v>
      </c>
      <c r="C234" s="4">
        <v>3</v>
      </c>
      <c r="D234" s="4">
        <v>55</v>
      </c>
      <c r="E234" s="4">
        <v>1</v>
      </c>
      <c r="F234" s="4">
        <v>50</v>
      </c>
      <c r="G234" s="10">
        <f t="shared" si="59"/>
        <v>9.0500000000000007</v>
      </c>
      <c r="H234" s="4">
        <v>50</v>
      </c>
      <c r="I234" s="5">
        <f>G234*D234</f>
        <v>497.75000000000006</v>
      </c>
      <c r="J234" s="5">
        <f>I234-H234</f>
        <v>447.75000000000006</v>
      </c>
      <c r="K234">
        <v>29</v>
      </c>
      <c r="N234" s="51">
        <v>585</v>
      </c>
      <c r="O234" s="51"/>
      <c r="P234" t="s">
        <v>923</v>
      </c>
    </row>
    <row r="235" spans="1:17">
      <c r="A235" s="80" t="s">
        <v>822</v>
      </c>
      <c r="B235" s="4">
        <v>7</v>
      </c>
      <c r="C235" s="4">
        <v>51</v>
      </c>
      <c r="D235" s="4">
        <v>55</v>
      </c>
      <c r="E235" s="4">
        <v>1</v>
      </c>
      <c r="F235" s="4">
        <v>50</v>
      </c>
      <c r="G235" s="10">
        <f t="shared" si="59"/>
        <v>7.85</v>
      </c>
      <c r="H235" s="4">
        <v>50</v>
      </c>
      <c r="I235" s="5">
        <f>G235*D235</f>
        <v>431.75</v>
      </c>
      <c r="J235" s="5">
        <f>I235-H235</f>
        <v>381.75</v>
      </c>
      <c r="K235">
        <v>27</v>
      </c>
      <c r="N235" s="51">
        <f>675</f>
        <v>675</v>
      </c>
      <c r="P235" t="s">
        <v>924</v>
      </c>
    </row>
    <row r="236" spans="1:17">
      <c r="A236" s="80" t="s">
        <v>824</v>
      </c>
      <c r="B236" s="4">
        <v>8</v>
      </c>
      <c r="C236" s="4">
        <v>34</v>
      </c>
      <c r="D236" s="4">
        <v>55</v>
      </c>
      <c r="E236" s="4">
        <v>1</v>
      </c>
      <c r="F236" s="4">
        <v>50</v>
      </c>
      <c r="G236" s="10">
        <f t="shared" si="59"/>
        <v>8.5666666666666664</v>
      </c>
      <c r="H236" s="4">
        <v>50</v>
      </c>
      <c r="I236" s="5">
        <f>G236*D236</f>
        <v>471.16666666666663</v>
      </c>
      <c r="J236" s="5">
        <f>I236-H236</f>
        <v>421.16666666666663</v>
      </c>
      <c r="K236">
        <v>29</v>
      </c>
      <c r="N236" s="51">
        <f>603</f>
        <v>603</v>
      </c>
      <c r="P236" t="s">
        <v>925</v>
      </c>
    </row>
    <row r="237" spans="1:17">
      <c r="A237" s="80" t="s">
        <v>826</v>
      </c>
      <c r="B237" s="4">
        <v>0</v>
      </c>
      <c r="C237" s="4">
        <v>0</v>
      </c>
      <c r="D237" s="4">
        <v>45</v>
      </c>
      <c r="E237" s="4">
        <v>0</v>
      </c>
      <c r="F237" s="4">
        <v>50</v>
      </c>
      <c r="G237" s="10">
        <f t="shared" si="59"/>
        <v>0</v>
      </c>
      <c r="H237" s="4">
        <v>0</v>
      </c>
      <c r="I237" s="5">
        <f>G237*D237</f>
        <v>0</v>
      </c>
      <c r="J237" s="5">
        <f>I237-H237</f>
        <v>0</v>
      </c>
      <c r="K237">
        <v>0</v>
      </c>
      <c r="N237" s="51">
        <v>0</v>
      </c>
    </row>
    <row r="238" spans="1:17">
      <c r="A238" s="80" t="s">
        <v>828</v>
      </c>
      <c r="B238" s="4">
        <v>8</v>
      </c>
      <c r="C238" s="4">
        <v>20</v>
      </c>
      <c r="D238" s="4">
        <v>45</v>
      </c>
      <c r="E238" s="4">
        <v>1</v>
      </c>
      <c r="F238" s="4">
        <v>50</v>
      </c>
      <c r="G238" s="10">
        <f t="shared" si="59"/>
        <v>8.3333333333333339</v>
      </c>
      <c r="H238" s="4">
        <v>50</v>
      </c>
      <c r="I238" s="5">
        <f>G238*D238</f>
        <v>375</v>
      </c>
      <c r="J238" s="5">
        <f>I238-H238</f>
        <v>325</v>
      </c>
      <c r="K238">
        <v>26</v>
      </c>
      <c r="N238" s="51">
        <v>486</v>
      </c>
      <c r="P238" t="s">
        <v>926</v>
      </c>
    </row>
    <row r="239" spans="1:17">
      <c r="A239" s="80" t="s">
        <v>830</v>
      </c>
      <c r="B239" s="4">
        <v>0</v>
      </c>
      <c r="C239" s="4">
        <v>0</v>
      </c>
      <c r="D239" s="4">
        <v>45</v>
      </c>
      <c r="E239" s="4">
        <v>0</v>
      </c>
      <c r="F239" s="4">
        <v>50</v>
      </c>
      <c r="G239" s="10">
        <v>0</v>
      </c>
      <c r="H239" s="4">
        <v>0</v>
      </c>
      <c r="I239" s="5">
        <v>0</v>
      </c>
      <c r="J239" s="5">
        <v>0</v>
      </c>
      <c r="K239">
        <v>0</v>
      </c>
      <c r="N239" s="51">
        <v>0</v>
      </c>
    </row>
    <row r="240" spans="1:17">
      <c r="A240" s="80" t="s">
        <v>831</v>
      </c>
      <c r="B240" s="4">
        <v>8</v>
      </c>
      <c r="C240" s="4">
        <v>9</v>
      </c>
      <c r="D240" s="4">
        <v>55</v>
      </c>
      <c r="E240" s="4">
        <v>1</v>
      </c>
      <c r="F240" s="4">
        <v>50</v>
      </c>
      <c r="G240" s="10">
        <f t="shared" ref="G240:G262" si="60">B240+C240/60</f>
        <v>8.15</v>
      </c>
      <c r="H240" s="4">
        <v>50</v>
      </c>
      <c r="I240" s="5">
        <f>G240*D240</f>
        <v>448.25</v>
      </c>
      <c r="J240" s="5">
        <f>I240-H240</f>
        <v>398.25</v>
      </c>
      <c r="K240">
        <v>28</v>
      </c>
      <c r="N240" s="51">
        <v>645</v>
      </c>
      <c r="P240" t="s">
        <v>927</v>
      </c>
    </row>
    <row r="241" spans="1:17" ht="19">
      <c r="A241" s="91" t="s">
        <v>928</v>
      </c>
      <c r="B241" s="8">
        <f>SUM(B242:B248)</f>
        <v>49</v>
      </c>
      <c r="C241" s="8">
        <f>SUM(C242:C248)</f>
        <v>114</v>
      </c>
      <c r="D241" s="126">
        <f>SUM(D242)</f>
        <v>45</v>
      </c>
      <c r="E241" s="126">
        <f>SUM(E242:E248)</f>
        <v>5</v>
      </c>
      <c r="F241" s="126">
        <f>SUM(F242:F248)</f>
        <v>350</v>
      </c>
      <c r="G241" s="123">
        <f t="shared" si="60"/>
        <v>50.9</v>
      </c>
      <c r="H241" s="8">
        <f>SUM(H242:H248)</f>
        <v>250</v>
      </c>
      <c r="I241" s="14">
        <f>SUM(I242:I248)</f>
        <v>2601.5</v>
      </c>
      <c r="J241" s="14">
        <f>SUM(J242:J248)</f>
        <v>2351.5</v>
      </c>
      <c r="K241" s="8">
        <f>SUM(K242:K248)</f>
        <v>139</v>
      </c>
      <c r="L241" s="9">
        <v>0</v>
      </c>
      <c r="M241" s="96">
        <f>J241</f>
        <v>2351.5</v>
      </c>
      <c r="N241" s="102">
        <f>SUM(N242:N248)</f>
        <v>1691</v>
      </c>
      <c r="O241" s="98">
        <f>2281-N241</f>
        <v>590</v>
      </c>
      <c r="P241" s="86"/>
      <c r="Q241" s="86"/>
    </row>
    <row r="242" spans="1:17">
      <c r="A242" s="6">
        <v>46132</v>
      </c>
      <c r="B242" s="4">
        <v>0</v>
      </c>
      <c r="C242" s="4">
        <v>0</v>
      </c>
      <c r="D242" s="4">
        <v>45</v>
      </c>
      <c r="E242" s="4">
        <v>0</v>
      </c>
      <c r="F242" s="4">
        <v>50</v>
      </c>
      <c r="G242" s="10">
        <f t="shared" si="60"/>
        <v>0</v>
      </c>
      <c r="H242" s="4">
        <v>0</v>
      </c>
      <c r="I242" s="5">
        <f t="shared" ref="I242:I248" si="61">G242*D242</f>
        <v>0</v>
      </c>
      <c r="J242" s="5">
        <f t="shared" ref="J242:J248" si="62">I242-H242</f>
        <v>0</v>
      </c>
      <c r="K242">
        <v>0</v>
      </c>
      <c r="N242" s="51">
        <v>0</v>
      </c>
      <c r="O242" s="51"/>
    </row>
    <row r="243" spans="1:17">
      <c r="A243" s="6">
        <v>46133</v>
      </c>
      <c r="B243" s="4">
        <v>9</v>
      </c>
      <c r="C243" s="4">
        <v>59</v>
      </c>
      <c r="D243" s="4">
        <v>45</v>
      </c>
      <c r="E243" s="4">
        <v>1</v>
      </c>
      <c r="F243" s="4">
        <v>50</v>
      </c>
      <c r="G243" s="10">
        <f t="shared" si="60"/>
        <v>9.9833333333333325</v>
      </c>
      <c r="H243" s="4">
        <v>50</v>
      </c>
      <c r="I243" s="5">
        <f t="shared" si="61"/>
        <v>449.24999999999994</v>
      </c>
      <c r="J243" s="5">
        <f t="shared" si="62"/>
        <v>399.24999999999994</v>
      </c>
      <c r="K243">
        <v>24</v>
      </c>
      <c r="N243" s="51">
        <v>0</v>
      </c>
    </row>
    <row r="244" spans="1:17">
      <c r="A244" s="6">
        <v>46134</v>
      </c>
      <c r="B244" s="4">
        <v>10</v>
      </c>
      <c r="C244" s="4">
        <v>7</v>
      </c>
      <c r="D244" s="4">
        <v>45</v>
      </c>
      <c r="E244" s="4">
        <v>1</v>
      </c>
      <c r="F244" s="4">
        <v>50</v>
      </c>
      <c r="G244" s="10">
        <f t="shared" si="60"/>
        <v>10.116666666666667</v>
      </c>
      <c r="H244" s="4">
        <v>50</v>
      </c>
      <c r="I244" s="5">
        <f t="shared" si="61"/>
        <v>455.25</v>
      </c>
      <c r="J244" s="5">
        <f t="shared" si="62"/>
        <v>405.25</v>
      </c>
      <c r="K244">
        <v>26</v>
      </c>
      <c r="N244" s="51">
        <f>345</f>
        <v>345</v>
      </c>
    </row>
    <row r="245" spans="1:17">
      <c r="A245" s="6">
        <v>46135</v>
      </c>
      <c r="B245" s="4">
        <v>10</v>
      </c>
      <c r="C245" s="4">
        <v>9</v>
      </c>
      <c r="D245" s="4">
        <v>45</v>
      </c>
      <c r="E245" s="4">
        <v>1</v>
      </c>
      <c r="F245" s="4">
        <v>50</v>
      </c>
      <c r="G245" s="10">
        <f t="shared" si="60"/>
        <v>10.15</v>
      </c>
      <c r="H245" s="4">
        <v>50</v>
      </c>
      <c r="I245" s="5">
        <f t="shared" si="61"/>
        <v>456.75</v>
      </c>
      <c r="J245" s="5">
        <f t="shared" si="62"/>
        <v>406.75</v>
      </c>
      <c r="K245">
        <v>26</v>
      </c>
      <c r="N245" s="51">
        <v>341</v>
      </c>
      <c r="P245" t="s">
        <v>929</v>
      </c>
    </row>
    <row r="246" spans="1:17">
      <c r="A246" s="6">
        <v>46136</v>
      </c>
      <c r="B246" s="4">
        <v>10</v>
      </c>
      <c r="C246" s="4">
        <v>12</v>
      </c>
      <c r="D246" s="4">
        <v>55</v>
      </c>
      <c r="E246" s="4">
        <v>1</v>
      </c>
      <c r="F246" s="4">
        <v>50</v>
      </c>
      <c r="G246" s="10">
        <f t="shared" si="60"/>
        <v>10.199999999999999</v>
      </c>
      <c r="H246" s="4">
        <v>50</v>
      </c>
      <c r="I246" s="5">
        <f t="shared" si="61"/>
        <v>561</v>
      </c>
      <c r="J246" s="5">
        <f t="shared" si="62"/>
        <v>511</v>
      </c>
      <c r="K246">
        <v>29</v>
      </c>
      <c r="N246" s="51">
        <v>434</v>
      </c>
      <c r="P246" t="s">
        <v>930</v>
      </c>
    </row>
    <row r="247" spans="1:17">
      <c r="A247" s="6">
        <v>46137</v>
      </c>
      <c r="B247" s="4">
        <v>10</v>
      </c>
      <c r="C247" s="4">
        <v>27</v>
      </c>
      <c r="D247" s="4">
        <v>65</v>
      </c>
      <c r="E247" s="4">
        <v>1</v>
      </c>
      <c r="F247" s="4">
        <v>50</v>
      </c>
      <c r="G247" s="10">
        <f t="shared" si="60"/>
        <v>10.45</v>
      </c>
      <c r="H247" s="4">
        <v>50</v>
      </c>
      <c r="I247" s="5">
        <f t="shared" si="61"/>
        <v>679.25</v>
      </c>
      <c r="J247" s="5">
        <f t="shared" si="62"/>
        <v>629.25</v>
      </c>
      <c r="K247">
        <v>34</v>
      </c>
      <c r="N247" s="51">
        <v>571</v>
      </c>
    </row>
    <row r="248" spans="1:17">
      <c r="A248" s="6">
        <v>46138</v>
      </c>
      <c r="B248" s="4">
        <v>0</v>
      </c>
      <c r="C248" s="4">
        <v>0</v>
      </c>
      <c r="D248" s="4">
        <v>45</v>
      </c>
      <c r="E248" s="4">
        <v>0</v>
      </c>
      <c r="F248" s="4">
        <v>50</v>
      </c>
      <c r="G248" s="10">
        <f t="shared" si="60"/>
        <v>0</v>
      </c>
      <c r="H248" s="4">
        <v>0</v>
      </c>
      <c r="I248" s="5">
        <f t="shared" si="61"/>
        <v>0</v>
      </c>
      <c r="J248" s="5">
        <f t="shared" si="62"/>
        <v>0</v>
      </c>
      <c r="K248">
        <v>0</v>
      </c>
      <c r="N248" s="51">
        <v>0</v>
      </c>
    </row>
    <row r="249" spans="1:17" ht="19">
      <c r="A249" s="91" t="s">
        <v>931</v>
      </c>
      <c r="B249" s="8">
        <f>SUM(B250:B256)</f>
        <v>48</v>
      </c>
      <c r="C249" s="8">
        <f>SUM(C250:C256)</f>
        <v>141</v>
      </c>
      <c r="D249" s="126">
        <f>SUM(D250)</f>
        <v>65</v>
      </c>
      <c r="E249" s="126">
        <f>SUM(E250:E256)</f>
        <v>5</v>
      </c>
      <c r="F249" s="126">
        <f>SUM(F250:F256)</f>
        <v>350</v>
      </c>
      <c r="G249" s="123">
        <f t="shared" si="60"/>
        <v>50.35</v>
      </c>
      <c r="H249" s="8">
        <f>SUM(H250:H256)</f>
        <v>250</v>
      </c>
      <c r="I249" s="14">
        <f>SUM(I250:I256)</f>
        <v>2791.7500000000005</v>
      </c>
      <c r="J249" s="14">
        <f>SUM(J250:J256)</f>
        <v>2541.75</v>
      </c>
      <c r="K249" s="8">
        <f>SUM(K250:K256)</f>
        <v>139</v>
      </c>
      <c r="L249" s="9">
        <v>0</v>
      </c>
      <c r="M249" s="96">
        <f>J249</f>
        <v>2541.75</v>
      </c>
      <c r="N249" s="102">
        <f>SUM(N250:N256)</f>
        <v>3506</v>
      </c>
      <c r="O249" s="98">
        <f>3689-N249</f>
        <v>183</v>
      </c>
      <c r="P249" s="86"/>
      <c r="Q249" s="86"/>
    </row>
    <row r="250" spans="1:17">
      <c r="A250" s="6">
        <v>46132</v>
      </c>
      <c r="B250" s="4">
        <v>10</v>
      </c>
      <c r="C250" s="4">
        <v>19</v>
      </c>
      <c r="D250" s="4">
        <v>65</v>
      </c>
      <c r="E250" s="4">
        <v>1</v>
      </c>
      <c r="F250" s="4">
        <v>50</v>
      </c>
      <c r="G250" s="10">
        <f t="shared" si="60"/>
        <v>10.316666666666666</v>
      </c>
      <c r="H250" s="4">
        <v>50</v>
      </c>
      <c r="I250" s="5">
        <f t="shared" ref="I250:I256" si="63">G250*D250</f>
        <v>670.58333333333337</v>
      </c>
      <c r="J250" s="5">
        <f t="shared" ref="J250:J256" si="64">I250-H250</f>
        <v>620.58333333333337</v>
      </c>
      <c r="K250">
        <v>33</v>
      </c>
      <c r="N250" s="51">
        <f>674+150</f>
        <v>824</v>
      </c>
      <c r="O250" s="51"/>
    </row>
    <row r="251" spans="1:17">
      <c r="A251" s="6">
        <v>46133</v>
      </c>
      <c r="B251" s="4">
        <v>0</v>
      </c>
      <c r="C251" s="4">
        <v>0</v>
      </c>
      <c r="D251" s="4">
        <v>45</v>
      </c>
      <c r="E251" s="4">
        <v>0</v>
      </c>
      <c r="F251" s="4">
        <v>50</v>
      </c>
      <c r="G251" s="10">
        <f t="shared" si="60"/>
        <v>0</v>
      </c>
      <c r="H251" s="4">
        <v>0</v>
      </c>
      <c r="I251" s="5">
        <f t="shared" si="63"/>
        <v>0</v>
      </c>
      <c r="J251" s="5">
        <f t="shared" si="64"/>
        <v>0</v>
      </c>
      <c r="K251">
        <v>0</v>
      </c>
      <c r="N251" s="51">
        <f>578</f>
        <v>578</v>
      </c>
    </row>
    <row r="252" spans="1:17">
      <c r="A252" s="6">
        <v>46134</v>
      </c>
      <c r="B252" s="4">
        <v>10</v>
      </c>
      <c r="C252" s="4">
        <v>26</v>
      </c>
      <c r="D252" s="4">
        <v>55</v>
      </c>
      <c r="E252" s="4">
        <v>1</v>
      </c>
      <c r="F252" s="4">
        <v>50</v>
      </c>
      <c r="G252" s="10">
        <f t="shared" si="60"/>
        <v>10.433333333333334</v>
      </c>
      <c r="H252" s="4">
        <v>50</v>
      </c>
      <c r="I252" s="5">
        <f t="shared" si="63"/>
        <v>573.83333333333337</v>
      </c>
      <c r="J252" s="5">
        <f t="shared" si="64"/>
        <v>523.83333333333337</v>
      </c>
      <c r="K252">
        <v>28</v>
      </c>
      <c r="N252" s="51">
        <v>0</v>
      </c>
    </row>
    <row r="253" spans="1:17">
      <c r="A253" s="6">
        <v>46135</v>
      </c>
      <c r="B253" s="4">
        <v>8</v>
      </c>
      <c r="C253" s="4">
        <v>44</v>
      </c>
      <c r="D253" s="4">
        <v>45</v>
      </c>
      <c r="E253" s="4">
        <v>1</v>
      </c>
      <c r="F253" s="4">
        <v>50</v>
      </c>
      <c r="G253" s="10">
        <f t="shared" si="60"/>
        <v>8.7333333333333325</v>
      </c>
      <c r="H253" s="4">
        <v>50</v>
      </c>
      <c r="I253" s="5">
        <f t="shared" si="63"/>
        <v>392.99999999999994</v>
      </c>
      <c r="J253" s="5">
        <f t="shared" si="64"/>
        <v>342.99999999999994</v>
      </c>
      <c r="K253">
        <v>19</v>
      </c>
      <c r="N253" s="51">
        <f>514</f>
        <v>514</v>
      </c>
    </row>
    <row r="254" spans="1:17">
      <c r="A254" s="6">
        <v>46136</v>
      </c>
      <c r="B254" s="4">
        <v>10</v>
      </c>
      <c r="C254" s="4">
        <v>6</v>
      </c>
      <c r="D254" s="4">
        <v>45</v>
      </c>
      <c r="E254" s="4">
        <v>1</v>
      </c>
      <c r="F254" s="4">
        <v>50</v>
      </c>
      <c r="G254" s="10">
        <f t="shared" si="60"/>
        <v>10.1</v>
      </c>
      <c r="H254" s="4">
        <v>50</v>
      </c>
      <c r="I254" s="5">
        <f t="shared" si="63"/>
        <v>454.5</v>
      </c>
      <c r="J254" s="5">
        <f t="shared" si="64"/>
        <v>404.5</v>
      </c>
      <c r="K254">
        <v>26</v>
      </c>
      <c r="N254" s="51">
        <v>490</v>
      </c>
    </row>
    <row r="255" spans="1:17">
      <c r="A255" s="6">
        <v>46137</v>
      </c>
      <c r="B255" s="4">
        <v>10</v>
      </c>
      <c r="C255" s="4">
        <v>46</v>
      </c>
      <c r="D255" s="4">
        <v>65</v>
      </c>
      <c r="E255" s="4">
        <v>1</v>
      </c>
      <c r="F255" s="4">
        <v>50</v>
      </c>
      <c r="G255" s="10">
        <f t="shared" si="60"/>
        <v>10.766666666666667</v>
      </c>
      <c r="H255" s="4">
        <v>50</v>
      </c>
      <c r="I255" s="5">
        <f t="shared" si="63"/>
        <v>699.83333333333337</v>
      </c>
      <c r="J255" s="5">
        <f t="shared" si="64"/>
        <v>649.83333333333337</v>
      </c>
      <c r="K255">
        <v>33</v>
      </c>
      <c r="N255" s="51">
        <f>950+150</f>
        <v>1100</v>
      </c>
    </row>
    <row r="256" spans="1:17">
      <c r="A256" s="6">
        <v>46138</v>
      </c>
      <c r="B256" s="4">
        <v>0</v>
      </c>
      <c r="C256" s="4">
        <v>0</v>
      </c>
      <c r="D256" s="4">
        <v>45</v>
      </c>
      <c r="E256" s="4">
        <v>0</v>
      </c>
      <c r="F256" s="4">
        <v>50</v>
      </c>
      <c r="G256" s="10">
        <f t="shared" si="60"/>
        <v>0</v>
      </c>
      <c r="H256" s="4">
        <v>0</v>
      </c>
      <c r="I256" s="5">
        <f t="shared" si="63"/>
        <v>0</v>
      </c>
      <c r="J256" s="5">
        <f t="shared" si="64"/>
        <v>0</v>
      </c>
      <c r="K256">
        <v>0</v>
      </c>
      <c r="N256" s="51">
        <v>0</v>
      </c>
    </row>
    <row r="257" spans="1:17" ht="19">
      <c r="A257" s="91" t="s">
        <v>932</v>
      </c>
      <c r="B257" s="8">
        <f>SUM(B258:B264)</f>
        <v>59</v>
      </c>
      <c r="C257" s="8">
        <f>SUM(C258:C264)</f>
        <v>125</v>
      </c>
      <c r="D257" s="126">
        <f>SUM(D258)</f>
        <v>45</v>
      </c>
      <c r="E257" s="126">
        <f>SUM(E258:E264)</f>
        <v>6</v>
      </c>
      <c r="F257" s="126">
        <f>SUM(F258:F264)</f>
        <v>350</v>
      </c>
      <c r="G257" s="123">
        <f t="shared" si="60"/>
        <v>61.083333333333336</v>
      </c>
      <c r="H257" s="8">
        <f>SUM(H258:H264)</f>
        <v>300</v>
      </c>
      <c r="I257" s="14">
        <f>SUM(I258:I264)</f>
        <v>2748.75</v>
      </c>
      <c r="J257" s="14">
        <f>SUM(J258:J264)</f>
        <v>2448.75</v>
      </c>
      <c r="K257" s="8">
        <f>SUM(K258:K264)</f>
        <v>114</v>
      </c>
      <c r="L257" s="9">
        <v>0</v>
      </c>
      <c r="M257" s="96">
        <f>J257</f>
        <v>2448.75</v>
      </c>
      <c r="N257" s="102">
        <f>SUM(N258:N264)</f>
        <v>2714</v>
      </c>
      <c r="O257" s="98">
        <f>3160-N257</f>
        <v>446</v>
      </c>
      <c r="P257" s="86"/>
      <c r="Q257" s="86"/>
    </row>
    <row r="258" spans="1:17">
      <c r="A258" s="6">
        <v>46132</v>
      </c>
      <c r="B258" s="4">
        <v>9</v>
      </c>
      <c r="C258" s="4">
        <v>29</v>
      </c>
      <c r="D258" s="4">
        <v>45</v>
      </c>
      <c r="E258" s="4">
        <v>1</v>
      </c>
      <c r="F258" s="4">
        <v>50</v>
      </c>
      <c r="G258" s="10">
        <f t="shared" si="60"/>
        <v>9.4833333333333325</v>
      </c>
      <c r="H258" s="4">
        <v>50</v>
      </c>
      <c r="I258" s="5">
        <f>G258*D258</f>
        <v>426.74999999999994</v>
      </c>
      <c r="J258" s="5">
        <f>I258-H258</f>
        <v>376.74999999999994</v>
      </c>
      <c r="K258">
        <v>17</v>
      </c>
      <c r="N258" s="51">
        <f>524</f>
        <v>524</v>
      </c>
      <c r="O258" s="51"/>
      <c r="P258" t="s">
        <v>933</v>
      </c>
    </row>
    <row r="259" spans="1:17">
      <c r="A259" s="6">
        <v>46133</v>
      </c>
      <c r="B259" s="4">
        <v>8</v>
      </c>
      <c r="C259" s="4">
        <v>31</v>
      </c>
      <c r="D259" s="4">
        <v>45</v>
      </c>
      <c r="E259" s="4">
        <v>1</v>
      </c>
      <c r="F259" s="4">
        <v>50</v>
      </c>
      <c r="G259" s="10">
        <f t="shared" si="60"/>
        <v>8.5166666666666675</v>
      </c>
      <c r="H259" s="4">
        <v>50</v>
      </c>
      <c r="I259" s="5">
        <f>G259*D259</f>
        <v>383.25000000000006</v>
      </c>
      <c r="J259" s="5">
        <f>I259-H259</f>
        <v>333.25000000000006</v>
      </c>
      <c r="K259">
        <v>20</v>
      </c>
      <c r="N259" s="51">
        <f>404</f>
        <v>404</v>
      </c>
      <c r="P259" t="s">
        <v>934</v>
      </c>
    </row>
    <row r="260" spans="1:17">
      <c r="A260" s="6">
        <v>46134</v>
      </c>
      <c r="B260" s="4">
        <v>10</v>
      </c>
      <c r="C260" s="4">
        <v>47</v>
      </c>
      <c r="D260" s="4">
        <v>45</v>
      </c>
      <c r="E260" s="4">
        <v>1</v>
      </c>
      <c r="F260" s="4">
        <v>50</v>
      </c>
      <c r="G260" s="10">
        <f t="shared" si="60"/>
        <v>10.783333333333333</v>
      </c>
      <c r="H260" s="4">
        <v>50</v>
      </c>
      <c r="I260" s="5">
        <f>G260*D260</f>
        <v>485.25</v>
      </c>
      <c r="J260" s="5">
        <f>I260-H260</f>
        <v>435.25</v>
      </c>
      <c r="K260">
        <v>15</v>
      </c>
      <c r="N260" s="51">
        <f>368</f>
        <v>368</v>
      </c>
      <c r="P260" t="s">
        <v>901</v>
      </c>
    </row>
    <row r="261" spans="1:17">
      <c r="A261" s="6">
        <v>46135</v>
      </c>
      <c r="B261" s="4">
        <v>10</v>
      </c>
      <c r="C261" s="4">
        <v>18</v>
      </c>
      <c r="D261" s="4">
        <v>45</v>
      </c>
      <c r="E261" s="4">
        <v>1</v>
      </c>
      <c r="F261" s="4">
        <v>50</v>
      </c>
      <c r="G261" s="10">
        <f t="shared" si="60"/>
        <v>10.3</v>
      </c>
      <c r="H261" s="4">
        <v>50</v>
      </c>
      <c r="I261" s="5">
        <f>G261*D261</f>
        <v>463.50000000000006</v>
      </c>
      <c r="J261" s="5">
        <f>I261-H261</f>
        <v>413.50000000000006</v>
      </c>
      <c r="K261">
        <v>20</v>
      </c>
      <c r="N261" s="51">
        <v>468</v>
      </c>
      <c r="P261" t="s">
        <v>935</v>
      </c>
    </row>
    <row r="262" spans="1:17">
      <c r="A262" s="6">
        <v>46136</v>
      </c>
      <c r="B262" s="4">
        <v>11</v>
      </c>
      <c r="C262" s="4">
        <v>0</v>
      </c>
      <c r="D262" s="4">
        <v>45</v>
      </c>
      <c r="E262" s="4">
        <v>1</v>
      </c>
      <c r="F262" s="4">
        <v>50</v>
      </c>
      <c r="G262" s="10">
        <f t="shared" si="60"/>
        <v>11</v>
      </c>
      <c r="H262" s="4">
        <v>50</v>
      </c>
      <c r="I262" s="5">
        <f>G262*D262</f>
        <v>495</v>
      </c>
      <c r="J262" s="5">
        <f>I262-H262</f>
        <v>445</v>
      </c>
      <c r="K262">
        <v>19</v>
      </c>
      <c r="N262" s="51">
        <v>333</v>
      </c>
    </row>
    <row r="263" spans="1:17">
      <c r="A263" s="6">
        <v>46137</v>
      </c>
      <c r="B263" s="4">
        <v>0</v>
      </c>
      <c r="C263" s="4">
        <v>0</v>
      </c>
      <c r="D263" s="4">
        <v>45</v>
      </c>
      <c r="E263" s="4">
        <v>0</v>
      </c>
      <c r="F263" s="4">
        <v>50</v>
      </c>
      <c r="G263" s="10">
        <v>0</v>
      </c>
      <c r="H263" s="4">
        <v>0</v>
      </c>
      <c r="I263" s="5">
        <v>0</v>
      </c>
      <c r="J263" s="5">
        <v>0</v>
      </c>
      <c r="K263">
        <v>0</v>
      </c>
      <c r="N263" s="51">
        <v>0</v>
      </c>
    </row>
    <row r="264" spans="1:17">
      <c r="A264" s="6">
        <v>46138</v>
      </c>
      <c r="B264" s="4">
        <v>11</v>
      </c>
      <c r="C264" s="4">
        <v>0</v>
      </c>
      <c r="D264" s="4">
        <v>45</v>
      </c>
      <c r="E264" s="4">
        <v>1</v>
      </c>
      <c r="F264" s="4">
        <v>50</v>
      </c>
      <c r="G264" s="10">
        <f t="shared" ref="G264:G286" si="65">B264+C264/60</f>
        <v>11</v>
      </c>
      <c r="H264" s="4">
        <v>50</v>
      </c>
      <c r="I264" s="5">
        <f>G264*D264</f>
        <v>495</v>
      </c>
      <c r="J264" s="5">
        <f>I264-H264</f>
        <v>445</v>
      </c>
      <c r="K264">
        <v>23</v>
      </c>
      <c r="N264" s="51">
        <v>617</v>
      </c>
      <c r="P264" t="s">
        <v>550</v>
      </c>
    </row>
    <row r="265" spans="1:17" ht="19">
      <c r="A265" s="91" t="s">
        <v>936</v>
      </c>
      <c r="B265" s="8">
        <f>SUM(B266:B272)</f>
        <v>29</v>
      </c>
      <c r="C265" s="8">
        <f>SUM(C266:C272)</f>
        <v>226</v>
      </c>
      <c r="D265" s="8">
        <f>SUM(D266)</f>
        <v>45</v>
      </c>
      <c r="E265" s="8">
        <f>SUM(E266:E272)</f>
        <v>5</v>
      </c>
      <c r="F265" s="8">
        <f>SUM(F266:F271)</f>
        <v>300</v>
      </c>
      <c r="G265" s="93">
        <f t="shared" si="65"/>
        <v>32.766666666666666</v>
      </c>
      <c r="H265" s="8">
        <f>SUM(H266:H272)</f>
        <v>250</v>
      </c>
      <c r="I265" s="9">
        <f>SUM(I266:I272)</f>
        <v>1474.5</v>
      </c>
      <c r="J265" s="14">
        <f>SUM(J266:J272)</f>
        <v>1224.5</v>
      </c>
      <c r="K265" s="8">
        <f>SUM(K266:K272)</f>
        <v>59</v>
      </c>
      <c r="L265" s="9">
        <v>0</v>
      </c>
      <c r="M265" s="96">
        <f>J265</f>
        <v>1224.5</v>
      </c>
      <c r="N265" s="102">
        <f>SUM(N266:N272)</f>
        <v>1351</v>
      </c>
      <c r="O265" s="98">
        <f>1385-N265</f>
        <v>34</v>
      </c>
      <c r="P265" s="86"/>
      <c r="Q265" s="86"/>
    </row>
    <row r="266" spans="1:17">
      <c r="A266" s="6">
        <v>46132</v>
      </c>
      <c r="B266" s="4">
        <v>0</v>
      </c>
      <c r="C266" s="4">
        <v>0</v>
      </c>
      <c r="D266" s="4">
        <v>45</v>
      </c>
      <c r="E266" s="4">
        <v>0</v>
      </c>
      <c r="F266" s="4">
        <v>50</v>
      </c>
      <c r="G266" s="10">
        <f t="shared" si="65"/>
        <v>0</v>
      </c>
      <c r="H266" s="4">
        <v>0</v>
      </c>
      <c r="I266" s="5">
        <f t="shared" ref="I266:I272" si="66">G266*D266</f>
        <v>0</v>
      </c>
      <c r="J266" s="5">
        <f t="shared" ref="J266:J272" si="67">I266-H266</f>
        <v>0</v>
      </c>
      <c r="K266">
        <v>0</v>
      </c>
      <c r="N266" s="51">
        <v>0</v>
      </c>
      <c r="O266" s="51"/>
    </row>
    <row r="267" spans="1:17">
      <c r="A267" s="6">
        <v>46133</v>
      </c>
      <c r="B267" s="4">
        <v>0</v>
      </c>
      <c r="C267" s="4">
        <v>0</v>
      </c>
      <c r="D267" s="4">
        <v>55</v>
      </c>
      <c r="E267" s="4">
        <v>0</v>
      </c>
      <c r="F267" s="4">
        <v>50</v>
      </c>
      <c r="G267" s="10">
        <f t="shared" si="65"/>
        <v>0</v>
      </c>
      <c r="H267" s="4">
        <v>0</v>
      </c>
      <c r="I267" s="5">
        <f t="shared" si="66"/>
        <v>0</v>
      </c>
      <c r="J267" s="5">
        <f t="shared" si="67"/>
        <v>0</v>
      </c>
      <c r="K267">
        <v>0</v>
      </c>
      <c r="N267" s="51">
        <v>0</v>
      </c>
    </row>
    <row r="268" spans="1:17">
      <c r="A268" s="6">
        <v>46134</v>
      </c>
      <c r="B268" s="4">
        <v>6</v>
      </c>
      <c r="C268" s="4">
        <v>28</v>
      </c>
      <c r="D268" s="4">
        <v>45</v>
      </c>
      <c r="E268" s="4">
        <v>1</v>
      </c>
      <c r="F268" s="4">
        <v>50</v>
      </c>
      <c r="G268" s="10">
        <f t="shared" si="65"/>
        <v>6.4666666666666668</v>
      </c>
      <c r="H268" s="4">
        <v>50</v>
      </c>
      <c r="I268" s="5">
        <f t="shared" si="66"/>
        <v>291</v>
      </c>
      <c r="J268" s="5">
        <f t="shared" si="67"/>
        <v>241</v>
      </c>
      <c r="K268">
        <v>6</v>
      </c>
      <c r="N268" s="83">
        <v>20</v>
      </c>
      <c r="Q268" t="s">
        <v>64</v>
      </c>
    </row>
    <row r="269" spans="1:17">
      <c r="A269" s="6">
        <v>46135</v>
      </c>
      <c r="B269" s="4">
        <v>9</v>
      </c>
      <c r="C269" s="4">
        <v>45</v>
      </c>
      <c r="D269" s="4">
        <v>45</v>
      </c>
      <c r="E269" s="4">
        <v>1</v>
      </c>
      <c r="F269" s="4">
        <v>50</v>
      </c>
      <c r="G269" s="10">
        <f t="shared" si="65"/>
        <v>9.75</v>
      </c>
      <c r="H269" s="4">
        <v>50</v>
      </c>
      <c r="I269" s="5">
        <f t="shared" si="66"/>
        <v>438.75</v>
      </c>
      <c r="J269" s="5">
        <f t="shared" si="67"/>
        <v>388.75</v>
      </c>
      <c r="K269">
        <v>10</v>
      </c>
      <c r="N269" s="51">
        <v>171</v>
      </c>
    </row>
    <row r="270" spans="1:17">
      <c r="A270" s="6">
        <v>46136</v>
      </c>
      <c r="B270" s="4">
        <v>7</v>
      </c>
      <c r="C270" s="4">
        <v>49</v>
      </c>
      <c r="D270" s="4">
        <v>45</v>
      </c>
      <c r="E270" s="4">
        <v>1</v>
      </c>
      <c r="F270" s="4">
        <v>50</v>
      </c>
      <c r="G270" s="10">
        <f t="shared" si="65"/>
        <v>7.8166666666666664</v>
      </c>
      <c r="H270" s="4">
        <v>50</v>
      </c>
      <c r="I270" s="5">
        <f t="shared" si="66"/>
        <v>351.75</v>
      </c>
      <c r="J270" s="5">
        <f t="shared" si="67"/>
        <v>301.75</v>
      </c>
      <c r="K270">
        <v>15</v>
      </c>
      <c r="N270" s="51">
        <v>550</v>
      </c>
    </row>
    <row r="271" spans="1:17">
      <c r="A271" s="6">
        <v>46137</v>
      </c>
      <c r="B271" s="4">
        <v>7</v>
      </c>
      <c r="C271" s="4">
        <v>50</v>
      </c>
      <c r="D271" s="4">
        <v>45</v>
      </c>
      <c r="E271" s="4">
        <v>1</v>
      </c>
      <c r="F271" s="4">
        <v>50</v>
      </c>
      <c r="G271" s="10">
        <f t="shared" si="65"/>
        <v>7.833333333333333</v>
      </c>
      <c r="H271" s="4">
        <v>50</v>
      </c>
      <c r="I271" s="5">
        <f t="shared" si="66"/>
        <v>352.5</v>
      </c>
      <c r="J271" s="5">
        <f t="shared" si="67"/>
        <v>302.5</v>
      </c>
      <c r="K271">
        <v>25</v>
      </c>
      <c r="N271" s="51">
        <v>450</v>
      </c>
    </row>
    <row r="272" spans="1:17">
      <c r="A272" s="6">
        <v>46138</v>
      </c>
      <c r="B272" s="4">
        <v>0</v>
      </c>
      <c r="C272" s="4">
        <v>54</v>
      </c>
      <c r="D272" s="4">
        <v>45</v>
      </c>
      <c r="E272" s="4">
        <v>1</v>
      </c>
      <c r="F272" s="4">
        <v>50</v>
      </c>
      <c r="G272" s="10">
        <f t="shared" si="65"/>
        <v>0.9</v>
      </c>
      <c r="H272" s="4">
        <v>50</v>
      </c>
      <c r="I272" s="5">
        <f t="shared" si="66"/>
        <v>40.5</v>
      </c>
      <c r="J272" s="5">
        <f t="shared" si="67"/>
        <v>-9.5</v>
      </c>
      <c r="K272">
        <v>3</v>
      </c>
      <c r="N272" s="51">
        <v>160</v>
      </c>
    </row>
    <row r="273" spans="1:17" ht="19">
      <c r="A273" s="91" t="s">
        <v>937</v>
      </c>
      <c r="B273" s="8">
        <f>SUM(B274:B280)</f>
        <v>43</v>
      </c>
      <c r="C273" s="173">
        <f>SUM(C274:C280)</f>
        <v>141</v>
      </c>
      <c r="D273" s="171">
        <f>SUM(D274)</f>
        <v>45</v>
      </c>
      <c r="E273" s="171">
        <f>SUM(E274:E279)</f>
        <v>4</v>
      </c>
      <c r="F273" s="171">
        <f>SUM(F274:F279)</f>
        <v>300</v>
      </c>
      <c r="G273" s="175">
        <f t="shared" si="65"/>
        <v>45.35</v>
      </c>
      <c r="H273" s="8">
        <f>SUM(H274:H280)</f>
        <v>328.6</v>
      </c>
      <c r="I273" s="14">
        <f>SUM(I274:I280)</f>
        <v>2040.75</v>
      </c>
      <c r="J273" s="14">
        <f>SUM(J274:J280)</f>
        <v>1712.15</v>
      </c>
      <c r="K273" s="8">
        <f>SUM(K274:K280)</f>
        <v>98</v>
      </c>
      <c r="L273" s="9">
        <v>0</v>
      </c>
      <c r="M273" s="96">
        <f>J273</f>
        <v>1712.15</v>
      </c>
      <c r="N273" s="102">
        <f>SUM(N274:N280)</f>
        <v>3206</v>
      </c>
      <c r="O273" s="98">
        <f>2414-N273</f>
        <v>-792</v>
      </c>
      <c r="P273" s="86"/>
      <c r="Q273" s="86"/>
    </row>
    <row r="274" spans="1:17">
      <c r="A274" s="6">
        <v>46132</v>
      </c>
      <c r="B274" s="4">
        <v>0</v>
      </c>
      <c r="C274" s="4">
        <v>0</v>
      </c>
      <c r="D274" s="141">
        <v>45</v>
      </c>
      <c r="E274" s="141">
        <v>0</v>
      </c>
      <c r="F274" s="141">
        <v>50</v>
      </c>
      <c r="G274" s="10">
        <f t="shared" si="65"/>
        <v>0</v>
      </c>
      <c r="H274" s="4">
        <v>0</v>
      </c>
      <c r="I274" s="5">
        <f t="shared" ref="I274:I280" si="68">G274*D274</f>
        <v>0</v>
      </c>
      <c r="J274" s="5">
        <f t="shared" ref="J274:J280" si="69">I274-H274</f>
        <v>0</v>
      </c>
      <c r="K274">
        <v>0</v>
      </c>
      <c r="N274" s="51">
        <v>0</v>
      </c>
      <c r="O274" s="51"/>
    </row>
    <row r="275" spans="1:17">
      <c r="A275" s="6">
        <v>46133</v>
      </c>
      <c r="B275" s="4">
        <v>8</v>
      </c>
      <c r="C275" s="4">
        <v>55</v>
      </c>
      <c r="D275" s="4">
        <v>45</v>
      </c>
      <c r="E275" s="4">
        <v>1</v>
      </c>
      <c r="F275" s="4">
        <v>50</v>
      </c>
      <c r="G275" s="10">
        <f t="shared" si="65"/>
        <v>8.9166666666666661</v>
      </c>
      <c r="H275" s="4">
        <v>50</v>
      </c>
      <c r="I275" s="5">
        <f t="shared" si="68"/>
        <v>401.25</v>
      </c>
      <c r="J275" s="5">
        <f t="shared" si="69"/>
        <v>351.25</v>
      </c>
      <c r="K275">
        <v>19</v>
      </c>
      <c r="N275" s="51">
        <f>462+42</f>
        <v>504</v>
      </c>
      <c r="P275" t="s">
        <v>938</v>
      </c>
    </row>
    <row r="276" spans="1:17">
      <c r="A276" s="6">
        <v>46134</v>
      </c>
      <c r="B276" s="4">
        <v>9</v>
      </c>
      <c r="C276" s="4">
        <v>52</v>
      </c>
      <c r="D276" s="4">
        <v>45</v>
      </c>
      <c r="E276" s="4">
        <v>1</v>
      </c>
      <c r="F276" s="4">
        <v>50</v>
      </c>
      <c r="G276" s="10">
        <f t="shared" si="65"/>
        <v>9.8666666666666671</v>
      </c>
      <c r="H276" s="4">
        <f>50+78.6</f>
        <v>128.6</v>
      </c>
      <c r="I276" s="5">
        <f t="shared" si="68"/>
        <v>444</v>
      </c>
      <c r="J276" s="5">
        <f t="shared" si="69"/>
        <v>315.39999999999998</v>
      </c>
      <c r="K276">
        <v>15</v>
      </c>
      <c r="N276" s="51">
        <f>443</f>
        <v>443</v>
      </c>
      <c r="P276" t="s">
        <v>939</v>
      </c>
    </row>
    <row r="277" spans="1:17">
      <c r="A277" s="6">
        <v>46135</v>
      </c>
      <c r="B277" s="4">
        <v>10</v>
      </c>
      <c r="C277" s="4">
        <v>0</v>
      </c>
      <c r="D277" s="4">
        <v>45</v>
      </c>
      <c r="E277" s="4">
        <v>1</v>
      </c>
      <c r="F277" s="4">
        <v>50</v>
      </c>
      <c r="G277" s="10">
        <f t="shared" si="65"/>
        <v>10</v>
      </c>
      <c r="H277" s="4">
        <v>50</v>
      </c>
      <c r="I277" s="5">
        <f t="shared" si="68"/>
        <v>450</v>
      </c>
      <c r="J277" s="5">
        <f t="shared" si="69"/>
        <v>400</v>
      </c>
      <c r="K277">
        <v>18</v>
      </c>
      <c r="N277" s="51">
        <v>758</v>
      </c>
      <c r="P277" t="s">
        <v>940</v>
      </c>
    </row>
    <row r="278" spans="1:17">
      <c r="A278" s="6">
        <v>46136</v>
      </c>
      <c r="B278" s="4">
        <v>8</v>
      </c>
      <c r="C278" s="4">
        <v>30</v>
      </c>
      <c r="D278" s="4">
        <v>45</v>
      </c>
      <c r="E278" s="4">
        <v>1</v>
      </c>
      <c r="F278" s="4">
        <v>50</v>
      </c>
      <c r="G278" s="10">
        <f t="shared" si="65"/>
        <v>8.5</v>
      </c>
      <c r="H278" s="4">
        <v>50</v>
      </c>
      <c r="I278" s="5">
        <f t="shared" si="68"/>
        <v>382.5</v>
      </c>
      <c r="J278" s="5">
        <f t="shared" si="69"/>
        <v>332.5</v>
      </c>
      <c r="K278">
        <v>23</v>
      </c>
      <c r="N278" s="51">
        <f>455+716</f>
        <v>1171</v>
      </c>
      <c r="P278" t="s">
        <v>941</v>
      </c>
    </row>
    <row r="279" spans="1:17">
      <c r="A279" s="6">
        <v>46137</v>
      </c>
      <c r="B279" s="4">
        <v>0</v>
      </c>
      <c r="C279" s="4">
        <v>0</v>
      </c>
      <c r="D279" s="4">
        <v>45</v>
      </c>
      <c r="E279" s="4">
        <v>0</v>
      </c>
      <c r="F279" s="4">
        <v>50</v>
      </c>
      <c r="G279" s="10">
        <f t="shared" si="65"/>
        <v>0</v>
      </c>
      <c r="H279" s="4">
        <v>0</v>
      </c>
      <c r="I279" s="5">
        <f t="shared" si="68"/>
        <v>0</v>
      </c>
      <c r="J279" s="5">
        <f t="shared" si="69"/>
        <v>0</v>
      </c>
      <c r="K279">
        <v>0</v>
      </c>
      <c r="N279" s="51"/>
    </row>
    <row r="280" spans="1:17">
      <c r="A280" s="6">
        <v>46138</v>
      </c>
      <c r="B280" s="4">
        <v>8</v>
      </c>
      <c r="C280" s="4">
        <v>4</v>
      </c>
      <c r="D280" s="7">
        <v>45</v>
      </c>
      <c r="E280" s="7">
        <v>1</v>
      </c>
      <c r="F280" s="7">
        <v>50</v>
      </c>
      <c r="G280" s="10">
        <f t="shared" si="65"/>
        <v>8.0666666666666664</v>
      </c>
      <c r="H280" s="4">
        <v>50</v>
      </c>
      <c r="I280" s="5">
        <f t="shared" si="68"/>
        <v>363</v>
      </c>
      <c r="J280" s="5">
        <f t="shared" si="69"/>
        <v>313</v>
      </c>
      <c r="K280">
        <v>23</v>
      </c>
      <c r="N280" s="51">
        <v>330</v>
      </c>
      <c r="P280" t="s">
        <v>942</v>
      </c>
    </row>
    <row r="281" spans="1:17" ht="19">
      <c r="A281" s="91" t="s">
        <v>943</v>
      </c>
      <c r="B281" s="8">
        <f>SUM(B282:B288)</f>
        <v>18</v>
      </c>
      <c r="C281" s="8">
        <f>SUM(C282:C288)</f>
        <v>42</v>
      </c>
      <c r="D281" s="126">
        <f>SUM(D282)</f>
        <v>45</v>
      </c>
      <c r="E281" s="126">
        <f>SUM(E282:E288)</f>
        <v>2</v>
      </c>
      <c r="F281" s="126">
        <f>SUM(F282:F288)</f>
        <v>350</v>
      </c>
      <c r="G281" s="123">
        <f t="shared" si="65"/>
        <v>18.7</v>
      </c>
      <c r="H281" s="8">
        <f>SUM(H282:H288)</f>
        <v>100</v>
      </c>
      <c r="I281" s="14">
        <f>SUM(I282:I288)</f>
        <v>841.5</v>
      </c>
      <c r="J281" s="14">
        <f>SUM(J282:J288)</f>
        <v>741.5</v>
      </c>
      <c r="K281" s="8">
        <f>SUM(K282:K288)</f>
        <v>46</v>
      </c>
      <c r="L281" s="9">
        <v>0</v>
      </c>
      <c r="M281" s="96">
        <f>J281</f>
        <v>741.5</v>
      </c>
      <c r="N281" s="102">
        <f>SUM(N282:N288)</f>
        <v>583</v>
      </c>
      <c r="O281" s="98">
        <f>938-N281</f>
        <v>355</v>
      </c>
      <c r="P281" s="86"/>
      <c r="Q281" s="86"/>
    </row>
    <row r="282" spans="1:17">
      <c r="A282" s="6">
        <v>46132</v>
      </c>
      <c r="B282" s="4">
        <v>9</v>
      </c>
      <c r="C282" s="4">
        <v>17</v>
      </c>
      <c r="D282" s="4">
        <v>45</v>
      </c>
      <c r="E282" s="4">
        <v>1</v>
      </c>
      <c r="F282" s="4">
        <v>50</v>
      </c>
      <c r="G282" s="10">
        <f t="shared" si="65"/>
        <v>9.2833333333333332</v>
      </c>
      <c r="H282" s="4">
        <v>50</v>
      </c>
      <c r="I282" s="5">
        <f>G282*D282</f>
        <v>417.75</v>
      </c>
      <c r="J282" s="5">
        <f>I282-H282</f>
        <v>367.75</v>
      </c>
      <c r="K282">
        <v>23</v>
      </c>
      <c r="N282" s="51">
        <f>206</f>
        <v>206</v>
      </c>
      <c r="O282" s="51"/>
      <c r="P282" t="s">
        <v>944</v>
      </c>
    </row>
    <row r="283" spans="1:17">
      <c r="A283" s="6">
        <v>46133</v>
      </c>
      <c r="B283" s="4">
        <v>9</v>
      </c>
      <c r="C283" s="4">
        <v>25</v>
      </c>
      <c r="D283" s="4">
        <v>45</v>
      </c>
      <c r="E283" s="4">
        <v>1</v>
      </c>
      <c r="F283" s="4">
        <v>50</v>
      </c>
      <c r="G283" s="10">
        <f t="shared" si="65"/>
        <v>9.4166666666666661</v>
      </c>
      <c r="H283" s="4">
        <v>50</v>
      </c>
      <c r="I283" s="5">
        <f>G283*D283</f>
        <v>423.75</v>
      </c>
      <c r="J283" s="5">
        <f>I283-H283</f>
        <v>373.75</v>
      </c>
      <c r="K283">
        <v>23</v>
      </c>
      <c r="N283" s="51">
        <f>377</f>
        <v>377</v>
      </c>
      <c r="P283" t="s">
        <v>945</v>
      </c>
    </row>
    <row r="284" spans="1:17">
      <c r="A284" s="6">
        <v>46134</v>
      </c>
      <c r="B284" s="4">
        <v>0</v>
      </c>
      <c r="C284" s="4">
        <v>0</v>
      </c>
      <c r="D284" s="4">
        <v>45</v>
      </c>
      <c r="E284" s="4">
        <v>0</v>
      </c>
      <c r="F284" s="4">
        <v>50</v>
      </c>
      <c r="G284" s="10">
        <f t="shared" si="65"/>
        <v>0</v>
      </c>
      <c r="H284" s="4">
        <v>0</v>
      </c>
      <c r="I284" s="5">
        <f>G284*D284</f>
        <v>0</v>
      </c>
      <c r="J284" s="5">
        <f>I284-H284</f>
        <v>0</v>
      </c>
      <c r="K284">
        <v>0</v>
      </c>
      <c r="N284" s="51">
        <v>0</v>
      </c>
    </row>
    <row r="285" spans="1:17">
      <c r="A285" s="6">
        <v>46135</v>
      </c>
      <c r="B285" s="4">
        <v>0</v>
      </c>
      <c r="C285" s="4">
        <v>0</v>
      </c>
      <c r="D285" s="4">
        <v>45</v>
      </c>
      <c r="E285" s="4">
        <v>0</v>
      </c>
      <c r="F285" s="4">
        <v>50</v>
      </c>
      <c r="G285" s="10">
        <f t="shared" si="65"/>
        <v>0</v>
      </c>
      <c r="H285" s="4">
        <v>0</v>
      </c>
      <c r="I285" s="5">
        <f>G285*D285</f>
        <v>0</v>
      </c>
      <c r="J285" s="5">
        <f>I285-H285</f>
        <v>0</v>
      </c>
      <c r="K285">
        <v>0</v>
      </c>
      <c r="N285" s="51">
        <v>0</v>
      </c>
    </row>
    <row r="286" spans="1:17">
      <c r="A286" s="6">
        <v>46136</v>
      </c>
      <c r="B286" s="4">
        <v>0</v>
      </c>
      <c r="C286" s="4">
        <v>0</v>
      </c>
      <c r="D286" s="4">
        <v>45</v>
      </c>
      <c r="E286" s="4">
        <v>0</v>
      </c>
      <c r="F286" s="4">
        <v>50</v>
      </c>
      <c r="G286" s="10">
        <f t="shared" si="65"/>
        <v>0</v>
      </c>
      <c r="H286" s="4">
        <v>0</v>
      </c>
      <c r="I286" s="5">
        <f>G286*D286</f>
        <v>0</v>
      </c>
      <c r="J286" s="5">
        <f>I286-H286</f>
        <v>0</v>
      </c>
      <c r="K286">
        <v>0</v>
      </c>
      <c r="N286" s="51">
        <v>0</v>
      </c>
    </row>
    <row r="287" spans="1:17">
      <c r="A287" s="6">
        <v>46137</v>
      </c>
      <c r="B287" s="4">
        <v>0</v>
      </c>
      <c r="C287" s="4">
        <v>0</v>
      </c>
      <c r="D287" s="4">
        <v>45</v>
      </c>
      <c r="E287" s="4">
        <v>0</v>
      </c>
      <c r="F287" s="4">
        <v>50</v>
      </c>
      <c r="G287" s="10">
        <v>0</v>
      </c>
      <c r="H287" s="4">
        <v>0</v>
      </c>
      <c r="I287" s="5">
        <v>0</v>
      </c>
      <c r="J287" s="5">
        <v>0</v>
      </c>
      <c r="K287">
        <v>0</v>
      </c>
      <c r="N287" s="51">
        <v>0</v>
      </c>
    </row>
    <row r="288" spans="1:17">
      <c r="A288" s="6">
        <v>46138</v>
      </c>
      <c r="B288" s="4">
        <v>0</v>
      </c>
      <c r="C288" s="4">
        <v>0</v>
      </c>
      <c r="D288" s="4">
        <v>45</v>
      </c>
      <c r="E288" s="4">
        <v>0</v>
      </c>
      <c r="F288" s="4">
        <v>50</v>
      </c>
      <c r="G288" s="10">
        <f t="shared" ref="G288:G302" si="70">B288+C288/60</f>
        <v>0</v>
      </c>
      <c r="H288" s="4">
        <v>0</v>
      </c>
      <c r="I288" s="5">
        <f>G288*D288</f>
        <v>0</v>
      </c>
      <c r="J288" s="5">
        <f>I288-H288</f>
        <v>0</v>
      </c>
      <c r="K288">
        <v>0</v>
      </c>
      <c r="N288" s="51">
        <v>0</v>
      </c>
    </row>
    <row r="289" spans="1:17" ht="19">
      <c r="A289" s="91" t="s">
        <v>946</v>
      </c>
      <c r="B289" s="8">
        <f>SUM(B290:B296)</f>
        <v>60</v>
      </c>
      <c r="C289" s="8">
        <f>SUM(C290:C296)</f>
        <v>154</v>
      </c>
      <c r="D289" s="126">
        <f>SUM(D290)</f>
        <v>45</v>
      </c>
      <c r="E289" s="126">
        <f>SUM(E290:E296)</f>
        <v>6</v>
      </c>
      <c r="F289" s="126">
        <f>SUM(F290:F296)</f>
        <v>350</v>
      </c>
      <c r="G289" s="123">
        <f t="shared" si="70"/>
        <v>62.56666666666667</v>
      </c>
      <c r="H289" s="8">
        <f>SUM(H290:H296)</f>
        <v>300</v>
      </c>
      <c r="I289" s="14">
        <f>SUM(I290:I296)</f>
        <v>3894.5</v>
      </c>
      <c r="J289" s="14">
        <f>SUM(J290:J296)</f>
        <v>3594.5</v>
      </c>
      <c r="K289" s="8">
        <f>SUM(K290:K296)</f>
        <v>204</v>
      </c>
      <c r="L289" s="9">
        <v>0</v>
      </c>
      <c r="M289" s="96">
        <f>J289</f>
        <v>3594.5</v>
      </c>
      <c r="N289" s="102">
        <f>SUM(N290:N296)</f>
        <v>4941</v>
      </c>
      <c r="O289" s="98">
        <f>5246-N289</f>
        <v>305</v>
      </c>
      <c r="P289" s="86"/>
      <c r="Q289" s="86"/>
    </row>
    <row r="290" spans="1:17">
      <c r="A290" s="6">
        <v>46132</v>
      </c>
      <c r="B290" s="4">
        <v>0</v>
      </c>
      <c r="C290" s="4">
        <v>0</v>
      </c>
      <c r="D290" s="4">
        <v>45</v>
      </c>
      <c r="E290" s="4">
        <v>0</v>
      </c>
      <c r="F290" s="4">
        <v>50</v>
      </c>
      <c r="G290" s="10">
        <f t="shared" si="70"/>
        <v>0</v>
      </c>
      <c r="H290" s="4">
        <v>0</v>
      </c>
      <c r="I290" s="5">
        <f t="shared" ref="I290:I296" si="71">G290*D290</f>
        <v>0</v>
      </c>
      <c r="J290" s="5">
        <f t="shared" ref="J290:J296" si="72">I290-H290</f>
        <v>0</v>
      </c>
      <c r="K290">
        <v>0</v>
      </c>
      <c r="N290" s="51">
        <v>0</v>
      </c>
      <c r="O290" s="51"/>
    </row>
    <row r="291" spans="1:17">
      <c r="A291" s="6">
        <v>46133</v>
      </c>
      <c r="B291" s="4">
        <v>8</v>
      </c>
      <c r="C291" s="4">
        <v>37</v>
      </c>
      <c r="D291" s="4">
        <v>45</v>
      </c>
      <c r="E291" s="4">
        <v>1</v>
      </c>
      <c r="F291" s="4">
        <v>50</v>
      </c>
      <c r="G291" s="10">
        <f t="shared" si="70"/>
        <v>8.6166666666666671</v>
      </c>
      <c r="H291" s="4">
        <v>50</v>
      </c>
      <c r="I291" s="5">
        <f t="shared" si="71"/>
        <v>387.75</v>
      </c>
      <c r="J291" s="5">
        <f t="shared" si="72"/>
        <v>337.75</v>
      </c>
      <c r="K291">
        <v>24</v>
      </c>
      <c r="N291" s="51">
        <v>423</v>
      </c>
    </row>
    <row r="292" spans="1:17">
      <c r="A292" s="6">
        <v>46134</v>
      </c>
      <c r="B292" s="4">
        <v>11</v>
      </c>
      <c r="C292" s="4">
        <v>0</v>
      </c>
      <c r="D292" s="4">
        <v>65</v>
      </c>
      <c r="E292" s="4">
        <v>1</v>
      </c>
      <c r="F292" s="4">
        <v>50</v>
      </c>
      <c r="G292" s="10">
        <f t="shared" si="70"/>
        <v>11</v>
      </c>
      <c r="H292" s="4">
        <v>50</v>
      </c>
      <c r="I292" s="5">
        <f t="shared" si="71"/>
        <v>715</v>
      </c>
      <c r="J292" s="5">
        <f t="shared" si="72"/>
        <v>665</v>
      </c>
      <c r="K292">
        <v>32</v>
      </c>
      <c r="N292" s="51">
        <v>758</v>
      </c>
    </row>
    <row r="293" spans="1:17">
      <c r="A293" s="6">
        <v>46135</v>
      </c>
      <c r="B293" s="4">
        <v>10</v>
      </c>
      <c r="C293" s="4">
        <v>24</v>
      </c>
      <c r="D293" s="4">
        <v>65</v>
      </c>
      <c r="E293" s="4">
        <v>1</v>
      </c>
      <c r="F293" s="4">
        <v>50</v>
      </c>
      <c r="G293" s="10">
        <f t="shared" si="70"/>
        <v>10.4</v>
      </c>
      <c r="H293" s="4">
        <v>50</v>
      </c>
      <c r="I293" s="5">
        <f t="shared" si="71"/>
        <v>676</v>
      </c>
      <c r="J293" s="5">
        <f t="shared" si="72"/>
        <v>626</v>
      </c>
      <c r="K293">
        <v>32</v>
      </c>
      <c r="N293" s="51">
        <v>700</v>
      </c>
    </row>
    <row r="294" spans="1:17">
      <c r="A294" s="6">
        <v>46136</v>
      </c>
      <c r="B294" s="4">
        <v>10</v>
      </c>
      <c r="C294" s="4">
        <v>48</v>
      </c>
      <c r="D294" s="4">
        <v>65</v>
      </c>
      <c r="E294" s="4">
        <v>1</v>
      </c>
      <c r="F294" s="4">
        <v>50</v>
      </c>
      <c r="G294" s="10">
        <f t="shared" si="70"/>
        <v>10.8</v>
      </c>
      <c r="H294" s="4">
        <v>50</v>
      </c>
      <c r="I294" s="5">
        <f t="shared" si="71"/>
        <v>702</v>
      </c>
      <c r="J294" s="5">
        <f t="shared" si="72"/>
        <v>652</v>
      </c>
      <c r="K294">
        <v>32</v>
      </c>
      <c r="N294" s="51">
        <v>700</v>
      </c>
    </row>
    <row r="295" spans="1:17">
      <c r="A295" s="6">
        <v>46137</v>
      </c>
      <c r="B295" s="4">
        <v>11</v>
      </c>
      <c r="C295" s="4">
        <v>0</v>
      </c>
      <c r="D295" s="4">
        <v>65</v>
      </c>
      <c r="E295" s="4">
        <v>1</v>
      </c>
      <c r="F295" s="4">
        <v>50</v>
      </c>
      <c r="G295" s="10">
        <f t="shared" si="70"/>
        <v>11</v>
      </c>
      <c r="H295" s="4">
        <v>50</v>
      </c>
      <c r="I295" s="5">
        <f t="shared" si="71"/>
        <v>715</v>
      </c>
      <c r="J295" s="5">
        <f t="shared" si="72"/>
        <v>665</v>
      </c>
      <c r="K295">
        <v>47</v>
      </c>
      <c r="N295" s="51">
        <v>1307</v>
      </c>
    </row>
    <row r="296" spans="1:17">
      <c r="A296" s="6">
        <v>46138</v>
      </c>
      <c r="B296" s="4">
        <v>10</v>
      </c>
      <c r="C296" s="4">
        <v>45</v>
      </c>
      <c r="D296" s="4">
        <v>65</v>
      </c>
      <c r="E296" s="4">
        <v>1</v>
      </c>
      <c r="F296" s="4">
        <v>50</v>
      </c>
      <c r="G296" s="10">
        <f t="shared" si="70"/>
        <v>10.75</v>
      </c>
      <c r="H296" s="4">
        <v>50</v>
      </c>
      <c r="I296" s="5">
        <f t="shared" si="71"/>
        <v>698.75</v>
      </c>
      <c r="J296" s="5">
        <f t="shared" si="72"/>
        <v>648.75</v>
      </c>
      <c r="K296">
        <v>37</v>
      </c>
      <c r="N296" s="51">
        <v>1053</v>
      </c>
    </row>
    <row r="297" spans="1:17" ht="19">
      <c r="A297" s="91" t="s">
        <v>560</v>
      </c>
      <c r="B297" s="8">
        <f>SUM(B298:B304)</f>
        <v>20</v>
      </c>
      <c r="C297" s="8">
        <f>SUM(C298:C304)</f>
        <v>4</v>
      </c>
      <c r="D297" s="8">
        <f>SUM(D298)</f>
        <v>65</v>
      </c>
      <c r="E297" s="8">
        <f>SUM(E298:E304)</f>
        <v>2</v>
      </c>
      <c r="F297" s="8">
        <f>SUM(F298:F304)</f>
        <v>350</v>
      </c>
      <c r="G297" s="93">
        <f t="shared" si="70"/>
        <v>20.066666666666666</v>
      </c>
      <c r="H297" s="8">
        <f>SUM(H298:H304)</f>
        <v>100</v>
      </c>
      <c r="I297" s="9">
        <f>SUM(I298:I304)</f>
        <v>1103.6666666666665</v>
      </c>
      <c r="J297" s="9">
        <f>SUM(J298:J304)</f>
        <v>1003.6666666666666</v>
      </c>
      <c r="K297" s="8">
        <f>SUM(K298:K304)</f>
        <v>57</v>
      </c>
      <c r="L297" s="9">
        <v>0</v>
      </c>
      <c r="M297" s="96">
        <f>J297</f>
        <v>1003.6666666666666</v>
      </c>
      <c r="N297" s="102">
        <f>SUM(N298:N304)</f>
        <v>1140</v>
      </c>
      <c r="O297" s="98">
        <f>1335-N297</f>
        <v>195</v>
      </c>
      <c r="P297" s="86"/>
      <c r="Q297" s="86"/>
    </row>
    <row r="298" spans="1:17">
      <c r="A298" s="80" t="s">
        <v>820</v>
      </c>
      <c r="B298" s="4">
        <v>10</v>
      </c>
      <c r="C298" s="4">
        <v>2</v>
      </c>
      <c r="D298" s="4">
        <v>65</v>
      </c>
      <c r="E298" s="4">
        <v>1</v>
      </c>
      <c r="F298" s="4">
        <v>50</v>
      </c>
      <c r="G298" s="10">
        <f t="shared" si="70"/>
        <v>10.033333333333333</v>
      </c>
      <c r="H298" s="4">
        <v>50</v>
      </c>
      <c r="I298" s="5">
        <f t="shared" ref="I298:I304" si="73">G298*D298</f>
        <v>652.16666666666663</v>
      </c>
      <c r="J298" s="5">
        <f t="shared" ref="J298:J304" si="74">I298-H298</f>
        <v>602.16666666666663</v>
      </c>
      <c r="K298">
        <v>34</v>
      </c>
      <c r="N298" s="51">
        <v>630</v>
      </c>
      <c r="O298" s="51"/>
      <c r="P298" t="s">
        <v>947</v>
      </c>
    </row>
    <row r="299" spans="1:17">
      <c r="A299" s="80" t="s">
        <v>822</v>
      </c>
      <c r="B299" s="4">
        <v>10</v>
      </c>
      <c r="C299" s="4">
        <v>2</v>
      </c>
      <c r="D299" s="4">
        <v>45</v>
      </c>
      <c r="E299" s="4">
        <v>1</v>
      </c>
      <c r="F299" s="4">
        <v>50</v>
      </c>
      <c r="G299" s="10">
        <f t="shared" si="70"/>
        <v>10.033333333333333</v>
      </c>
      <c r="H299" s="4">
        <v>50</v>
      </c>
      <c r="I299" s="5">
        <f t="shared" si="73"/>
        <v>451.5</v>
      </c>
      <c r="J299" s="5">
        <f t="shared" si="74"/>
        <v>401.5</v>
      </c>
      <c r="K299">
        <v>23</v>
      </c>
      <c r="N299" s="51">
        <v>510</v>
      </c>
      <c r="P299" t="s">
        <v>948</v>
      </c>
    </row>
    <row r="300" spans="1:17">
      <c r="A300" s="80" t="s">
        <v>824</v>
      </c>
      <c r="B300" s="4">
        <v>0</v>
      </c>
      <c r="C300" s="4">
        <v>0</v>
      </c>
      <c r="D300" s="4">
        <v>45</v>
      </c>
      <c r="E300" s="4">
        <v>0</v>
      </c>
      <c r="F300" s="4">
        <v>50</v>
      </c>
      <c r="G300" s="10">
        <f t="shared" si="70"/>
        <v>0</v>
      </c>
      <c r="H300" s="4">
        <v>0</v>
      </c>
      <c r="I300" s="5">
        <f t="shared" si="73"/>
        <v>0</v>
      </c>
      <c r="J300" s="5">
        <f t="shared" si="74"/>
        <v>0</v>
      </c>
      <c r="K300">
        <v>0</v>
      </c>
      <c r="N300" s="51">
        <v>0</v>
      </c>
    </row>
    <row r="301" spans="1:17">
      <c r="A301" s="80" t="s">
        <v>826</v>
      </c>
      <c r="B301" s="4">
        <v>0</v>
      </c>
      <c r="C301" s="4">
        <v>0</v>
      </c>
      <c r="D301" s="4">
        <v>45</v>
      </c>
      <c r="E301" s="4">
        <v>0</v>
      </c>
      <c r="F301" s="4">
        <v>50</v>
      </c>
      <c r="G301" s="10">
        <f t="shared" si="70"/>
        <v>0</v>
      </c>
      <c r="H301" s="4">
        <v>0</v>
      </c>
      <c r="I301" s="5">
        <f t="shared" si="73"/>
        <v>0</v>
      </c>
      <c r="J301" s="5">
        <f t="shared" si="74"/>
        <v>0</v>
      </c>
      <c r="K301">
        <v>0</v>
      </c>
      <c r="N301" s="51">
        <v>0</v>
      </c>
    </row>
    <row r="302" spans="1:17">
      <c r="A302" s="80" t="s">
        <v>828</v>
      </c>
      <c r="B302" s="4">
        <v>0</v>
      </c>
      <c r="C302" s="4">
        <v>0</v>
      </c>
      <c r="D302" s="4">
        <v>45</v>
      </c>
      <c r="E302" s="4">
        <v>0</v>
      </c>
      <c r="F302" s="4">
        <v>50</v>
      </c>
      <c r="G302" s="10">
        <f t="shared" si="70"/>
        <v>0</v>
      </c>
      <c r="H302" s="4">
        <v>0</v>
      </c>
      <c r="I302" s="5">
        <f t="shared" si="73"/>
        <v>0</v>
      </c>
      <c r="J302" s="5">
        <f t="shared" si="74"/>
        <v>0</v>
      </c>
      <c r="K302">
        <v>0</v>
      </c>
      <c r="N302" s="51">
        <v>0</v>
      </c>
    </row>
    <row r="303" spans="1:17">
      <c r="A303" s="80" t="s">
        <v>830</v>
      </c>
      <c r="B303" s="4">
        <v>0</v>
      </c>
      <c r="C303" s="4">
        <v>0</v>
      </c>
      <c r="D303" s="4">
        <v>0</v>
      </c>
      <c r="E303" s="4">
        <v>0</v>
      </c>
      <c r="F303" s="4">
        <v>50</v>
      </c>
      <c r="G303" s="10">
        <v>0</v>
      </c>
      <c r="H303" s="4">
        <v>0</v>
      </c>
      <c r="I303" s="5">
        <f t="shared" si="73"/>
        <v>0</v>
      </c>
      <c r="J303" s="5">
        <f t="shared" si="74"/>
        <v>0</v>
      </c>
      <c r="N303" s="51"/>
    </row>
    <row r="304" spans="1:17">
      <c r="A304" s="80" t="s">
        <v>831</v>
      </c>
      <c r="B304" s="4">
        <v>0</v>
      </c>
      <c r="C304" s="4">
        <v>0</v>
      </c>
      <c r="D304" s="4">
        <v>0</v>
      </c>
      <c r="E304" s="4">
        <v>0</v>
      </c>
      <c r="F304" s="4">
        <v>50</v>
      </c>
      <c r="G304" s="10">
        <v>0</v>
      </c>
      <c r="H304" s="4">
        <v>0</v>
      </c>
      <c r="I304" s="5">
        <f t="shared" si="73"/>
        <v>0</v>
      </c>
      <c r="J304" s="5">
        <f t="shared" si="74"/>
        <v>0</v>
      </c>
      <c r="N304" s="51"/>
    </row>
    <row r="305" spans="1:17" ht="19">
      <c r="A305" s="91" t="s">
        <v>949</v>
      </c>
      <c r="B305" s="8">
        <f>SUM(B306:B311)</f>
        <v>31</v>
      </c>
      <c r="C305" s="8">
        <f>SUM(C306:C311)</f>
        <v>66</v>
      </c>
      <c r="D305" s="8">
        <f>SUM(D306)</f>
        <v>45</v>
      </c>
      <c r="E305" s="8">
        <f>SUM(E306:E311)</f>
        <v>6</v>
      </c>
      <c r="F305" s="8">
        <f>SUM(F306:F311)</f>
        <v>300</v>
      </c>
      <c r="G305" s="93">
        <f t="shared" ref="G305:G336" si="75">B305+C305/60</f>
        <v>32.1</v>
      </c>
      <c r="H305" s="8">
        <f>SUM(H306:H312)</f>
        <v>200</v>
      </c>
      <c r="I305" s="9">
        <f>SUM(I306:I312)</f>
        <v>1919.25</v>
      </c>
      <c r="J305" s="9">
        <f>SUM(J306:J312)</f>
        <v>1719.25</v>
      </c>
      <c r="K305" s="8">
        <f>SUM(K306:K312)</f>
        <v>62</v>
      </c>
      <c r="L305" s="9">
        <v>0</v>
      </c>
      <c r="M305" s="96">
        <f>J305</f>
        <v>1719.25</v>
      </c>
      <c r="N305" s="102">
        <f>SUM(N306:N312)</f>
        <v>2111</v>
      </c>
      <c r="O305" s="98">
        <f>2079-N305</f>
        <v>-32</v>
      </c>
      <c r="P305" s="86"/>
      <c r="Q305" s="86"/>
    </row>
    <row r="306" spans="1:17">
      <c r="A306" s="6">
        <v>46132</v>
      </c>
      <c r="B306" s="4">
        <v>0</v>
      </c>
      <c r="C306" s="4">
        <v>0</v>
      </c>
      <c r="D306" s="4">
        <v>45</v>
      </c>
      <c r="E306" s="4">
        <v>1</v>
      </c>
      <c r="F306" s="4">
        <v>50</v>
      </c>
      <c r="G306" s="10">
        <f t="shared" si="75"/>
        <v>0</v>
      </c>
      <c r="H306" s="4">
        <v>0</v>
      </c>
      <c r="I306" s="5">
        <f t="shared" ref="I306:I312" si="76">G306*D306</f>
        <v>0</v>
      </c>
      <c r="J306" s="5">
        <f t="shared" ref="J306:J312" si="77">I306-H306</f>
        <v>0</v>
      </c>
      <c r="K306">
        <v>0</v>
      </c>
      <c r="N306" s="51">
        <v>0</v>
      </c>
      <c r="O306" s="51"/>
    </row>
    <row r="307" spans="1:17">
      <c r="A307" s="6">
        <v>46133</v>
      </c>
      <c r="B307" s="4">
        <v>0</v>
      </c>
      <c r="C307" s="4">
        <v>0</v>
      </c>
      <c r="D307" s="4">
        <v>55</v>
      </c>
      <c r="E307" s="4">
        <v>1</v>
      </c>
      <c r="F307" s="4">
        <v>50</v>
      </c>
      <c r="G307" s="10">
        <f t="shared" si="75"/>
        <v>0</v>
      </c>
      <c r="H307" s="4">
        <v>0</v>
      </c>
      <c r="I307" s="5">
        <f t="shared" si="76"/>
        <v>0</v>
      </c>
      <c r="J307" s="5">
        <f t="shared" si="77"/>
        <v>0</v>
      </c>
      <c r="K307">
        <v>0</v>
      </c>
      <c r="N307" s="51">
        <v>0</v>
      </c>
    </row>
    <row r="308" spans="1:17">
      <c r="A308" s="6">
        <v>46134</v>
      </c>
      <c r="B308" s="4">
        <v>0</v>
      </c>
      <c r="C308" s="4">
        <v>0</v>
      </c>
      <c r="D308" s="4">
        <v>45</v>
      </c>
      <c r="E308" s="4">
        <v>1</v>
      </c>
      <c r="F308" s="4">
        <v>50</v>
      </c>
      <c r="G308" s="10">
        <f t="shared" si="75"/>
        <v>0</v>
      </c>
      <c r="H308" s="4">
        <v>0</v>
      </c>
      <c r="I308" s="5">
        <f t="shared" si="76"/>
        <v>0</v>
      </c>
      <c r="J308" s="5">
        <f t="shared" si="77"/>
        <v>0</v>
      </c>
      <c r="K308">
        <v>0</v>
      </c>
      <c r="N308" s="83">
        <v>0</v>
      </c>
      <c r="Q308" t="s">
        <v>64</v>
      </c>
    </row>
    <row r="309" spans="1:17">
      <c r="A309" s="6">
        <v>46135</v>
      </c>
      <c r="B309" s="4">
        <v>11</v>
      </c>
      <c r="C309" s="4">
        <v>0</v>
      </c>
      <c r="D309" s="4">
        <v>45</v>
      </c>
      <c r="E309" s="4">
        <v>1</v>
      </c>
      <c r="F309" s="4">
        <v>50</v>
      </c>
      <c r="G309" s="10">
        <f t="shared" si="75"/>
        <v>11</v>
      </c>
      <c r="H309" s="4">
        <v>50</v>
      </c>
      <c r="I309" s="5">
        <f t="shared" si="76"/>
        <v>495</v>
      </c>
      <c r="J309" s="5">
        <f t="shared" si="77"/>
        <v>445</v>
      </c>
      <c r="K309">
        <v>7</v>
      </c>
      <c r="N309" s="51">
        <v>120</v>
      </c>
    </row>
    <row r="310" spans="1:17">
      <c r="A310" s="6">
        <v>46136</v>
      </c>
      <c r="B310" s="4">
        <v>10</v>
      </c>
      <c r="C310" s="4">
        <v>31</v>
      </c>
      <c r="D310" s="4">
        <v>45</v>
      </c>
      <c r="E310" s="4">
        <v>1</v>
      </c>
      <c r="F310" s="4">
        <v>50</v>
      </c>
      <c r="G310" s="10">
        <f t="shared" si="75"/>
        <v>10.516666666666667</v>
      </c>
      <c r="H310" s="4">
        <v>50</v>
      </c>
      <c r="I310" s="5">
        <f t="shared" si="76"/>
        <v>473.25000000000006</v>
      </c>
      <c r="J310" s="5">
        <f t="shared" si="77"/>
        <v>423.25000000000006</v>
      </c>
      <c r="K310">
        <v>17</v>
      </c>
      <c r="N310" s="51">
        <v>535</v>
      </c>
    </row>
    <row r="311" spans="1:17">
      <c r="A311" s="6">
        <v>46137</v>
      </c>
      <c r="B311" s="4">
        <v>10</v>
      </c>
      <c r="C311" s="4">
        <v>35</v>
      </c>
      <c r="D311" s="4">
        <v>45</v>
      </c>
      <c r="E311" s="4">
        <v>1</v>
      </c>
      <c r="F311" s="4">
        <v>50</v>
      </c>
      <c r="G311" s="10">
        <f t="shared" si="75"/>
        <v>10.583333333333334</v>
      </c>
      <c r="H311" s="4">
        <v>50</v>
      </c>
      <c r="I311" s="5">
        <f t="shared" si="76"/>
        <v>476.25</v>
      </c>
      <c r="J311" s="5">
        <f t="shared" si="77"/>
        <v>426.25</v>
      </c>
      <c r="K311">
        <v>21</v>
      </c>
      <c r="N311" s="51">
        <v>850</v>
      </c>
    </row>
    <row r="312" spans="1:17">
      <c r="A312" s="6">
        <v>46138</v>
      </c>
      <c r="B312" s="4">
        <v>10</v>
      </c>
      <c r="C312" s="4">
        <v>33</v>
      </c>
      <c r="D312" s="4">
        <v>45</v>
      </c>
      <c r="E312" s="4">
        <v>1</v>
      </c>
      <c r="F312" s="4">
        <v>50</v>
      </c>
      <c r="G312" s="10">
        <f t="shared" si="75"/>
        <v>10.55</v>
      </c>
      <c r="H312" s="4">
        <v>50</v>
      </c>
      <c r="I312" s="5">
        <f t="shared" si="76"/>
        <v>474.75000000000006</v>
      </c>
      <c r="J312" s="5">
        <f t="shared" si="77"/>
        <v>424.75000000000006</v>
      </c>
      <c r="K312">
        <v>17</v>
      </c>
      <c r="N312" s="51">
        <v>606</v>
      </c>
    </row>
    <row r="313" spans="1:17" ht="19">
      <c r="A313" s="180" t="s">
        <v>950</v>
      </c>
      <c r="B313" s="8">
        <f>SUM(B314:B320)</f>
        <v>63</v>
      </c>
      <c r="C313" s="8">
        <f>SUM(C314:C320)</f>
        <v>225</v>
      </c>
      <c r="D313" s="126">
        <f>SUM(D314)</f>
        <v>55</v>
      </c>
      <c r="E313" s="126">
        <f>SUM(E314:E320)</f>
        <v>6</v>
      </c>
      <c r="F313" s="126">
        <f>SUM(F314:F320)</f>
        <v>350</v>
      </c>
      <c r="G313" s="123">
        <f t="shared" si="75"/>
        <v>66.75</v>
      </c>
      <c r="H313" s="8">
        <f>SUM(H314:H320)</f>
        <v>350</v>
      </c>
      <c r="I313" s="14">
        <f>SUM(I314:I320)</f>
        <v>3111.25</v>
      </c>
      <c r="J313" s="14">
        <f>SUM(J314:J320)</f>
        <v>2761.25</v>
      </c>
      <c r="K313" s="8">
        <f>SUM(K314:K320)</f>
        <v>157</v>
      </c>
      <c r="L313" s="9">
        <v>0</v>
      </c>
      <c r="M313" s="96">
        <f>J313</f>
        <v>2761.25</v>
      </c>
      <c r="N313" s="102">
        <f>SUM(N314:N320)</f>
        <v>4213</v>
      </c>
      <c r="O313" s="98">
        <f>4248-N313</f>
        <v>35</v>
      </c>
      <c r="P313" s="86"/>
      <c r="Q313" s="86"/>
    </row>
    <row r="314" spans="1:17">
      <c r="A314" s="6">
        <v>46132</v>
      </c>
      <c r="B314" s="4">
        <v>10</v>
      </c>
      <c r="C314" s="4">
        <v>45</v>
      </c>
      <c r="D314" s="4">
        <v>55</v>
      </c>
      <c r="E314" s="4">
        <v>1</v>
      </c>
      <c r="F314" s="4">
        <v>50</v>
      </c>
      <c r="G314" s="10">
        <f t="shared" si="75"/>
        <v>10.75</v>
      </c>
      <c r="H314" s="4">
        <v>50</v>
      </c>
      <c r="I314" s="5">
        <f t="shared" ref="I314:I320" si="78">G314*D314</f>
        <v>591.25</v>
      </c>
      <c r="J314" s="5">
        <f t="shared" ref="J314:J320" si="79">I314-H314</f>
        <v>541.25</v>
      </c>
      <c r="K314">
        <v>27</v>
      </c>
      <c r="N314" s="51">
        <f>566</f>
        <v>566</v>
      </c>
      <c r="O314" s="51"/>
    </row>
    <row r="315" spans="1:17">
      <c r="A315" s="6">
        <v>46133</v>
      </c>
      <c r="B315" s="4">
        <v>9</v>
      </c>
      <c r="C315" s="4">
        <v>38</v>
      </c>
      <c r="D315" s="4">
        <v>45</v>
      </c>
      <c r="E315" s="4">
        <v>1</v>
      </c>
      <c r="F315" s="4">
        <v>50</v>
      </c>
      <c r="G315" s="10">
        <f t="shared" si="75"/>
        <v>9.6333333333333329</v>
      </c>
      <c r="H315" s="4">
        <v>50</v>
      </c>
      <c r="I315" s="5">
        <f t="shared" si="78"/>
        <v>433.5</v>
      </c>
      <c r="J315" s="5">
        <f t="shared" si="79"/>
        <v>383.5</v>
      </c>
      <c r="K315">
        <v>21</v>
      </c>
      <c r="N315" s="51">
        <f>614+150</f>
        <v>764</v>
      </c>
      <c r="P315" t="s">
        <v>951</v>
      </c>
    </row>
    <row r="316" spans="1:17">
      <c r="A316" s="6">
        <v>46134</v>
      </c>
      <c r="B316" s="4">
        <v>8</v>
      </c>
      <c r="C316" s="4">
        <v>25</v>
      </c>
      <c r="D316" s="4">
        <v>45</v>
      </c>
      <c r="E316" s="4">
        <v>1</v>
      </c>
      <c r="F316" s="4">
        <v>50</v>
      </c>
      <c r="G316" s="10">
        <f t="shared" si="75"/>
        <v>8.4166666666666661</v>
      </c>
      <c r="H316" s="4">
        <v>50</v>
      </c>
      <c r="I316" s="5">
        <f t="shared" si="78"/>
        <v>378.75</v>
      </c>
      <c r="J316" s="5">
        <f t="shared" si="79"/>
        <v>328.75</v>
      </c>
      <c r="K316">
        <v>19</v>
      </c>
      <c r="N316" s="51">
        <f>464</f>
        <v>464</v>
      </c>
      <c r="P316" t="s">
        <v>952</v>
      </c>
    </row>
    <row r="317" spans="1:17">
      <c r="A317" s="6">
        <v>46135</v>
      </c>
      <c r="B317" s="4">
        <v>9</v>
      </c>
      <c r="C317" s="4">
        <v>8</v>
      </c>
      <c r="D317" s="4">
        <v>45</v>
      </c>
      <c r="E317" s="4">
        <v>1</v>
      </c>
      <c r="F317" s="4">
        <v>50</v>
      </c>
      <c r="G317" s="10">
        <f t="shared" si="75"/>
        <v>9.1333333333333329</v>
      </c>
      <c r="H317" s="4">
        <v>50</v>
      </c>
      <c r="I317" s="5">
        <f t="shared" si="78"/>
        <v>411</v>
      </c>
      <c r="J317" s="5">
        <f t="shared" si="79"/>
        <v>361</v>
      </c>
      <c r="K317">
        <v>23</v>
      </c>
      <c r="N317" s="51">
        <v>440</v>
      </c>
    </row>
    <row r="318" spans="1:17">
      <c r="A318" s="6">
        <v>46136</v>
      </c>
      <c r="B318" s="4">
        <v>9</v>
      </c>
      <c r="C318" s="4">
        <v>23</v>
      </c>
      <c r="D318" s="4">
        <v>45</v>
      </c>
      <c r="E318" s="4">
        <v>1</v>
      </c>
      <c r="F318" s="4">
        <v>50</v>
      </c>
      <c r="G318" s="10">
        <f t="shared" si="75"/>
        <v>9.3833333333333329</v>
      </c>
      <c r="H318" s="4">
        <v>50</v>
      </c>
      <c r="I318" s="5">
        <f t="shared" si="78"/>
        <v>422.25</v>
      </c>
      <c r="J318" s="5">
        <f t="shared" si="79"/>
        <v>372.25</v>
      </c>
      <c r="K318">
        <v>22</v>
      </c>
      <c r="N318" s="51">
        <v>410</v>
      </c>
    </row>
    <row r="319" spans="1:17">
      <c r="A319" s="6">
        <v>46137</v>
      </c>
      <c r="B319" s="4">
        <v>8</v>
      </c>
      <c r="C319" s="4">
        <v>43</v>
      </c>
      <c r="D319" s="4">
        <v>45</v>
      </c>
      <c r="E319" s="4">
        <v>1</v>
      </c>
      <c r="F319" s="4">
        <v>50</v>
      </c>
      <c r="G319" s="10">
        <f t="shared" si="75"/>
        <v>8.7166666666666668</v>
      </c>
      <c r="H319" s="4">
        <v>50</v>
      </c>
      <c r="I319" s="5">
        <f t="shared" si="78"/>
        <v>392.25</v>
      </c>
      <c r="J319" s="5">
        <f t="shared" si="79"/>
        <v>342.25</v>
      </c>
      <c r="K319">
        <v>22</v>
      </c>
      <c r="N319" s="51">
        <v>649</v>
      </c>
    </row>
    <row r="320" spans="1:17">
      <c r="A320" s="6">
        <v>46138</v>
      </c>
      <c r="B320" s="4">
        <v>10</v>
      </c>
      <c r="C320" s="4">
        <v>43</v>
      </c>
      <c r="D320" s="4">
        <v>45</v>
      </c>
      <c r="E320" s="4">
        <v>0</v>
      </c>
      <c r="F320" s="4">
        <v>50</v>
      </c>
      <c r="G320" s="10">
        <f t="shared" si="75"/>
        <v>10.716666666666667</v>
      </c>
      <c r="H320" s="4">
        <v>50</v>
      </c>
      <c r="I320" s="5">
        <f t="shared" si="78"/>
        <v>482.25</v>
      </c>
      <c r="J320" s="5">
        <f t="shared" si="79"/>
        <v>432.25</v>
      </c>
      <c r="K320">
        <v>23</v>
      </c>
      <c r="N320" s="51">
        <v>920</v>
      </c>
    </row>
    <row r="321" spans="1:17" ht="19">
      <c r="A321" s="91" t="s">
        <v>953</v>
      </c>
      <c r="B321" s="8">
        <f>SUM(B322:B328)</f>
        <v>40</v>
      </c>
      <c r="C321" s="8">
        <f>SUM(C322:C328)</f>
        <v>112</v>
      </c>
      <c r="D321" s="8">
        <f>SUM(D322)</f>
        <v>65</v>
      </c>
      <c r="E321" s="8">
        <f>SUM(E322:E328)</f>
        <v>5</v>
      </c>
      <c r="F321" s="8">
        <f>SUM(F322:F328)</f>
        <v>200</v>
      </c>
      <c r="G321" s="93">
        <f t="shared" si="75"/>
        <v>41.866666666666667</v>
      </c>
      <c r="H321" s="8">
        <f>SUM(H322:H328)</f>
        <v>200</v>
      </c>
      <c r="I321" s="9">
        <f>SUM(I322:I328)</f>
        <v>2100.3333333333335</v>
      </c>
      <c r="J321" s="9">
        <f>SUM(J322:J328)</f>
        <v>1900.3333333333335</v>
      </c>
      <c r="K321" s="8">
        <f>SUM(K322:K328)</f>
        <v>107</v>
      </c>
      <c r="L321" s="9">
        <v>0</v>
      </c>
      <c r="M321" s="96">
        <f>J321</f>
        <v>1900.3333333333335</v>
      </c>
      <c r="N321" s="102">
        <f>SUM(N322:N328)</f>
        <v>941</v>
      </c>
      <c r="O321" s="98">
        <f>2132-N321</f>
        <v>1191</v>
      </c>
      <c r="P321" s="86"/>
      <c r="Q321" s="86"/>
    </row>
    <row r="322" spans="1:17">
      <c r="A322" s="80" t="s">
        <v>820</v>
      </c>
      <c r="B322" s="4">
        <v>0</v>
      </c>
      <c r="C322" s="4">
        <v>0</v>
      </c>
      <c r="D322" s="4">
        <v>65</v>
      </c>
      <c r="E322" s="4">
        <v>1</v>
      </c>
      <c r="F322" s="4">
        <v>0</v>
      </c>
      <c r="G322" s="10">
        <f t="shared" si="75"/>
        <v>0</v>
      </c>
      <c r="H322" s="4">
        <v>0</v>
      </c>
      <c r="I322" s="5">
        <f t="shared" ref="I322:I328" si="80">G322*D322</f>
        <v>0</v>
      </c>
      <c r="J322" s="5">
        <f t="shared" ref="J322:J328" si="81">I322-H322</f>
        <v>0</v>
      </c>
      <c r="K322">
        <v>0</v>
      </c>
      <c r="N322" s="51">
        <v>0</v>
      </c>
      <c r="O322" s="51"/>
    </row>
    <row r="323" spans="1:17">
      <c r="A323" s="80" t="s">
        <v>822</v>
      </c>
      <c r="B323" s="4">
        <v>11</v>
      </c>
      <c r="C323" s="4">
        <v>0</v>
      </c>
      <c r="D323" s="4">
        <v>45</v>
      </c>
      <c r="E323" s="4">
        <v>1</v>
      </c>
      <c r="F323" s="4">
        <v>50</v>
      </c>
      <c r="G323" s="10">
        <f t="shared" si="75"/>
        <v>11</v>
      </c>
      <c r="H323" s="4">
        <v>50</v>
      </c>
      <c r="I323" s="5">
        <f t="shared" si="80"/>
        <v>495</v>
      </c>
      <c r="J323" s="5">
        <f t="shared" si="81"/>
        <v>445</v>
      </c>
      <c r="K323">
        <v>25</v>
      </c>
      <c r="N323" s="51">
        <f>220</f>
        <v>220</v>
      </c>
      <c r="P323" t="s">
        <v>954</v>
      </c>
    </row>
    <row r="324" spans="1:17">
      <c r="A324" s="80" t="s">
        <v>824</v>
      </c>
      <c r="B324" s="4">
        <v>10</v>
      </c>
      <c r="C324" s="4">
        <v>11</v>
      </c>
      <c r="D324" s="4">
        <v>45</v>
      </c>
      <c r="E324" s="4">
        <v>1</v>
      </c>
      <c r="F324" s="4">
        <v>50</v>
      </c>
      <c r="G324" s="10">
        <f t="shared" si="75"/>
        <v>10.183333333333334</v>
      </c>
      <c r="H324" s="4">
        <v>50</v>
      </c>
      <c r="I324" s="5">
        <f t="shared" si="80"/>
        <v>458.25</v>
      </c>
      <c r="J324" s="5">
        <f t="shared" si="81"/>
        <v>408.25</v>
      </c>
      <c r="K324">
        <v>24</v>
      </c>
      <c r="N324" s="51">
        <f>200</f>
        <v>200</v>
      </c>
      <c r="P324" t="s">
        <v>955</v>
      </c>
    </row>
    <row r="325" spans="1:17">
      <c r="A325" s="80" t="s">
        <v>826</v>
      </c>
      <c r="B325" s="4">
        <v>10</v>
      </c>
      <c r="C325" s="4">
        <v>49</v>
      </c>
      <c r="D325" s="4">
        <v>65</v>
      </c>
      <c r="E325" s="4">
        <v>1</v>
      </c>
      <c r="F325" s="4">
        <v>50</v>
      </c>
      <c r="G325" s="10">
        <f t="shared" si="75"/>
        <v>10.816666666666666</v>
      </c>
      <c r="H325" s="4">
        <v>50</v>
      </c>
      <c r="I325" s="5">
        <f t="shared" si="80"/>
        <v>703.08333333333337</v>
      </c>
      <c r="J325" s="5">
        <f t="shared" si="81"/>
        <v>653.08333333333337</v>
      </c>
      <c r="K325">
        <v>33</v>
      </c>
      <c r="N325" s="51">
        <v>521</v>
      </c>
      <c r="P325" t="s">
        <v>956</v>
      </c>
    </row>
    <row r="326" spans="1:17">
      <c r="A326" s="80" t="s">
        <v>828</v>
      </c>
      <c r="B326" s="4">
        <v>9</v>
      </c>
      <c r="C326" s="4">
        <v>52</v>
      </c>
      <c r="D326" s="4">
        <v>45</v>
      </c>
      <c r="E326" s="4">
        <v>1</v>
      </c>
      <c r="F326" s="4">
        <v>50</v>
      </c>
      <c r="G326" s="10">
        <f t="shared" si="75"/>
        <v>9.8666666666666671</v>
      </c>
      <c r="H326" s="4">
        <v>50</v>
      </c>
      <c r="I326" s="5">
        <f t="shared" si="80"/>
        <v>444</v>
      </c>
      <c r="J326" s="5">
        <f t="shared" si="81"/>
        <v>394</v>
      </c>
      <c r="K326">
        <v>25</v>
      </c>
      <c r="N326" s="51">
        <v>0</v>
      </c>
      <c r="P326" t="s">
        <v>957</v>
      </c>
    </row>
    <row r="327" spans="1:17">
      <c r="A327" s="80" t="s">
        <v>830</v>
      </c>
      <c r="B327" s="4">
        <v>0</v>
      </c>
      <c r="C327" s="4">
        <v>0</v>
      </c>
      <c r="D327" s="4">
        <v>45</v>
      </c>
      <c r="E327" s="4">
        <v>0</v>
      </c>
      <c r="F327" s="4">
        <v>0</v>
      </c>
      <c r="G327" s="10">
        <f t="shared" si="75"/>
        <v>0</v>
      </c>
      <c r="H327" s="4">
        <v>0</v>
      </c>
      <c r="I327" s="5">
        <f t="shared" si="80"/>
        <v>0</v>
      </c>
      <c r="J327" s="5">
        <f t="shared" si="81"/>
        <v>0</v>
      </c>
      <c r="K327">
        <v>0</v>
      </c>
      <c r="N327" s="51">
        <v>0</v>
      </c>
    </row>
    <row r="328" spans="1:17">
      <c r="A328" s="80" t="s">
        <v>831</v>
      </c>
      <c r="B328" s="4">
        <v>0</v>
      </c>
      <c r="C328" s="4">
        <v>0</v>
      </c>
      <c r="D328" s="4">
        <v>45</v>
      </c>
      <c r="E328" s="4">
        <v>0</v>
      </c>
      <c r="F328" s="4">
        <v>0</v>
      </c>
      <c r="G328" s="10">
        <f t="shared" si="75"/>
        <v>0</v>
      </c>
      <c r="H328" s="4">
        <v>0</v>
      </c>
      <c r="I328" s="5">
        <f t="shared" si="80"/>
        <v>0</v>
      </c>
      <c r="J328" s="5">
        <f t="shared" si="81"/>
        <v>0</v>
      </c>
      <c r="K328">
        <v>0</v>
      </c>
      <c r="N328" s="51">
        <v>0</v>
      </c>
    </row>
    <row r="329" spans="1:17" ht="19">
      <c r="A329" s="91" t="s">
        <v>958</v>
      </c>
      <c r="B329" s="8">
        <f>SUM(B330:B336)</f>
        <v>5</v>
      </c>
      <c r="C329" s="8">
        <f>SUM(C330:C336)</f>
        <v>8</v>
      </c>
      <c r="D329" s="8">
        <f>SUM(D330)</f>
        <v>45</v>
      </c>
      <c r="E329" s="8">
        <f>SUM(E330:E336)</f>
        <v>6</v>
      </c>
      <c r="F329" s="8">
        <f>SUM(F330:F336)</f>
        <v>350</v>
      </c>
      <c r="G329" s="93">
        <f t="shared" si="75"/>
        <v>5.1333333333333337</v>
      </c>
      <c r="H329" s="8">
        <f>SUM(H330:H336)</f>
        <v>50</v>
      </c>
      <c r="I329" s="9">
        <f>SUM(I330:I336)</f>
        <v>231.00000000000003</v>
      </c>
      <c r="J329" s="14">
        <f>SUM(J330:J336)</f>
        <v>181.00000000000003</v>
      </c>
      <c r="K329" s="8">
        <f>SUM(K330:K336)</f>
        <v>13</v>
      </c>
      <c r="L329" s="9">
        <v>0</v>
      </c>
      <c r="M329" s="96">
        <f>J329</f>
        <v>181.00000000000003</v>
      </c>
      <c r="N329" s="102">
        <f>SUM(N330:N336)</f>
        <v>412</v>
      </c>
      <c r="O329" s="98">
        <f>410-N329</f>
        <v>-2</v>
      </c>
      <c r="P329" s="86"/>
      <c r="Q329" s="86"/>
    </row>
    <row r="330" spans="1:17">
      <c r="A330" s="6">
        <v>46132</v>
      </c>
      <c r="B330" s="4">
        <v>0</v>
      </c>
      <c r="C330" s="4">
        <v>0</v>
      </c>
      <c r="D330" s="4">
        <v>45</v>
      </c>
      <c r="E330" s="4">
        <v>0</v>
      </c>
      <c r="F330" s="4">
        <v>50</v>
      </c>
      <c r="G330" s="10">
        <f t="shared" si="75"/>
        <v>0</v>
      </c>
      <c r="H330" s="4">
        <v>0</v>
      </c>
      <c r="I330" s="5">
        <f t="shared" ref="I330:I336" si="82">G330*D330</f>
        <v>0</v>
      </c>
      <c r="J330" s="5">
        <f t="shared" ref="J330:J336" si="83">I330-H330</f>
        <v>0</v>
      </c>
      <c r="K330">
        <v>0</v>
      </c>
      <c r="N330" s="51">
        <v>0</v>
      </c>
      <c r="O330" s="51"/>
    </row>
    <row r="331" spans="1:17">
      <c r="A331" s="6">
        <v>46133</v>
      </c>
      <c r="B331" s="4">
        <v>5</v>
      </c>
      <c r="C331" s="4">
        <v>8</v>
      </c>
      <c r="D331" s="4">
        <v>45</v>
      </c>
      <c r="E331" s="4">
        <v>1</v>
      </c>
      <c r="F331" s="4">
        <v>50</v>
      </c>
      <c r="G331" s="10">
        <f t="shared" si="75"/>
        <v>5.1333333333333337</v>
      </c>
      <c r="H331" s="4">
        <v>50</v>
      </c>
      <c r="I331" s="5">
        <f t="shared" si="82"/>
        <v>231.00000000000003</v>
      </c>
      <c r="J331" s="5">
        <f t="shared" si="83"/>
        <v>181.00000000000003</v>
      </c>
      <c r="K331">
        <v>13</v>
      </c>
      <c r="N331" s="51">
        <f>151</f>
        <v>151</v>
      </c>
      <c r="P331" t="s">
        <v>959</v>
      </c>
    </row>
    <row r="332" spans="1:17">
      <c r="A332" s="6">
        <v>46134</v>
      </c>
      <c r="B332" s="4">
        <v>0</v>
      </c>
      <c r="C332" s="4">
        <v>0</v>
      </c>
      <c r="D332" s="4">
        <v>45</v>
      </c>
      <c r="E332" s="4">
        <v>1</v>
      </c>
      <c r="F332" s="4">
        <v>50</v>
      </c>
      <c r="G332" s="10">
        <f t="shared" si="75"/>
        <v>0</v>
      </c>
      <c r="H332" s="4">
        <v>0</v>
      </c>
      <c r="I332" s="5">
        <f t="shared" si="82"/>
        <v>0</v>
      </c>
      <c r="J332" s="5">
        <f t="shared" si="83"/>
        <v>0</v>
      </c>
      <c r="K332">
        <v>0</v>
      </c>
      <c r="N332" s="51">
        <f>261</f>
        <v>261</v>
      </c>
      <c r="Q332" t="s">
        <v>64</v>
      </c>
    </row>
    <row r="333" spans="1:17">
      <c r="A333" s="6">
        <v>46135</v>
      </c>
      <c r="B333" s="4">
        <v>0</v>
      </c>
      <c r="C333" s="4">
        <v>0</v>
      </c>
      <c r="D333" s="4">
        <v>45</v>
      </c>
      <c r="E333" s="4">
        <v>1</v>
      </c>
      <c r="F333" s="4">
        <v>50</v>
      </c>
      <c r="G333" s="10">
        <f t="shared" si="75"/>
        <v>0</v>
      </c>
      <c r="H333" s="4">
        <v>0</v>
      </c>
      <c r="I333" s="5">
        <f t="shared" si="82"/>
        <v>0</v>
      </c>
      <c r="J333" s="5">
        <f t="shared" si="83"/>
        <v>0</v>
      </c>
      <c r="K333">
        <v>0</v>
      </c>
      <c r="N333" s="51">
        <v>0</v>
      </c>
    </row>
    <row r="334" spans="1:17">
      <c r="A334" s="6">
        <v>46136</v>
      </c>
      <c r="B334" s="4">
        <v>0</v>
      </c>
      <c r="C334" s="4">
        <v>0</v>
      </c>
      <c r="D334" s="4">
        <v>45</v>
      </c>
      <c r="E334" s="4">
        <v>1</v>
      </c>
      <c r="F334" s="4">
        <v>50</v>
      </c>
      <c r="G334" s="10">
        <f t="shared" si="75"/>
        <v>0</v>
      </c>
      <c r="H334" s="4">
        <v>0</v>
      </c>
      <c r="I334" s="5">
        <f t="shared" si="82"/>
        <v>0</v>
      </c>
      <c r="J334" s="5">
        <f t="shared" si="83"/>
        <v>0</v>
      </c>
      <c r="K334">
        <v>0</v>
      </c>
      <c r="N334" s="51">
        <v>0</v>
      </c>
    </row>
    <row r="335" spans="1:17">
      <c r="A335" s="6">
        <v>46137</v>
      </c>
      <c r="B335" s="4">
        <v>0</v>
      </c>
      <c r="C335" s="4">
        <v>0</v>
      </c>
      <c r="D335" s="4">
        <v>45</v>
      </c>
      <c r="E335" s="4">
        <v>1</v>
      </c>
      <c r="F335" s="4">
        <v>50</v>
      </c>
      <c r="G335" s="10">
        <f t="shared" si="75"/>
        <v>0</v>
      </c>
      <c r="H335" s="4">
        <v>0</v>
      </c>
      <c r="I335" s="5">
        <f t="shared" si="82"/>
        <v>0</v>
      </c>
      <c r="J335" s="5">
        <f t="shared" si="83"/>
        <v>0</v>
      </c>
      <c r="K335">
        <v>0</v>
      </c>
      <c r="N335" s="51">
        <v>0</v>
      </c>
    </row>
    <row r="336" spans="1:17">
      <c r="A336" s="6">
        <v>46138</v>
      </c>
      <c r="B336" s="4">
        <v>0</v>
      </c>
      <c r="C336" s="4">
        <v>0</v>
      </c>
      <c r="D336" s="4">
        <v>45</v>
      </c>
      <c r="E336" s="4">
        <v>1</v>
      </c>
      <c r="F336" s="4">
        <v>50</v>
      </c>
      <c r="G336" s="10">
        <f t="shared" si="75"/>
        <v>0</v>
      </c>
      <c r="H336" s="4">
        <v>0</v>
      </c>
      <c r="I336" s="5">
        <f t="shared" si="82"/>
        <v>0</v>
      </c>
      <c r="J336" s="5">
        <f t="shared" si="83"/>
        <v>0</v>
      </c>
      <c r="K336">
        <v>0</v>
      </c>
      <c r="N336" s="51">
        <v>0</v>
      </c>
    </row>
    <row r="337" spans="1:15">
      <c r="A337" s="80"/>
      <c r="G337" s="133"/>
      <c r="H337" s="131"/>
      <c r="I337" s="132"/>
      <c r="J337" s="132"/>
      <c r="N337" s="51"/>
    </row>
    <row r="338" spans="1:15" ht="21">
      <c r="A338" t="s">
        <v>17</v>
      </c>
      <c r="H338" s="121">
        <f t="shared" ref="H338:O338" si="84">H3+H11+H19+H27+H35+H43+H51+H59+H67+H75+H83+H91+H99+H107+H115+H123+H131+H139+H147+H155+H163+H171+H178+H186+H194+H202+H210+H218+H226+H233+H241+H249+H257+H265+H273+H281+H289+H297+H305+H313+H321+H329</f>
        <v>9074.7999999999993</v>
      </c>
      <c r="I338" s="121">
        <f t="shared" si="84"/>
        <v>85737.583333333343</v>
      </c>
      <c r="J338" s="121">
        <f t="shared" si="84"/>
        <v>76662.783333333326</v>
      </c>
      <c r="K338" s="122">
        <f t="shared" si="84"/>
        <v>4427</v>
      </c>
      <c r="L338" s="121">
        <f t="shared" si="84"/>
        <v>300</v>
      </c>
      <c r="M338" s="121">
        <f t="shared" si="84"/>
        <v>76962.783333333326</v>
      </c>
      <c r="N338" s="121">
        <f t="shared" si="84"/>
        <v>96978.5</v>
      </c>
      <c r="O338" s="121">
        <f t="shared" si="84"/>
        <v>3349.5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F753-1E68-4025-95E5-C06D17F1ED95}">
  <dimension ref="A1:Q338"/>
  <sheetViews>
    <sheetView workbookViewId="0">
      <pane xSplit="1" ySplit="1" topLeftCell="I128" activePane="bottomRight" state="frozen"/>
      <selection pane="topRight" activeCell="B1" sqref="B1"/>
      <selection pane="bottomLeft" activeCell="A2" sqref="A2"/>
      <selection pane="bottomRight" activeCell="N263" sqref="N263"/>
    </sheetView>
  </sheetViews>
  <sheetFormatPr baseColWidth="10" defaultColWidth="8.83203125" defaultRowHeight="15"/>
  <cols>
    <col min="1" max="1" width="33.33203125" bestFit="1" customWidth="1"/>
    <col min="2" max="2" width="12" customWidth="1"/>
    <col min="3" max="3" width="12.6640625" customWidth="1"/>
    <col min="4" max="4" width="17.5" customWidth="1"/>
    <col min="5" max="5" width="11.33203125" customWidth="1"/>
    <col min="6" max="6" width="15.6640625" customWidth="1"/>
    <col min="7" max="7" width="12.5" customWidth="1"/>
    <col min="8" max="8" width="19.6640625" customWidth="1"/>
    <col min="9" max="9" width="17.33203125" customWidth="1"/>
    <col min="10" max="10" width="17.5" customWidth="1"/>
    <col min="11" max="11" width="12.6640625" customWidth="1"/>
    <col min="12" max="12" width="15.5" customWidth="1"/>
    <col min="13" max="13" width="18.33203125" customWidth="1"/>
    <col min="14" max="14" width="19.5" customWidth="1"/>
    <col min="15" max="15" width="26.33203125" customWidth="1"/>
  </cols>
  <sheetData>
    <row r="1" spans="1:17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7" ht="19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7" ht="19">
      <c r="A3" s="91" t="s">
        <v>453</v>
      </c>
      <c r="B3" s="8">
        <f>SUM(B4:B10)</f>
        <v>36</v>
      </c>
      <c r="C3" s="8">
        <f>SUM(C4:C10)</f>
        <v>115</v>
      </c>
      <c r="D3" s="8">
        <f>SUM(D4)</f>
        <v>55</v>
      </c>
      <c r="E3" s="8">
        <f>SUM(E4:E10)</f>
        <v>6</v>
      </c>
      <c r="F3" s="8">
        <f>SUM(F4:F10)</f>
        <v>300</v>
      </c>
      <c r="G3" s="93">
        <f>B3+C3/60</f>
        <v>37.916666666666664</v>
      </c>
      <c r="H3" s="8">
        <f>SUM(H4:H10)</f>
        <v>300</v>
      </c>
      <c r="I3" s="9">
        <f>SUM(I4:I10)</f>
        <v>1938.75</v>
      </c>
      <c r="J3" s="14">
        <f>SUM(J4:J10)</f>
        <v>1638.75</v>
      </c>
      <c r="K3" s="8">
        <f>SUM(K4:K10)</f>
        <v>133</v>
      </c>
      <c r="L3" s="9">
        <v>0</v>
      </c>
      <c r="M3" s="96">
        <f>J3+L3</f>
        <v>1638.75</v>
      </c>
      <c r="N3" s="97">
        <f>SUM(N4:N10)</f>
        <v>3018</v>
      </c>
      <c r="O3" s="98">
        <f>2882-N3</f>
        <v>-136</v>
      </c>
      <c r="P3" s="86"/>
      <c r="Q3" s="86"/>
    </row>
    <row r="4" spans="1:17">
      <c r="A4" s="80" t="s">
        <v>820</v>
      </c>
      <c r="B4" s="4">
        <v>7</v>
      </c>
      <c r="C4" s="4">
        <v>1</v>
      </c>
      <c r="D4" s="4">
        <v>55</v>
      </c>
      <c r="E4" s="4">
        <v>1</v>
      </c>
      <c r="F4" s="4">
        <v>50</v>
      </c>
      <c r="G4" s="10">
        <f>B4+C4/60</f>
        <v>7.0166666666666666</v>
      </c>
      <c r="H4" s="4">
        <v>50</v>
      </c>
      <c r="I4" s="5">
        <f>G4*D4</f>
        <v>385.91666666666669</v>
      </c>
      <c r="J4" s="5">
        <f>I4-H4</f>
        <v>335.91666666666669</v>
      </c>
      <c r="K4">
        <v>28</v>
      </c>
      <c r="N4" s="51">
        <f>666</f>
        <v>666</v>
      </c>
      <c r="P4" t="s">
        <v>821</v>
      </c>
    </row>
    <row r="5" spans="1:17">
      <c r="A5" s="80" t="s">
        <v>822</v>
      </c>
      <c r="B5" s="4">
        <v>5</v>
      </c>
      <c r="C5" s="4">
        <v>31</v>
      </c>
      <c r="D5" s="4">
        <v>45</v>
      </c>
      <c r="E5" s="4">
        <v>1</v>
      </c>
      <c r="F5" s="4">
        <v>50</v>
      </c>
      <c r="G5" s="10">
        <f>B5+C5/60</f>
        <v>5.5166666666666666</v>
      </c>
      <c r="H5" s="4">
        <v>50</v>
      </c>
      <c r="I5" s="5">
        <f>G5*D5</f>
        <v>248.25</v>
      </c>
      <c r="J5" s="5">
        <f>I5-H5</f>
        <v>198.25</v>
      </c>
      <c r="K5">
        <v>17</v>
      </c>
      <c r="N5" s="51">
        <v>330</v>
      </c>
      <c r="P5" t="s">
        <v>823</v>
      </c>
    </row>
    <row r="6" spans="1:17">
      <c r="A6" s="80" t="s">
        <v>824</v>
      </c>
      <c r="B6" s="4">
        <v>5</v>
      </c>
      <c r="C6" s="4">
        <v>21</v>
      </c>
      <c r="D6" s="4">
        <v>45</v>
      </c>
      <c r="E6" s="4">
        <v>1</v>
      </c>
      <c r="F6" s="4">
        <v>50</v>
      </c>
      <c r="G6" s="10">
        <f>B6+C6/60</f>
        <v>5.35</v>
      </c>
      <c r="H6" s="4">
        <v>50</v>
      </c>
      <c r="I6" s="5">
        <f>G6*D6</f>
        <v>240.74999999999997</v>
      </c>
      <c r="J6" s="5">
        <f>I6-H6</f>
        <v>190.74999999999997</v>
      </c>
      <c r="K6">
        <v>19</v>
      </c>
      <c r="N6" s="51">
        <f>390</f>
        <v>390</v>
      </c>
      <c r="P6" t="s">
        <v>825</v>
      </c>
    </row>
    <row r="7" spans="1:17">
      <c r="A7" s="80" t="s">
        <v>826</v>
      </c>
      <c r="B7" s="4">
        <v>6</v>
      </c>
      <c r="C7" s="4">
        <v>1</v>
      </c>
      <c r="D7" s="4">
        <v>45</v>
      </c>
      <c r="E7" s="4">
        <v>1</v>
      </c>
      <c r="F7" s="4">
        <v>50</v>
      </c>
      <c r="G7" s="10">
        <f t="shared" ref="G7:G8" si="0">B7+C7/60</f>
        <v>6.0166666666666666</v>
      </c>
      <c r="H7" s="4">
        <v>50</v>
      </c>
      <c r="I7" s="5">
        <f t="shared" ref="I7:I8" si="1">G7*D7</f>
        <v>270.75</v>
      </c>
      <c r="J7" s="5">
        <f t="shared" ref="J7:J10" si="2">I7-H7</f>
        <v>220.75</v>
      </c>
      <c r="K7">
        <v>24</v>
      </c>
      <c r="N7" s="51">
        <f>561</f>
        <v>561</v>
      </c>
      <c r="P7" t="s">
        <v>827</v>
      </c>
    </row>
    <row r="8" spans="1:17">
      <c r="A8" s="80" t="s">
        <v>828</v>
      </c>
      <c r="B8" s="4">
        <v>5</v>
      </c>
      <c r="C8" s="4">
        <v>54</v>
      </c>
      <c r="D8" s="4">
        <v>45</v>
      </c>
      <c r="E8" s="4">
        <v>1</v>
      </c>
      <c r="F8" s="4">
        <v>50</v>
      </c>
      <c r="G8" s="10">
        <f t="shared" si="0"/>
        <v>5.9</v>
      </c>
      <c r="H8" s="4">
        <v>50</v>
      </c>
      <c r="I8" s="5">
        <f t="shared" si="1"/>
        <v>265.5</v>
      </c>
      <c r="J8" s="5">
        <f t="shared" si="2"/>
        <v>215.5</v>
      </c>
      <c r="K8">
        <v>14</v>
      </c>
      <c r="N8" s="51">
        <v>361</v>
      </c>
      <c r="P8" t="s">
        <v>829</v>
      </c>
    </row>
    <row r="9" spans="1:17">
      <c r="A9" s="80" t="s">
        <v>830</v>
      </c>
      <c r="B9" s="4">
        <v>0</v>
      </c>
      <c r="C9" s="4">
        <v>0</v>
      </c>
      <c r="D9" s="4">
        <v>45</v>
      </c>
      <c r="E9" s="4">
        <v>0</v>
      </c>
      <c r="F9" s="4">
        <v>0</v>
      </c>
      <c r="G9" s="10">
        <f t="shared" ref="G9:G49" si="3">B9+C9/60</f>
        <v>0</v>
      </c>
      <c r="H9" s="4">
        <v>0</v>
      </c>
      <c r="I9" s="5">
        <f>G9*D9</f>
        <v>0</v>
      </c>
      <c r="J9" s="5">
        <f t="shared" si="2"/>
        <v>0</v>
      </c>
      <c r="K9">
        <v>0</v>
      </c>
      <c r="N9" s="51">
        <v>0</v>
      </c>
    </row>
    <row r="10" spans="1:17">
      <c r="A10" s="80" t="s">
        <v>831</v>
      </c>
      <c r="B10" s="4">
        <v>8</v>
      </c>
      <c r="C10" s="4">
        <v>7</v>
      </c>
      <c r="D10" s="4">
        <v>65</v>
      </c>
      <c r="E10" s="4">
        <v>1</v>
      </c>
      <c r="F10" s="4">
        <v>50</v>
      </c>
      <c r="G10" s="10">
        <f t="shared" si="3"/>
        <v>8.1166666666666671</v>
      </c>
      <c r="H10" s="4">
        <v>50</v>
      </c>
      <c r="I10" s="5">
        <f>G10*D10</f>
        <v>527.58333333333337</v>
      </c>
      <c r="J10" s="5">
        <f t="shared" si="2"/>
        <v>477.58333333333337</v>
      </c>
      <c r="K10">
        <v>31</v>
      </c>
      <c r="N10" s="51">
        <v>710</v>
      </c>
      <c r="P10" t="s">
        <v>832</v>
      </c>
    </row>
    <row r="11" spans="1:17" ht="19">
      <c r="A11" s="91" t="s">
        <v>463</v>
      </c>
      <c r="B11" s="92">
        <f>SUM(B12:B18)</f>
        <v>65</v>
      </c>
      <c r="C11" s="92">
        <f>SUM(C12:C18)</f>
        <v>5</v>
      </c>
      <c r="D11" s="92">
        <f>SUM(D12)</f>
        <v>55</v>
      </c>
      <c r="E11" s="92">
        <f>SUM(E12:E18)</f>
        <v>6</v>
      </c>
      <c r="F11" s="92">
        <f>SUM(F12:F18)</f>
        <v>350</v>
      </c>
      <c r="G11" s="93">
        <f t="shared" si="3"/>
        <v>65.083333333333329</v>
      </c>
      <c r="H11" s="92">
        <f>SUM(H12:H18)</f>
        <v>300</v>
      </c>
      <c r="I11" s="94">
        <f>SUM(I12:I18)</f>
        <v>3478.75</v>
      </c>
      <c r="J11" s="95">
        <f>SUM(J12:J18)</f>
        <v>3178.75</v>
      </c>
      <c r="K11" s="8">
        <f>SUM(K12:K18)</f>
        <v>165</v>
      </c>
      <c r="L11" s="9">
        <v>0</v>
      </c>
      <c r="M11" s="96">
        <f>J11+L11</f>
        <v>3178.75</v>
      </c>
      <c r="N11" s="97">
        <f>SUM(N12:N18)</f>
        <v>4004</v>
      </c>
      <c r="O11" s="98">
        <f>4004-N11</f>
        <v>0</v>
      </c>
      <c r="P11" s="86"/>
      <c r="Q11" s="86"/>
    </row>
    <row r="12" spans="1:17">
      <c r="A12" s="6">
        <v>46132</v>
      </c>
      <c r="B12" s="4">
        <v>11</v>
      </c>
      <c r="C12" s="4">
        <v>0</v>
      </c>
      <c r="D12" s="4">
        <v>55</v>
      </c>
      <c r="E12" s="4">
        <v>1</v>
      </c>
      <c r="F12" s="4">
        <v>50</v>
      </c>
      <c r="G12" s="10">
        <f t="shared" si="3"/>
        <v>11</v>
      </c>
      <c r="H12" s="4">
        <v>50</v>
      </c>
      <c r="I12" s="5">
        <f t="shared" ref="I12:I18" si="4">G12*D12</f>
        <v>605</v>
      </c>
      <c r="J12" s="5">
        <f t="shared" ref="J12:J18" si="5">I12-H12</f>
        <v>555</v>
      </c>
      <c r="K12">
        <v>29</v>
      </c>
      <c r="M12" t="s">
        <v>26</v>
      </c>
      <c r="N12" s="83">
        <f>775</f>
        <v>775</v>
      </c>
    </row>
    <row r="13" spans="1:17">
      <c r="A13" s="6">
        <v>46133</v>
      </c>
      <c r="B13" s="4">
        <v>11</v>
      </c>
      <c r="C13" s="4">
        <v>0</v>
      </c>
      <c r="D13" s="4">
        <v>45</v>
      </c>
      <c r="E13" s="4">
        <v>1</v>
      </c>
      <c r="F13" s="4">
        <v>50</v>
      </c>
      <c r="G13" s="10">
        <f t="shared" si="3"/>
        <v>11</v>
      </c>
      <c r="H13" s="4">
        <v>50</v>
      </c>
      <c r="I13" s="5">
        <f t="shared" si="4"/>
        <v>495</v>
      </c>
      <c r="J13" s="5">
        <f t="shared" si="5"/>
        <v>445</v>
      </c>
      <c r="K13">
        <v>19</v>
      </c>
      <c r="N13" s="83">
        <v>481</v>
      </c>
    </row>
    <row r="14" spans="1:17">
      <c r="A14" s="6">
        <v>46134</v>
      </c>
      <c r="B14" s="4">
        <v>0</v>
      </c>
      <c r="C14" s="4">
        <v>0</v>
      </c>
      <c r="D14" s="4">
        <v>45</v>
      </c>
      <c r="E14" s="4">
        <v>0</v>
      </c>
      <c r="F14" s="4">
        <v>50</v>
      </c>
      <c r="G14" s="10">
        <f t="shared" si="3"/>
        <v>0</v>
      </c>
      <c r="H14" s="4">
        <v>0</v>
      </c>
      <c r="I14" s="5">
        <f t="shared" si="4"/>
        <v>0</v>
      </c>
      <c r="J14" s="5">
        <f t="shared" si="5"/>
        <v>0</v>
      </c>
      <c r="K14">
        <v>0</v>
      </c>
      <c r="N14" s="83">
        <v>0</v>
      </c>
    </row>
    <row r="15" spans="1:17">
      <c r="A15" s="6">
        <v>46135</v>
      </c>
      <c r="B15" s="4">
        <v>11</v>
      </c>
      <c r="C15" s="4">
        <v>0</v>
      </c>
      <c r="D15" s="4">
        <v>55</v>
      </c>
      <c r="E15" s="4">
        <v>1</v>
      </c>
      <c r="F15" s="4">
        <v>50</v>
      </c>
      <c r="G15" s="10">
        <f t="shared" si="3"/>
        <v>11</v>
      </c>
      <c r="H15" s="4">
        <v>50</v>
      </c>
      <c r="I15" s="5">
        <f t="shared" si="4"/>
        <v>605</v>
      </c>
      <c r="J15" s="5">
        <f t="shared" si="5"/>
        <v>555</v>
      </c>
      <c r="K15">
        <v>28</v>
      </c>
      <c r="N15" s="83">
        <f>600</f>
        <v>600</v>
      </c>
    </row>
    <row r="16" spans="1:17">
      <c r="A16" s="6">
        <v>46136</v>
      </c>
      <c r="B16" s="4">
        <v>10</v>
      </c>
      <c r="C16" s="4">
        <v>5</v>
      </c>
      <c r="D16" s="4">
        <v>45</v>
      </c>
      <c r="E16" s="4">
        <v>1</v>
      </c>
      <c r="F16" s="4">
        <v>50</v>
      </c>
      <c r="G16" s="10">
        <f t="shared" si="3"/>
        <v>10.083333333333334</v>
      </c>
      <c r="H16" s="4">
        <v>50</v>
      </c>
      <c r="I16" s="5">
        <f t="shared" si="4"/>
        <v>453.75</v>
      </c>
      <c r="J16" s="5">
        <f t="shared" si="5"/>
        <v>403.75</v>
      </c>
      <c r="K16">
        <v>21</v>
      </c>
      <c r="N16" s="83">
        <f>247+200</f>
        <v>447</v>
      </c>
      <c r="P16" t="s">
        <v>290</v>
      </c>
    </row>
    <row r="17" spans="1:17">
      <c r="A17" s="6">
        <v>46137</v>
      </c>
      <c r="B17" s="4">
        <v>11</v>
      </c>
      <c r="C17" s="4">
        <v>0</v>
      </c>
      <c r="D17" s="4">
        <v>55</v>
      </c>
      <c r="E17" s="4">
        <v>1</v>
      </c>
      <c r="F17" s="4">
        <v>50</v>
      </c>
      <c r="G17" s="10">
        <f t="shared" si="3"/>
        <v>11</v>
      </c>
      <c r="H17" s="4">
        <v>50</v>
      </c>
      <c r="I17" s="5">
        <f t="shared" si="4"/>
        <v>605</v>
      </c>
      <c r="J17" s="5">
        <f t="shared" si="5"/>
        <v>555</v>
      </c>
      <c r="K17">
        <v>30</v>
      </c>
      <c r="N17" s="83">
        <v>834</v>
      </c>
    </row>
    <row r="18" spans="1:17">
      <c r="A18" s="6">
        <v>46138</v>
      </c>
      <c r="B18" s="4">
        <v>11</v>
      </c>
      <c r="C18" s="4">
        <v>0</v>
      </c>
      <c r="D18" s="4">
        <v>65</v>
      </c>
      <c r="E18" s="4">
        <v>1</v>
      </c>
      <c r="F18" s="4">
        <v>50</v>
      </c>
      <c r="G18" s="10">
        <f t="shared" si="3"/>
        <v>11</v>
      </c>
      <c r="H18" s="4">
        <v>50</v>
      </c>
      <c r="I18" s="5">
        <f t="shared" si="4"/>
        <v>715</v>
      </c>
      <c r="J18" s="5">
        <f t="shared" si="5"/>
        <v>665</v>
      </c>
      <c r="K18">
        <v>38</v>
      </c>
      <c r="N18" s="51">
        <v>867</v>
      </c>
    </row>
    <row r="19" spans="1:17" ht="19">
      <c r="A19" s="91" t="s">
        <v>833</v>
      </c>
      <c r="B19" s="8">
        <f>SUM(B20:B26)</f>
        <v>24</v>
      </c>
      <c r="C19" s="8">
        <f>SUM(C20:C26)</f>
        <v>140</v>
      </c>
      <c r="D19" s="8">
        <f>SUM(D20)</f>
        <v>45</v>
      </c>
      <c r="E19" s="8">
        <f>SUM(E20:E26)</f>
        <v>7</v>
      </c>
      <c r="F19" s="8">
        <f>SUM(F20:F26)</f>
        <v>350</v>
      </c>
      <c r="G19" s="93">
        <f t="shared" si="3"/>
        <v>26.333333333333332</v>
      </c>
      <c r="H19" s="92">
        <f>SUM(H20:H26)</f>
        <v>150</v>
      </c>
      <c r="I19" s="9">
        <f>SUM(I20:I26)</f>
        <v>1185</v>
      </c>
      <c r="J19" s="14">
        <f>SUM(J20:J26)</f>
        <v>1035</v>
      </c>
      <c r="K19" s="8">
        <f>SUM(K20:K26)</f>
        <v>54</v>
      </c>
      <c r="L19" s="9">
        <v>0</v>
      </c>
      <c r="M19" s="96">
        <f>J19</f>
        <v>1035</v>
      </c>
      <c r="N19" s="102">
        <f>SUM(N20:N26)</f>
        <v>1518</v>
      </c>
      <c r="O19" s="98">
        <f>-N19</f>
        <v>-1518</v>
      </c>
      <c r="P19" s="86"/>
      <c r="Q19" s="86"/>
    </row>
    <row r="20" spans="1:17">
      <c r="A20" s="6">
        <v>46132</v>
      </c>
      <c r="B20" s="4">
        <v>0</v>
      </c>
      <c r="C20" s="4">
        <v>0</v>
      </c>
      <c r="D20" s="4">
        <v>45</v>
      </c>
      <c r="E20" s="4">
        <v>1</v>
      </c>
      <c r="F20" s="4">
        <v>50</v>
      </c>
      <c r="G20" s="144">
        <f t="shared" si="3"/>
        <v>0</v>
      </c>
      <c r="H20" s="167">
        <v>0</v>
      </c>
      <c r="I20" s="142">
        <f t="shared" ref="I20:I26" si="6">G20*D20</f>
        <v>0</v>
      </c>
      <c r="J20" s="5">
        <f t="shared" ref="J20:J26" si="7">I20-H20</f>
        <v>0</v>
      </c>
      <c r="K20">
        <v>0</v>
      </c>
      <c r="N20" s="51">
        <v>0</v>
      </c>
      <c r="O20" s="51"/>
      <c r="P20" s="115"/>
    </row>
    <row r="21" spans="1:17">
      <c r="A21" s="6">
        <v>46133</v>
      </c>
      <c r="B21" s="4">
        <v>0</v>
      </c>
      <c r="C21" s="4">
        <v>0</v>
      </c>
      <c r="D21" s="4">
        <v>65</v>
      </c>
      <c r="E21" s="4">
        <v>1</v>
      </c>
      <c r="F21" s="4">
        <v>50</v>
      </c>
      <c r="G21" s="144">
        <f t="shared" si="3"/>
        <v>0</v>
      </c>
      <c r="H21" s="167">
        <v>0</v>
      </c>
      <c r="I21" s="142">
        <f t="shared" si="6"/>
        <v>0</v>
      </c>
      <c r="J21" s="5">
        <f t="shared" si="7"/>
        <v>0</v>
      </c>
      <c r="K21">
        <v>0</v>
      </c>
      <c r="N21" s="51">
        <v>0</v>
      </c>
    </row>
    <row r="22" spans="1:17">
      <c r="A22" s="6">
        <v>46134</v>
      </c>
      <c r="B22" s="4">
        <v>0</v>
      </c>
      <c r="C22" s="4">
        <v>0</v>
      </c>
      <c r="D22" s="4">
        <v>65</v>
      </c>
      <c r="E22" s="4">
        <v>1</v>
      </c>
      <c r="F22" s="4">
        <v>50</v>
      </c>
      <c r="G22" s="144">
        <f t="shared" si="3"/>
        <v>0</v>
      </c>
      <c r="H22" s="167">
        <v>0</v>
      </c>
      <c r="I22" s="142">
        <f t="shared" si="6"/>
        <v>0</v>
      </c>
      <c r="J22" s="5">
        <f t="shared" si="7"/>
        <v>0</v>
      </c>
      <c r="K22">
        <v>0</v>
      </c>
      <c r="N22" s="51">
        <v>0</v>
      </c>
      <c r="Q22" t="s">
        <v>64</v>
      </c>
    </row>
    <row r="23" spans="1:17">
      <c r="A23" s="6">
        <v>46135</v>
      </c>
      <c r="B23" s="4">
        <v>0</v>
      </c>
      <c r="C23" s="4">
        <v>0</v>
      </c>
      <c r="D23" s="4">
        <v>45</v>
      </c>
      <c r="E23" s="4">
        <v>1</v>
      </c>
      <c r="F23" s="4">
        <v>50</v>
      </c>
      <c r="G23" s="144">
        <f t="shared" si="3"/>
        <v>0</v>
      </c>
      <c r="H23" s="167">
        <v>0</v>
      </c>
      <c r="I23" s="142">
        <f t="shared" si="6"/>
        <v>0</v>
      </c>
      <c r="J23" s="5">
        <f t="shared" si="7"/>
        <v>0</v>
      </c>
      <c r="K23">
        <v>0</v>
      </c>
      <c r="N23" s="51">
        <v>0</v>
      </c>
    </row>
    <row r="24" spans="1:17">
      <c r="A24" s="6">
        <v>46136</v>
      </c>
      <c r="B24" s="4">
        <v>7</v>
      </c>
      <c r="C24" s="4">
        <v>55</v>
      </c>
      <c r="D24" s="4">
        <v>45</v>
      </c>
      <c r="E24" s="4">
        <v>1</v>
      </c>
      <c r="F24" s="4">
        <v>50</v>
      </c>
      <c r="G24" s="144">
        <f t="shared" si="3"/>
        <v>7.916666666666667</v>
      </c>
      <c r="H24" s="167">
        <v>50</v>
      </c>
      <c r="I24" s="142">
        <f t="shared" si="6"/>
        <v>356.25</v>
      </c>
      <c r="J24" s="5">
        <f t="shared" si="7"/>
        <v>306.25</v>
      </c>
      <c r="K24">
        <v>9</v>
      </c>
      <c r="N24" s="51">
        <v>412</v>
      </c>
      <c r="P24" t="s">
        <v>834</v>
      </c>
    </row>
    <row r="25" spans="1:17">
      <c r="A25" s="6">
        <v>46137</v>
      </c>
      <c r="B25" s="4">
        <v>10</v>
      </c>
      <c r="C25" s="4">
        <v>33</v>
      </c>
      <c r="D25" s="4">
        <v>45</v>
      </c>
      <c r="E25" s="4">
        <v>1</v>
      </c>
      <c r="F25" s="4">
        <v>50</v>
      </c>
      <c r="G25" s="10">
        <f t="shared" si="3"/>
        <v>10.55</v>
      </c>
      <c r="H25" s="141">
        <v>50</v>
      </c>
      <c r="I25" s="5">
        <f t="shared" si="6"/>
        <v>474.75000000000006</v>
      </c>
      <c r="J25" s="5">
        <f t="shared" si="7"/>
        <v>424.75000000000006</v>
      </c>
      <c r="K25">
        <v>22</v>
      </c>
      <c r="N25" s="51">
        <v>335</v>
      </c>
      <c r="P25" t="s">
        <v>835</v>
      </c>
    </row>
    <row r="26" spans="1:17">
      <c r="A26" s="6">
        <v>46138</v>
      </c>
      <c r="B26" s="4">
        <v>7</v>
      </c>
      <c r="C26" s="4">
        <v>52</v>
      </c>
      <c r="D26" s="4">
        <v>45</v>
      </c>
      <c r="E26" s="4">
        <v>1</v>
      </c>
      <c r="F26" s="4">
        <v>50</v>
      </c>
      <c r="G26" s="10">
        <f t="shared" si="3"/>
        <v>7.8666666666666671</v>
      </c>
      <c r="H26" s="4">
        <v>50</v>
      </c>
      <c r="I26" s="5">
        <f t="shared" si="6"/>
        <v>354</v>
      </c>
      <c r="J26" s="5">
        <f t="shared" si="7"/>
        <v>304</v>
      </c>
      <c r="K26">
        <v>23</v>
      </c>
      <c r="N26" s="51">
        <v>771</v>
      </c>
      <c r="P26" t="s">
        <v>836</v>
      </c>
    </row>
    <row r="27" spans="1:17" ht="19">
      <c r="A27" s="91" t="s">
        <v>465</v>
      </c>
      <c r="B27" s="8">
        <f>SUM(B28:B33)</f>
        <v>36</v>
      </c>
      <c r="C27" s="8">
        <f>SUM(C28:C33)</f>
        <v>141</v>
      </c>
      <c r="D27" s="8">
        <f>SUM(D28)</f>
        <v>45</v>
      </c>
      <c r="E27" s="8"/>
      <c r="F27" s="8">
        <f>SUM(F28:F33)</f>
        <v>250</v>
      </c>
      <c r="G27" s="93">
        <f t="shared" si="3"/>
        <v>38.35</v>
      </c>
      <c r="H27" s="8">
        <f>SUM(H28:H34)</f>
        <v>250</v>
      </c>
      <c r="I27" s="9">
        <f>SUM(I28:I34)</f>
        <v>2856.75</v>
      </c>
      <c r="J27" s="14">
        <f>SUM(J28:J34)</f>
        <v>2606.75</v>
      </c>
      <c r="K27" s="8">
        <f>SUM(K28:K34)</f>
        <v>157</v>
      </c>
      <c r="L27" s="9">
        <v>0</v>
      </c>
      <c r="M27" s="96">
        <f>J27+L27</f>
        <v>2606.75</v>
      </c>
      <c r="N27" s="99">
        <f>SUM(N28:N34)</f>
        <v>3620</v>
      </c>
      <c r="O27" s="98">
        <f>3614-N27</f>
        <v>-6</v>
      </c>
      <c r="P27" s="86"/>
      <c r="Q27" s="86"/>
    </row>
    <row r="28" spans="1:17">
      <c r="A28" s="80" t="s">
        <v>820</v>
      </c>
      <c r="B28" s="4">
        <v>0</v>
      </c>
      <c r="C28" s="4">
        <v>0</v>
      </c>
      <c r="D28" s="4">
        <v>45</v>
      </c>
      <c r="E28" s="4">
        <v>0</v>
      </c>
      <c r="F28" s="4">
        <v>50</v>
      </c>
      <c r="G28" s="10">
        <f t="shared" si="3"/>
        <v>0</v>
      </c>
      <c r="H28" s="4">
        <v>0</v>
      </c>
      <c r="I28" s="5">
        <f t="shared" ref="I28:I34" si="8">G28*D28</f>
        <v>0</v>
      </c>
      <c r="J28" s="5">
        <f t="shared" ref="J28:J34" si="9">I28-H28</f>
        <v>0</v>
      </c>
      <c r="K28">
        <v>0</v>
      </c>
      <c r="N28" s="51">
        <v>0</v>
      </c>
    </row>
    <row r="29" spans="1:17">
      <c r="A29" s="80" t="s">
        <v>822</v>
      </c>
      <c r="B29" s="4">
        <v>8</v>
      </c>
      <c r="C29" s="4">
        <v>38</v>
      </c>
      <c r="D29" s="4">
        <v>45</v>
      </c>
      <c r="E29" s="4">
        <v>1</v>
      </c>
      <c r="F29" s="4">
        <v>50</v>
      </c>
      <c r="G29" s="10">
        <f t="shared" si="3"/>
        <v>8.6333333333333329</v>
      </c>
      <c r="H29" s="4">
        <v>50</v>
      </c>
      <c r="I29" s="5">
        <f t="shared" si="8"/>
        <v>388.5</v>
      </c>
      <c r="J29" s="5">
        <f t="shared" si="9"/>
        <v>338.5</v>
      </c>
      <c r="K29">
        <v>22</v>
      </c>
      <c r="N29" s="83">
        <v>560</v>
      </c>
      <c r="P29" t="s">
        <v>837</v>
      </c>
    </row>
    <row r="30" spans="1:17">
      <c r="A30" s="80" t="s">
        <v>824</v>
      </c>
      <c r="B30" s="4">
        <v>8</v>
      </c>
      <c r="C30" s="4">
        <v>55</v>
      </c>
      <c r="D30" s="4">
        <v>45</v>
      </c>
      <c r="E30" s="4">
        <v>1</v>
      </c>
      <c r="F30" s="4">
        <v>50</v>
      </c>
      <c r="G30" s="10">
        <f t="shared" si="3"/>
        <v>8.9166666666666661</v>
      </c>
      <c r="H30" s="4">
        <v>50</v>
      </c>
      <c r="I30" s="5">
        <f t="shared" si="8"/>
        <v>401.25</v>
      </c>
      <c r="J30" s="5">
        <f t="shared" si="9"/>
        <v>351.25</v>
      </c>
      <c r="K30">
        <v>26</v>
      </c>
      <c r="N30" s="83">
        <f>600</f>
        <v>600</v>
      </c>
      <c r="P30" t="s">
        <v>838</v>
      </c>
    </row>
    <row r="31" spans="1:17">
      <c r="A31" s="80" t="s">
        <v>826</v>
      </c>
      <c r="B31" s="4">
        <v>0</v>
      </c>
      <c r="C31" s="4">
        <v>0</v>
      </c>
      <c r="D31" s="4">
        <v>45</v>
      </c>
      <c r="E31" s="4">
        <v>0</v>
      </c>
      <c r="F31" s="4">
        <v>0</v>
      </c>
      <c r="G31" s="10">
        <f t="shared" si="3"/>
        <v>0</v>
      </c>
      <c r="H31" s="4">
        <v>0</v>
      </c>
      <c r="I31" s="5">
        <f t="shared" si="8"/>
        <v>0</v>
      </c>
      <c r="J31" s="5">
        <f t="shared" si="9"/>
        <v>0</v>
      </c>
      <c r="K31">
        <v>0</v>
      </c>
      <c r="N31" s="51">
        <v>0</v>
      </c>
    </row>
    <row r="32" spans="1:17">
      <c r="A32" s="80" t="s">
        <v>828</v>
      </c>
      <c r="B32" s="4">
        <v>10</v>
      </c>
      <c r="C32" s="4">
        <v>10</v>
      </c>
      <c r="D32" s="4">
        <v>65</v>
      </c>
      <c r="E32" s="4">
        <v>1</v>
      </c>
      <c r="F32" s="4">
        <v>50</v>
      </c>
      <c r="G32" s="10">
        <f t="shared" si="3"/>
        <v>10.166666666666666</v>
      </c>
      <c r="H32" s="4">
        <v>50</v>
      </c>
      <c r="I32" s="5">
        <f t="shared" si="8"/>
        <v>660.83333333333326</v>
      </c>
      <c r="J32" s="5">
        <f t="shared" si="9"/>
        <v>610.83333333333326</v>
      </c>
      <c r="K32">
        <v>35</v>
      </c>
      <c r="N32" s="51">
        <v>700</v>
      </c>
      <c r="P32" t="s">
        <v>839</v>
      </c>
    </row>
    <row r="33" spans="1:17">
      <c r="A33" s="80" t="s">
        <v>830</v>
      </c>
      <c r="B33" s="4">
        <v>10</v>
      </c>
      <c r="C33" s="4">
        <v>38</v>
      </c>
      <c r="D33" s="4">
        <v>65</v>
      </c>
      <c r="E33" s="4">
        <v>1</v>
      </c>
      <c r="F33" s="4">
        <v>50</v>
      </c>
      <c r="G33" s="10">
        <f t="shared" si="3"/>
        <v>10.633333333333333</v>
      </c>
      <c r="H33" s="4">
        <v>50</v>
      </c>
      <c r="I33" s="5">
        <f t="shared" si="8"/>
        <v>691.16666666666663</v>
      </c>
      <c r="J33" s="5">
        <f t="shared" si="9"/>
        <v>641.16666666666663</v>
      </c>
      <c r="K33">
        <v>33</v>
      </c>
      <c r="N33" s="51">
        <v>800</v>
      </c>
      <c r="P33" t="s">
        <v>840</v>
      </c>
    </row>
    <row r="34" spans="1:17">
      <c r="A34" s="80" t="s">
        <v>831</v>
      </c>
      <c r="B34" s="4">
        <v>11</v>
      </c>
      <c r="C34" s="4">
        <v>0</v>
      </c>
      <c r="D34" s="4">
        <v>65</v>
      </c>
      <c r="E34" s="4">
        <v>1</v>
      </c>
      <c r="F34" s="4">
        <v>50</v>
      </c>
      <c r="G34" s="10">
        <f t="shared" si="3"/>
        <v>11</v>
      </c>
      <c r="H34" s="4">
        <v>50</v>
      </c>
      <c r="I34" s="5">
        <f t="shared" si="8"/>
        <v>715</v>
      </c>
      <c r="J34" s="5">
        <f t="shared" si="9"/>
        <v>665</v>
      </c>
      <c r="K34">
        <v>41</v>
      </c>
      <c r="N34" s="51">
        <v>960</v>
      </c>
    </row>
    <row r="35" spans="1:17" ht="19">
      <c r="A35" s="91" t="s">
        <v>468</v>
      </c>
      <c r="B35" s="8">
        <f>SUM(B36:B42)</f>
        <v>42</v>
      </c>
      <c r="C35" s="8">
        <f>SUM(C36:C42)</f>
        <v>93</v>
      </c>
      <c r="D35" s="8">
        <f>SUM(D36)</f>
        <v>65</v>
      </c>
      <c r="E35" s="8">
        <f>SUM(E36:E42)</f>
        <v>4</v>
      </c>
      <c r="F35" s="8">
        <f>SUM(F36:F42)</f>
        <v>350</v>
      </c>
      <c r="G35" s="93">
        <f t="shared" si="3"/>
        <v>43.55</v>
      </c>
      <c r="H35" s="8">
        <f>SUM(H36:H42)</f>
        <v>246.2</v>
      </c>
      <c r="I35" s="9">
        <f>SUM(I36:I40)</f>
        <v>2723.0833333333335</v>
      </c>
      <c r="J35" s="14">
        <f>SUM(J36:J40)</f>
        <v>2476.8833333333332</v>
      </c>
      <c r="K35" s="8">
        <f>SUM(K36:K42)</f>
        <v>134</v>
      </c>
      <c r="L35" s="9">
        <v>0</v>
      </c>
      <c r="M35" s="96">
        <f>J35+L35</f>
        <v>2476.8833333333332</v>
      </c>
      <c r="N35" s="99">
        <f>SUM(N36:N42)</f>
        <v>3530</v>
      </c>
      <c r="O35" s="98">
        <f>3530-N35</f>
        <v>0</v>
      </c>
      <c r="P35" s="86"/>
      <c r="Q35" s="86"/>
    </row>
    <row r="36" spans="1:17">
      <c r="A36" s="80">
        <v>46133</v>
      </c>
      <c r="B36" s="4">
        <v>10</v>
      </c>
      <c r="C36" s="4">
        <v>47</v>
      </c>
      <c r="D36" s="4">
        <v>65</v>
      </c>
      <c r="E36" s="4">
        <v>1</v>
      </c>
      <c r="F36" s="4">
        <v>50</v>
      </c>
      <c r="G36" s="10">
        <f t="shared" si="3"/>
        <v>10.783333333333333</v>
      </c>
      <c r="H36" s="4">
        <v>50</v>
      </c>
      <c r="I36" s="5">
        <f t="shared" ref="I36:I42" si="10">G36*D36</f>
        <v>700.91666666666663</v>
      </c>
      <c r="J36" s="5">
        <f t="shared" ref="J36:J42" si="11">I36-H36</f>
        <v>650.91666666666663</v>
      </c>
      <c r="K36">
        <v>32</v>
      </c>
      <c r="N36" s="51">
        <f>803</f>
        <v>803</v>
      </c>
    </row>
    <row r="37" spans="1:17">
      <c r="A37" s="80">
        <v>46134</v>
      </c>
      <c r="B37" s="4">
        <v>10</v>
      </c>
      <c r="C37" s="4">
        <v>46</v>
      </c>
      <c r="D37" s="4">
        <v>55</v>
      </c>
      <c r="E37" s="4">
        <v>1</v>
      </c>
      <c r="F37" s="4">
        <v>50</v>
      </c>
      <c r="G37" s="10">
        <f t="shared" si="3"/>
        <v>10.766666666666667</v>
      </c>
      <c r="H37" s="4">
        <v>50</v>
      </c>
      <c r="I37" s="5">
        <f t="shared" si="10"/>
        <v>592.16666666666674</v>
      </c>
      <c r="J37" s="5">
        <f t="shared" si="11"/>
        <v>542.16666666666674</v>
      </c>
      <c r="K37">
        <v>27</v>
      </c>
      <c r="N37" s="51">
        <f>710</f>
        <v>710</v>
      </c>
    </row>
    <row r="38" spans="1:17">
      <c r="A38" s="80">
        <v>46135</v>
      </c>
      <c r="B38" s="4">
        <v>11</v>
      </c>
      <c r="C38" s="4">
        <v>0</v>
      </c>
      <c r="D38" s="4">
        <v>65</v>
      </c>
      <c r="E38" s="4">
        <v>1</v>
      </c>
      <c r="F38" s="4">
        <v>50</v>
      </c>
      <c r="G38" s="10">
        <f t="shared" si="3"/>
        <v>11</v>
      </c>
      <c r="H38" s="4">
        <f>50+46.2</f>
        <v>96.2</v>
      </c>
      <c r="I38" s="5">
        <f t="shared" si="10"/>
        <v>715</v>
      </c>
      <c r="J38" s="5">
        <f t="shared" si="11"/>
        <v>618.79999999999995</v>
      </c>
      <c r="K38">
        <v>33</v>
      </c>
      <c r="N38" s="51">
        <f>850</f>
        <v>850</v>
      </c>
      <c r="P38" t="s">
        <v>841</v>
      </c>
    </row>
    <row r="39" spans="1:17">
      <c r="A39" s="80">
        <v>46136</v>
      </c>
      <c r="B39" s="4">
        <v>11</v>
      </c>
      <c r="C39" s="4">
        <v>0</v>
      </c>
      <c r="D39" s="4">
        <v>65</v>
      </c>
      <c r="E39" s="4">
        <v>1</v>
      </c>
      <c r="F39" s="4">
        <v>50</v>
      </c>
      <c r="G39" s="10">
        <f t="shared" si="3"/>
        <v>11</v>
      </c>
      <c r="H39" s="4">
        <v>50</v>
      </c>
      <c r="I39" s="5">
        <f t="shared" si="10"/>
        <v>715</v>
      </c>
      <c r="J39" s="5">
        <f t="shared" si="11"/>
        <v>665</v>
      </c>
      <c r="K39">
        <v>42</v>
      </c>
      <c r="N39" s="51">
        <v>940</v>
      </c>
    </row>
    <row r="40" spans="1:17">
      <c r="A40" s="80">
        <v>46137</v>
      </c>
      <c r="B40" s="4">
        <v>0</v>
      </c>
      <c r="C40" s="4">
        <v>0</v>
      </c>
      <c r="D40" s="4">
        <v>45</v>
      </c>
      <c r="E40" s="4">
        <v>0</v>
      </c>
      <c r="F40" s="7">
        <v>50</v>
      </c>
      <c r="G40" s="10">
        <f t="shared" si="3"/>
        <v>0</v>
      </c>
      <c r="H40" s="4">
        <v>0</v>
      </c>
      <c r="I40" s="5">
        <f t="shared" si="10"/>
        <v>0</v>
      </c>
      <c r="J40" s="5">
        <f t="shared" si="11"/>
        <v>0</v>
      </c>
      <c r="K40">
        <v>0</v>
      </c>
      <c r="N40" s="51">
        <v>227</v>
      </c>
    </row>
    <row r="41" spans="1:17">
      <c r="A41" s="80">
        <v>46138</v>
      </c>
      <c r="B41" s="4">
        <v>0</v>
      </c>
      <c r="C41" s="4">
        <v>0</v>
      </c>
      <c r="D41" s="4">
        <v>45</v>
      </c>
      <c r="E41" s="4">
        <v>0</v>
      </c>
      <c r="F41" s="4">
        <v>50</v>
      </c>
      <c r="G41" s="10">
        <f t="shared" si="3"/>
        <v>0</v>
      </c>
      <c r="H41" s="4">
        <v>0</v>
      </c>
      <c r="I41" s="5">
        <f t="shared" si="10"/>
        <v>0</v>
      </c>
      <c r="J41" s="5">
        <f t="shared" si="11"/>
        <v>0</v>
      </c>
      <c r="K41">
        <v>0</v>
      </c>
      <c r="N41" s="51">
        <v>0</v>
      </c>
    </row>
    <row r="42" spans="1:17">
      <c r="A42" s="80">
        <v>46139</v>
      </c>
      <c r="B42" s="4">
        <v>0</v>
      </c>
      <c r="C42" s="4">
        <v>0</v>
      </c>
      <c r="D42" s="4">
        <v>45</v>
      </c>
      <c r="E42" s="4">
        <v>0</v>
      </c>
      <c r="F42" s="4">
        <v>50</v>
      </c>
      <c r="G42" s="10">
        <f t="shared" si="3"/>
        <v>0</v>
      </c>
      <c r="H42" s="4">
        <v>0</v>
      </c>
      <c r="I42" s="5">
        <f t="shared" si="10"/>
        <v>0</v>
      </c>
      <c r="J42" s="5">
        <f t="shared" si="11"/>
        <v>0</v>
      </c>
      <c r="K42">
        <v>0</v>
      </c>
      <c r="N42" s="51">
        <v>0</v>
      </c>
    </row>
    <row r="43" spans="1:17" ht="19">
      <c r="A43" s="91" t="s">
        <v>475</v>
      </c>
      <c r="B43" s="8">
        <f>SUM(B44:B50)</f>
        <v>27</v>
      </c>
      <c r="C43" s="8">
        <f>SUM(C44:C50)</f>
        <v>95</v>
      </c>
      <c r="D43" s="8">
        <f>SUM(D44)</f>
        <v>55</v>
      </c>
      <c r="E43" s="8">
        <f>SUM(E44:E50)</f>
        <v>7</v>
      </c>
      <c r="F43" s="8">
        <f>SUM(F44:F50)</f>
        <v>150</v>
      </c>
      <c r="G43" s="93">
        <f t="shared" si="3"/>
        <v>28.583333333333332</v>
      </c>
      <c r="H43" s="8">
        <f>SUM(H44:H50)</f>
        <v>150</v>
      </c>
      <c r="I43" s="9">
        <f>SUM(I44:I50)</f>
        <v>1572.0833333333333</v>
      </c>
      <c r="J43" s="14">
        <f>SUM(J44:J50)</f>
        <v>1422.0833333333333</v>
      </c>
      <c r="K43" s="8">
        <f>SUM(K44:K50)</f>
        <v>87</v>
      </c>
      <c r="L43" s="9">
        <v>0</v>
      </c>
      <c r="M43" s="96">
        <f>J43+L43</f>
        <v>1422.0833333333333</v>
      </c>
      <c r="N43" s="129">
        <f>SUM(N44:N50)</f>
        <v>1551</v>
      </c>
      <c r="O43" s="98">
        <f>1502-N43</f>
        <v>-49</v>
      </c>
      <c r="P43" s="86"/>
      <c r="Q43" s="86"/>
    </row>
    <row r="44" spans="1:17" ht="19">
      <c r="A44" s="80" t="s">
        <v>820</v>
      </c>
      <c r="B44" s="4">
        <v>10</v>
      </c>
      <c r="C44" s="4">
        <v>13</v>
      </c>
      <c r="D44" s="4">
        <v>55</v>
      </c>
      <c r="E44" s="4">
        <v>1</v>
      </c>
      <c r="F44" s="4">
        <v>50</v>
      </c>
      <c r="G44" s="10">
        <f t="shared" si="3"/>
        <v>10.216666666666667</v>
      </c>
      <c r="H44" s="4">
        <v>50</v>
      </c>
      <c r="I44" s="5">
        <f t="shared" ref="I44:I50" si="12">G44*D44</f>
        <v>561.91666666666663</v>
      </c>
      <c r="J44" s="5">
        <f t="shared" ref="J44:J50" si="13">I44-H44</f>
        <v>511.91666666666663</v>
      </c>
      <c r="K44">
        <v>29</v>
      </c>
      <c r="N44" s="51">
        <v>400</v>
      </c>
      <c r="O44" s="49"/>
      <c r="P44" t="s">
        <v>842</v>
      </c>
    </row>
    <row r="45" spans="1:17" ht="19">
      <c r="A45" s="80" t="s">
        <v>822</v>
      </c>
      <c r="B45" s="4">
        <v>7</v>
      </c>
      <c r="C45" s="4">
        <v>58</v>
      </c>
      <c r="D45" s="4">
        <v>55</v>
      </c>
      <c r="E45" s="4">
        <v>1</v>
      </c>
      <c r="F45" s="4">
        <v>50</v>
      </c>
      <c r="G45" s="10">
        <f t="shared" si="3"/>
        <v>7.9666666666666668</v>
      </c>
      <c r="H45" s="4">
        <v>50</v>
      </c>
      <c r="I45" s="5">
        <f t="shared" si="12"/>
        <v>438.16666666666669</v>
      </c>
      <c r="J45" s="5">
        <f t="shared" si="13"/>
        <v>388.16666666666669</v>
      </c>
      <c r="K45">
        <v>28</v>
      </c>
      <c r="N45" s="51">
        <f>317+150</f>
        <v>467</v>
      </c>
      <c r="O45" s="49"/>
      <c r="P45" t="s">
        <v>843</v>
      </c>
    </row>
    <row r="46" spans="1:17">
      <c r="A46" s="80" t="s">
        <v>824</v>
      </c>
      <c r="B46" s="4">
        <v>10</v>
      </c>
      <c r="C46" s="4">
        <v>24</v>
      </c>
      <c r="D46" s="4">
        <v>55</v>
      </c>
      <c r="E46" s="4">
        <v>1</v>
      </c>
      <c r="F46" s="4">
        <v>50</v>
      </c>
      <c r="G46" s="10">
        <f t="shared" si="3"/>
        <v>10.4</v>
      </c>
      <c r="H46" s="4">
        <v>50</v>
      </c>
      <c r="I46" s="5">
        <f t="shared" si="12"/>
        <v>572</v>
      </c>
      <c r="J46" s="5">
        <f t="shared" si="13"/>
        <v>522</v>
      </c>
      <c r="K46">
        <v>30</v>
      </c>
      <c r="N46" s="51">
        <f>684</f>
        <v>684</v>
      </c>
      <c r="P46" t="s">
        <v>844</v>
      </c>
    </row>
    <row r="47" spans="1:17">
      <c r="A47" s="80" t="s">
        <v>826</v>
      </c>
      <c r="B47" s="4">
        <v>0</v>
      </c>
      <c r="C47" s="4">
        <v>0</v>
      </c>
      <c r="D47" s="4">
        <v>45</v>
      </c>
      <c r="E47" s="4">
        <v>1</v>
      </c>
      <c r="F47" s="4">
        <v>0</v>
      </c>
      <c r="G47" s="10">
        <f t="shared" si="3"/>
        <v>0</v>
      </c>
      <c r="H47" s="4">
        <v>0</v>
      </c>
      <c r="I47" s="5">
        <f t="shared" si="12"/>
        <v>0</v>
      </c>
      <c r="J47" s="5">
        <f t="shared" si="13"/>
        <v>0</v>
      </c>
      <c r="K47">
        <v>0</v>
      </c>
      <c r="N47" s="51">
        <v>0</v>
      </c>
    </row>
    <row r="48" spans="1:17">
      <c r="A48" s="80" t="s">
        <v>828</v>
      </c>
      <c r="B48" s="4">
        <v>0</v>
      </c>
      <c r="C48" s="4">
        <v>0</v>
      </c>
      <c r="D48" s="4">
        <v>45</v>
      </c>
      <c r="E48" s="4">
        <v>1</v>
      </c>
      <c r="F48" s="4">
        <v>0</v>
      </c>
      <c r="G48" s="10">
        <f t="shared" si="3"/>
        <v>0</v>
      </c>
      <c r="H48" s="4">
        <v>0</v>
      </c>
      <c r="I48" s="5">
        <f t="shared" si="12"/>
        <v>0</v>
      </c>
      <c r="J48" s="5">
        <f t="shared" si="13"/>
        <v>0</v>
      </c>
      <c r="K48">
        <v>0</v>
      </c>
      <c r="N48" s="51">
        <v>0</v>
      </c>
    </row>
    <row r="49" spans="1:17">
      <c r="A49" s="80" t="s">
        <v>830</v>
      </c>
      <c r="B49" s="4">
        <v>0</v>
      </c>
      <c r="C49" s="4">
        <v>0</v>
      </c>
      <c r="D49" s="4">
        <v>45</v>
      </c>
      <c r="E49" s="4">
        <v>1</v>
      </c>
      <c r="F49" s="4">
        <v>0</v>
      </c>
      <c r="G49" s="10">
        <f t="shared" si="3"/>
        <v>0</v>
      </c>
      <c r="H49" s="4">
        <v>0</v>
      </c>
      <c r="I49" s="5">
        <f t="shared" si="12"/>
        <v>0</v>
      </c>
      <c r="J49" s="5">
        <f t="shared" si="13"/>
        <v>0</v>
      </c>
      <c r="K49">
        <v>0</v>
      </c>
      <c r="N49" s="51">
        <v>0</v>
      </c>
      <c r="P49" s="51"/>
    </row>
    <row r="50" spans="1:17">
      <c r="A50" s="80" t="s">
        <v>831</v>
      </c>
      <c r="B50" s="4">
        <v>0</v>
      </c>
      <c r="C50" s="4">
        <v>0</v>
      </c>
      <c r="D50" s="4">
        <v>45</v>
      </c>
      <c r="E50" s="4">
        <v>1</v>
      </c>
      <c r="F50" s="4">
        <v>0</v>
      </c>
      <c r="G50" s="10">
        <v>0</v>
      </c>
      <c r="H50" s="4">
        <v>0</v>
      </c>
      <c r="I50" s="5">
        <f t="shared" si="12"/>
        <v>0</v>
      </c>
      <c r="J50" s="5">
        <f t="shared" si="13"/>
        <v>0</v>
      </c>
      <c r="K50">
        <v>0</v>
      </c>
      <c r="L50" s="1"/>
      <c r="N50" s="51">
        <v>0</v>
      </c>
    </row>
    <row r="51" spans="1:17" ht="19">
      <c r="A51" s="91" t="s">
        <v>845</v>
      </c>
      <c r="B51" s="8">
        <f>SUM(B52:B58)</f>
        <v>33</v>
      </c>
      <c r="C51" s="8">
        <f>SUM(C52:C58)</f>
        <v>168</v>
      </c>
      <c r="D51" s="8">
        <f>SUM(D52)</f>
        <v>45</v>
      </c>
      <c r="E51" s="8">
        <f>SUM(E52:E58)</f>
        <v>4</v>
      </c>
      <c r="F51" s="8">
        <f>SUM(F52:F58)</f>
        <v>350</v>
      </c>
      <c r="G51" s="93">
        <f t="shared" ref="G51:G62" si="14">B51+C51/60</f>
        <v>35.799999999999997</v>
      </c>
      <c r="H51" s="8">
        <f>SUM(H52:H58)</f>
        <v>200</v>
      </c>
      <c r="I51" s="100">
        <f>SUM(I52:I58)</f>
        <v>1611</v>
      </c>
      <c r="J51" s="101">
        <f>SUM(J52:J58)</f>
        <v>1411</v>
      </c>
      <c r="K51" s="8">
        <f>SUM(K52:K58)</f>
        <v>86</v>
      </c>
      <c r="L51" s="104">
        <v>0</v>
      </c>
      <c r="M51" s="96">
        <f>J51+L51</f>
        <v>1411</v>
      </c>
      <c r="N51" s="99">
        <f>SUM(N52:N58)</f>
        <v>2535</v>
      </c>
      <c r="O51" s="98">
        <f>2483-N51</f>
        <v>-52</v>
      </c>
      <c r="P51" s="86"/>
      <c r="Q51" s="86"/>
    </row>
    <row r="52" spans="1:17">
      <c r="A52" s="80" t="s">
        <v>820</v>
      </c>
      <c r="B52" s="4">
        <v>8</v>
      </c>
      <c r="C52" s="4">
        <v>42</v>
      </c>
      <c r="D52" s="4">
        <v>45</v>
      </c>
      <c r="E52" s="4">
        <v>1</v>
      </c>
      <c r="F52" s="4">
        <v>50</v>
      </c>
      <c r="G52" s="10">
        <f t="shared" si="14"/>
        <v>8.6999999999999993</v>
      </c>
      <c r="H52" s="4">
        <v>50</v>
      </c>
      <c r="I52" s="5">
        <f t="shared" ref="I52:I58" si="15">G52*D52</f>
        <v>391.49999999999994</v>
      </c>
      <c r="J52" s="5">
        <f t="shared" ref="J52:J58" si="16">I52-H52</f>
        <v>341.49999999999994</v>
      </c>
      <c r="K52">
        <v>18</v>
      </c>
      <c r="N52" s="179">
        <f>390+150</f>
        <v>540</v>
      </c>
      <c r="P52" t="s">
        <v>846</v>
      </c>
    </row>
    <row r="53" spans="1:17">
      <c r="A53" s="80" t="s">
        <v>822</v>
      </c>
      <c r="B53" s="4">
        <v>9</v>
      </c>
      <c r="C53" s="4">
        <v>54</v>
      </c>
      <c r="D53" s="4">
        <v>45</v>
      </c>
      <c r="E53" s="4">
        <v>1</v>
      </c>
      <c r="F53" s="4">
        <v>50</v>
      </c>
      <c r="G53" s="10">
        <f t="shared" si="14"/>
        <v>9.9</v>
      </c>
      <c r="H53" s="4">
        <v>50</v>
      </c>
      <c r="I53" s="5">
        <f t="shared" si="15"/>
        <v>445.5</v>
      </c>
      <c r="J53" s="5">
        <f t="shared" si="16"/>
        <v>395.5</v>
      </c>
      <c r="K53">
        <v>24</v>
      </c>
      <c r="N53" s="83">
        <v>720</v>
      </c>
      <c r="P53" t="s">
        <v>847</v>
      </c>
    </row>
    <row r="54" spans="1:17">
      <c r="A54" s="80" t="s">
        <v>824</v>
      </c>
      <c r="B54" s="4">
        <v>9</v>
      </c>
      <c r="C54" s="4">
        <v>35</v>
      </c>
      <c r="D54" s="4">
        <v>45</v>
      </c>
      <c r="E54" s="4">
        <v>1</v>
      </c>
      <c r="F54" s="4">
        <v>50</v>
      </c>
      <c r="G54" s="10">
        <f t="shared" si="14"/>
        <v>9.5833333333333339</v>
      </c>
      <c r="H54" s="4">
        <v>50</v>
      </c>
      <c r="I54" s="5">
        <f t="shared" si="15"/>
        <v>431.25</v>
      </c>
      <c r="J54" s="5">
        <f t="shared" si="16"/>
        <v>381.25</v>
      </c>
      <c r="K54">
        <v>23</v>
      </c>
      <c r="N54" s="83">
        <f>590</f>
        <v>590</v>
      </c>
      <c r="P54" t="s">
        <v>848</v>
      </c>
    </row>
    <row r="55" spans="1:17">
      <c r="A55" s="80" t="s">
        <v>826</v>
      </c>
      <c r="B55" s="4">
        <v>7</v>
      </c>
      <c r="C55" s="4">
        <v>37</v>
      </c>
      <c r="D55" s="4">
        <v>45</v>
      </c>
      <c r="E55" s="4">
        <v>1</v>
      </c>
      <c r="F55" s="4">
        <v>50</v>
      </c>
      <c r="G55" s="10">
        <f t="shared" si="14"/>
        <v>7.6166666666666671</v>
      </c>
      <c r="H55" s="4">
        <v>50</v>
      </c>
      <c r="I55" s="5">
        <f t="shared" si="15"/>
        <v>342.75</v>
      </c>
      <c r="J55" s="5">
        <f t="shared" si="16"/>
        <v>292.75</v>
      </c>
      <c r="K55">
        <v>21</v>
      </c>
      <c r="N55" s="51">
        <f>535+150</f>
        <v>685</v>
      </c>
      <c r="P55" t="s">
        <v>849</v>
      </c>
    </row>
    <row r="56" spans="1:17">
      <c r="A56" s="80" t="s">
        <v>828</v>
      </c>
      <c r="B56" s="4">
        <v>0</v>
      </c>
      <c r="C56" s="4">
        <v>0</v>
      </c>
      <c r="D56" s="4">
        <v>45</v>
      </c>
      <c r="E56" s="4">
        <v>0</v>
      </c>
      <c r="F56" s="4">
        <v>50</v>
      </c>
      <c r="G56" s="10">
        <f t="shared" si="14"/>
        <v>0</v>
      </c>
      <c r="H56" s="4">
        <v>0</v>
      </c>
      <c r="I56" s="5">
        <f t="shared" si="15"/>
        <v>0</v>
      </c>
      <c r="J56" s="5">
        <f t="shared" si="16"/>
        <v>0</v>
      </c>
      <c r="K56">
        <v>0</v>
      </c>
      <c r="N56" s="51">
        <v>0</v>
      </c>
    </row>
    <row r="57" spans="1:17">
      <c r="A57" s="80" t="s">
        <v>830</v>
      </c>
      <c r="B57" s="4">
        <v>0</v>
      </c>
      <c r="C57" s="4">
        <v>0</v>
      </c>
      <c r="D57" s="4">
        <v>45</v>
      </c>
      <c r="E57" s="4">
        <v>0</v>
      </c>
      <c r="F57" s="4">
        <v>50</v>
      </c>
      <c r="G57" s="10">
        <f t="shared" si="14"/>
        <v>0</v>
      </c>
      <c r="H57" s="4">
        <v>0</v>
      </c>
      <c r="I57" s="5">
        <f t="shared" si="15"/>
        <v>0</v>
      </c>
      <c r="J57" s="5">
        <f t="shared" si="16"/>
        <v>0</v>
      </c>
      <c r="K57">
        <v>0</v>
      </c>
      <c r="N57" s="51">
        <v>0</v>
      </c>
    </row>
    <row r="58" spans="1:17">
      <c r="A58" s="80" t="s">
        <v>831</v>
      </c>
      <c r="B58" s="4">
        <v>0</v>
      </c>
      <c r="C58" s="4">
        <v>0</v>
      </c>
      <c r="D58" s="4">
        <v>45</v>
      </c>
      <c r="E58" s="4">
        <v>0</v>
      </c>
      <c r="F58" s="4">
        <v>50</v>
      </c>
      <c r="G58" s="10">
        <f t="shared" si="14"/>
        <v>0</v>
      </c>
      <c r="H58" s="4">
        <v>0</v>
      </c>
      <c r="I58" s="5">
        <f t="shared" si="15"/>
        <v>0</v>
      </c>
      <c r="J58" s="5">
        <f t="shared" si="16"/>
        <v>0</v>
      </c>
      <c r="K58">
        <v>0</v>
      </c>
      <c r="N58" s="51">
        <v>0</v>
      </c>
    </row>
    <row r="59" spans="1:17" ht="19">
      <c r="A59" s="91" t="s">
        <v>484</v>
      </c>
      <c r="B59" s="8">
        <f>SUM(B60:B66)</f>
        <v>27</v>
      </c>
      <c r="C59" s="8">
        <f>SUM(C60:C66)</f>
        <v>108</v>
      </c>
      <c r="D59" s="8">
        <f>SUM(D60)</f>
        <v>45</v>
      </c>
      <c r="E59" s="8">
        <f>SUM(E60:E66)</f>
        <v>3</v>
      </c>
      <c r="F59" s="8">
        <f>SUM(F60:F66)</f>
        <v>350</v>
      </c>
      <c r="G59" s="93">
        <f t="shared" si="14"/>
        <v>28.8</v>
      </c>
      <c r="H59" s="8">
        <f>SUM(H60:H66)</f>
        <v>150</v>
      </c>
      <c r="I59" s="9">
        <f>SUM(I60:I66)</f>
        <v>1782.5</v>
      </c>
      <c r="J59" s="14">
        <f>SUM(J60:J66)</f>
        <v>1632.5</v>
      </c>
      <c r="K59" s="8">
        <f>SUM(K60:K66)</f>
        <v>104</v>
      </c>
      <c r="L59" s="9">
        <v>0</v>
      </c>
      <c r="M59" s="96">
        <f>J59</f>
        <v>1632.5</v>
      </c>
      <c r="N59" s="102">
        <f>SUM(N60:N66)</f>
        <v>2097</v>
      </c>
      <c r="O59" s="98">
        <f>1957-N59</f>
        <v>-140</v>
      </c>
      <c r="P59" s="86"/>
      <c r="Q59" s="86"/>
    </row>
    <row r="60" spans="1:17" ht="19">
      <c r="A60" s="80" t="s">
        <v>820</v>
      </c>
      <c r="B60" s="4">
        <v>0</v>
      </c>
      <c r="C60" s="4">
        <v>0</v>
      </c>
      <c r="D60" s="4">
        <v>45</v>
      </c>
      <c r="E60" s="4">
        <v>0</v>
      </c>
      <c r="F60" s="4">
        <v>50</v>
      </c>
      <c r="G60" s="10">
        <f t="shared" si="14"/>
        <v>0</v>
      </c>
      <c r="H60" s="4">
        <v>0</v>
      </c>
      <c r="I60" s="5">
        <f>G60*D60</f>
        <v>0</v>
      </c>
      <c r="J60" s="5">
        <f>I60-H60</f>
        <v>0</v>
      </c>
      <c r="K60">
        <v>0</v>
      </c>
      <c r="N60" s="51">
        <v>0</v>
      </c>
      <c r="O60" s="49"/>
    </row>
    <row r="61" spans="1:17">
      <c r="A61" s="80" t="s">
        <v>822</v>
      </c>
      <c r="B61" s="4">
        <v>0</v>
      </c>
      <c r="C61" s="4">
        <v>0</v>
      </c>
      <c r="D61" s="4">
        <v>45</v>
      </c>
      <c r="E61" s="4">
        <v>0</v>
      </c>
      <c r="F61" s="4">
        <v>50</v>
      </c>
      <c r="G61" s="10">
        <f t="shared" si="14"/>
        <v>0</v>
      </c>
      <c r="H61" s="4">
        <v>0</v>
      </c>
      <c r="I61" s="5">
        <f>G61*D61</f>
        <v>0</v>
      </c>
      <c r="J61" s="5">
        <f>I61-H61</f>
        <v>0</v>
      </c>
      <c r="K61">
        <v>0</v>
      </c>
      <c r="N61" s="51">
        <v>0</v>
      </c>
    </row>
    <row r="62" spans="1:17">
      <c r="A62" s="80" t="s">
        <v>824</v>
      </c>
      <c r="B62" s="4">
        <v>0</v>
      </c>
      <c r="C62" s="4">
        <v>0</v>
      </c>
      <c r="D62" s="4">
        <v>45</v>
      </c>
      <c r="E62" s="4">
        <v>0</v>
      </c>
      <c r="F62" s="4">
        <v>50</v>
      </c>
      <c r="G62" s="10">
        <f t="shared" si="14"/>
        <v>0</v>
      </c>
      <c r="H62" s="4">
        <v>0</v>
      </c>
      <c r="I62" s="5">
        <f>G62*D62</f>
        <v>0</v>
      </c>
      <c r="J62" s="5">
        <f>I62-H62</f>
        <v>0</v>
      </c>
      <c r="K62">
        <v>0</v>
      </c>
      <c r="N62" s="51">
        <v>0</v>
      </c>
    </row>
    <row r="63" spans="1:17">
      <c r="A63" s="80" t="s">
        <v>826</v>
      </c>
      <c r="B63" s="4">
        <v>0</v>
      </c>
      <c r="C63" s="4">
        <v>0</v>
      </c>
      <c r="D63" s="4">
        <v>45</v>
      </c>
      <c r="E63" s="4">
        <v>0</v>
      </c>
      <c r="F63" s="4">
        <v>50</v>
      </c>
      <c r="G63" s="10">
        <v>0</v>
      </c>
      <c r="H63" s="4">
        <v>0</v>
      </c>
      <c r="I63" s="5">
        <v>0</v>
      </c>
      <c r="J63" s="5">
        <f>I63-H63</f>
        <v>0</v>
      </c>
      <c r="K63">
        <v>0</v>
      </c>
      <c r="N63" s="51">
        <v>0</v>
      </c>
    </row>
    <row r="64" spans="1:17">
      <c r="A64" s="80" t="s">
        <v>828</v>
      </c>
      <c r="B64" s="4">
        <v>8</v>
      </c>
      <c r="C64" s="4">
        <v>57</v>
      </c>
      <c r="D64" s="4">
        <v>55</v>
      </c>
      <c r="E64" s="4">
        <v>1</v>
      </c>
      <c r="F64" s="4">
        <v>50</v>
      </c>
      <c r="G64" s="10">
        <f t="shared" ref="G64:G81" si="17">B64+C64/60</f>
        <v>8.9499999999999993</v>
      </c>
      <c r="H64" s="4">
        <v>50</v>
      </c>
      <c r="I64" s="5">
        <f>G64*D64</f>
        <v>492.24999999999994</v>
      </c>
      <c r="J64" s="5">
        <f>I64-H64</f>
        <v>442.24999999999994</v>
      </c>
      <c r="K64">
        <v>30</v>
      </c>
      <c r="N64" s="51">
        <v>530</v>
      </c>
      <c r="P64" t="s">
        <v>850</v>
      </c>
    </row>
    <row r="65" spans="1:17">
      <c r="A65" s="80" t="s">
        <v>830</v>
      </c>
      <c r="B65" s="4">
        <v>10</v>
      </c>
      <c r="C65" s="4">
        <v>32</v>
      </c>
      <c r="D65" s="4">
        <v>65</v>
      </c>
      <c r="E65" s="4">
        <v>1</v>
      </c>
      <c r="F65" s="4">
        <v>50</v>
      </c>
      <c r="G65" s="10">
        <f t="shared" si="17"/>
        <v>10.533333333333333</v>
      </c>
      <c r="H65" s="4">
        <v>50</v>
      </c>
      <c r="I65" s="5">
        <f t="shared" ref="I65:I66" si="18">G65*D65</f>
        <v>684.66666666666663</v>
      </c>
      <c r="J65" s="5">
        <f t="shared" ref="J65:J66" si="19">I65-H65</f>
        <v>634.66666666666663</v>
      </c>
      <c r="K65">
        <v>36</v>
      </c>
      <c r="N65" s="51">
        <v>720</v>
      </c>
      <c r="P65" t="s">
        <v>851</v>
      </c>
    </row>
    <row r="66" spans="1:17">
      <c r="A66" s="80" t="s">
        <v>831</v>
      </c>
      <c r="B66" s="4">
        <v>9</v>
      </c>
      <c r="C66" s="4">
        <v>19</v>
      </c>
      <c r="D66" s="4">
        <v>65</v>
      </c>
      <c r="E66" s="4">
        <v>1</v>
      </c>
      <c r="F66" s="4">
        <v>50</v>
      </c>
      <c r="G66" s="10">
        <f t="shared" si="17"/>
        <v>9.3166666666666664</v>
      </c>
      <c r="H66" s="4">
        <v>50</v>
      </c>
      <c r="I66" s="5">
        <f t="shared" si="18"/>
        <v>605.58333333333337</v>
      </c>
      <c r="J66" s="5">
        <f t="shared" si="19"/>
        <v>555.58333333333337</v>
      </c>
      <c r="K66">
        <v>38</v>
      </c>
      <c r="N66" s="51">
        <v>847</v>
      </c>
      <c r="P66" t="s">
        <v>852</v>
      </c>
    </row>
    <row r="67" spans="1:17" ht="19">
      <c r="A67" s="91" t="s">
        <v>591</v>
      </c>
      <c r="B67" s="8">
        <f>SUM(B68:B74)</f>
        <v>26</v>
      </c>
      <c r="C67" s="8">
        <f>SUM(C68:C74)</f>
        <v>94</v>
      </c>
      <c r="D67" s="8">
        <f>SUM(D68)</f>
        <v>45</v>
      </c>
      <c r="E67" s="8">
        <f>SUM(E68:E74)</f>
        <v>6</v>
      </c>
      <c r="F67" s="8">
        <f>SUM(F68:F74)</f>
        <v>350</v>
      </c>
      <c r="G67" s="93">
        <f t="shared" si="17"/>
        <v>27.566666666666666</v>
      </c>
      <c r="H67" s="8">
        <f>SUM(H68:H74)</f>
        <v>200</v>
      </c>
      <c r="I67" s="9">
        <f>SUM(I68:I74)</f>
        <v>1313</v>
      </c>
      <c r="J67" s="14">
        <f>SUM(J68:J74)</f>
        <v>1113</v>
      </c>
      <c r="K67" s="8">
        <f>SUM(K68:K74)</f>
        <v>96</v>
      </c>
      <c r="L67" s="9">
        <v>0</v>
      </c>
      <c r="M67" s="96">
        <f>J67</f>
        <v>1113</v>
      </c>
      <c r="N67" s="102">
        <f>SUM(N68:N74)</f>
        <v>2148</v>
      </c>
      <c r="O67" s="98">
        <f>2148-N67</f>
        <v>0</v>
      </c>
      <c r="P67" s="86"/>
      <c r="Q67" s="86"/>
    </row>
    <row r="68" spans="1:17">
      <c r="A68" s="80" t="s">
        <v>820</v>
      </c>
      <c r="B68" s="4">
        <v>6</v>
      </c>
      <c r="C68" s="4">
        <v>18</v>
      </c>
      <c r="D68" s="4">
        <v>45</v>
      </c>
      <c r="E68" s="4">
        <v>1</v>
      </c>
      <c r="F68" s="4">
        <v>50</v>
      </c>
      <c r="G68" s="10">
        <f t="shared" si="17"/>
        <v>6.3</v>
      </c>
      <c r="H68" s="4">
        <v>50</v>
      </c>
      <c r="I68" s="5">
        <f t="shared" ref="I68:I74" si="20">G68*D68</f>
        <v>283.5</v>
      </c>
      <c r="J68" s="5">
        <f t="shared" ref="J68:J73" si="21">I68-H68</f>
        <v>233.5</v>
      </c>
      <c r="K68">
        <v>22</v>
      </c>
      <c r="N68" s="51">
        <v>352</v>
      </c>
      <c r="O68" s="51"/>
      <c r="P68" t="s">
        <v>853</v>
      </c>
    </row>
    <row r="69" spans="1:17">
      <c r="A69" s="80" t="s">
        <v>822</v>
      </c>
      <c r="B69" s="4">
        <v>7</v>
      </c>
      <c r="C69" s="4">
        <v>23</v>
      </c>
      <c r="D69" s="4">
        <v>45</v>
      </c>
      <c r="E69" s="4">
        <v>1</v>
      </c>
      <c r="F69" s="4">
        <v>50</v>
      </c>
      <c r="G69" s="10">
        <f t="shared" si="17"/>
        <v>7.3833333333333337</v>
      </c>
      <c r="H69" s="4">
        <v>50</v>
      </c>
      <c r="I69" s="5">
        <f t="shared" si="20"/>
        <v>332.25</v>
      </c>
      <c r="J69" s="5">
        <f t="shared" si="21"/>
        <v>282.25</v>
      </c>
      <c r="K69">
        <v>24</v>
      </c>
      <c r="N69" s="51">
        <v>514</v>
      </c>
      <c r="P69" t="s">
        <v>854</v>
      </c>
    </row>
    <row r="70" spans="1:17">
      <c r="A70" s="80" t="s">
        <v>824</v>
      </c>
      <c r="B70" s="4">
        <v>7</v>
      </c>
      <c r="C70" s="4">
        <v>15</v>
      </c>
      <c r="D70" s="4">
        <v>55</v>
      </c>
      <c r="E70" s="4">
        <v>1</v>
      </c>
      <c r="F70" s="4">
        <v>50</v>
      </c>
      <c r="G70" s="10">
        <f t="shared" si="17"/>
        <v>7.25</v>
      </c>
      <c r="H70" s="4">
        <v>50</v>
      </c>
      <c r="I70" s="5">
        <f t="shared" si="20"/>
        <v>398.75</v>
      </c>
      <c r="J70" s="5">
        <f t="shared" si="21"/>
        <v>348.75</v>
      </c>
      <c r="K70">
        <v>31</v>
      </c>
      <c r="N70" s="51">
        <f>328</f>
        <v>328</v>
      </c>
      <c r="P70" t="s">
        <v>855</v>
      </c>
      <c r="Q70" t="s">
        <v>64</v>
      </c>
    </row>
    <row r="71" spans="1:17">
      <c r="A71" s="80" t="s">
        <v>826</v>
      </c>
      <c r="B71" s="4">
        <v>6</v>
      </c>
      <c r="C71" s="4">
        <v>38</v>
      </c>
      <c r="D71" s="4">
        <v>45</v>
      </c>
      <c r="E71" s="4">
        <v>1</v>
      </c>
      <c r="F71" s="4">
        <v>50</v>
      </c>
      <c r="G71" s="10">
        <f t="shared" si="17"/>
        <v>6.6333333333333329</v>
      </c>
      <c r="H71" s="4">
        <v>50</v>
      </c>
      <c r="I71" s="5">
        <f t="shared" si="20"/>
        <v>298.5</v>
      </c>
      <c r="J71" s="5">
        <f t="shared" si="21"/>
        <v>248.5</v>
      </c>
      <c r="K71">
        <v>19</v>
      </c>
      <c r="N71" s="51">
        <f>432</f>
        <v>432</v>
      </c>
      <c r="O71" t="s">
        <v>856</v>
      </c>
      <c r="P71" t="s">
        <v>857</v>
      </c>
    </row>
    <row r="72" spans="1:17">
      <c r="A72" s="80" t="s">
        <v>828</v>
      </c>
      <c r="B72" s="4">
        <v>0</v>
      </c>
      <c r="C72" s="4">
        <v>0</v>
      </c>
      <c r="D72" s="4">
        <v>45</v>
      </c>
      <c r="E72" s="4">
        <v>0</v>
      </c>
      <c r="F72" s="4">
        <v>50</v>
      </c>
      <c r="G72" s="10">
        <f t="shared" si="17"/>
        <v>0</v>
      </c>
      <c r="H72" s="4">
        <v>0</v>
      </c>
      <c r="I72" s="5">
        <f t="shared" si="20"/>
        <v>0</v>
      </c>
      <c r="J72" s="5">
        <f t="shared" si="21"/>
        <v>0</v>
      </c>
      <c r="K72">
        <v>0</v>
      </c>
      <c r="N72" s="51">
        <v>0</v>
      </c>
      <c r="Q72" t="s">
        <v>64</v>
      </c>
    </row>
    <row r="73" spans="1:17">
      <c r="A73" s="80" t="s">
        <v>830</v>
      </c>
      <c r="B73" s="4">
        <v>0</v>
      </c>
      <c r="C73" s="4">
        <v>0</v>
      </c>
      <c r="D73" s="4">
        <v>45</v>
      </c>
      <c r="E73" s="4">
        <v>1</v>
      </c>
      <c r="F73" s="4">
        <v>50</v>
      </c>
      <c r="G73" s="10">
        <f t="shared" si="17"/>
        <v>0</v>
      </c>
      <c r="H73" s="4">
        <v>0</v>
      </c>
      <c r="I73" s="5">
        <f t="shared" si="20"/>
        <v>0</v>
      </c>
      <c r="J73" s="5">
        <f t="shared" si="21"/>
        <v>0</v>
      </c>
      <c r="K73">
        <v>0</v>
      </c>
      <c r="N73" s="51">
        <v>522</v>
      </c>
    </row>
    <row r="74" spans="1:17">
      <c r="A74" s="80" t="s">
        <v>831</v>
      </c>
      <c r="B74" s="4">
        <v>0</v>
      </c>
      <c r="C74" s="4">
        <v>0</v>
      </c>
      <c r="D74" s="4">
        <v>45</v>
      </c>
      <c r="E74" s="4">
        <v>1</v>
      </c>
      <c r="F74" s="4">
        <v>50</v>
      </c>
      <c r="G74" s="10">
        <f t="shared" si="17"/>
        <v>0</v>
      </c>
      <c r="H74" s="4">
        <v>0</v>
      </c>
      <c r="I74" s="5">
        <f t="shared" si="20"/>
        <v>0</v>
      </c>
      <c r="J74" s="5">
        <v>0</v>
      </c>
      <c r="K74">
        <v>0</v>
      </c>
      <c r="N74" s="51"/>
    </row>
    <row r="75" spans="1:17" ht="19">
      <c r="A75" s="91" t="s">
        <v>597</v>
      </c>
      <c r="B75" s="8">
        <f>SUM(B76:B82)</f>
        <v>15</v>
      </c>
      <c r="C75" s="8">
        <f>SUM(C76:C82)</f>
        <v>52</v>
      </c>
      <c r="D75" s="8">
        <f>SUM(D76)</f>
        <v>45</v>
      </c>
      <c r="E75" s="8">
        <f>SUM(E76:E82)</f>
        <v>7</v>
      </c>
      <c r="F75" s="8">
        <f>SUM(F76:F82)</f>
        <v>350</v>
      </c>
      <c r="G75" s="93">
        <f t="shared" si="17"/>
        <v>15.866666666666667</v>
      </c>
      <c r="H75" s="8">
        <f>SUM(H76:H82)</f>
        <v>100</v>
      </c>
      <c r="I75" s="9">
        <f>SUM(I76:I79)</f>
        <v>714</v>
      </c>
      <c r="J75" s="14">
        <f>SUM(J76:J79)</f>
        <v>614</v>
      </c>
      <c r="K75" s="8">
        <f>SUM(K76:K82)</f>
        <v>38</v>
      </c>
      <c r="L75" s="9">
        <v>0</v>
      </c>
      <c r="M75" s="96">
        <f>J75</f>
        <v>614</v>
      </c>
      <c r="N75" s="102">
        <f>SUM(N76:N79)</f>
        <v>990</v>
      </c>
      <c r="O75" s="98">
        <f>1014-N75</f>
        <v>24</v>
      </c>
      <c r="P75" s="86"/>
      <c r="Q75" s="86"/>
    </row>
    <row r="76" spans="1:17">
      <c r="A76" s="6">
        <v>46132</v>
      </c>
      <c r="B76" s="4">
        <v>8</v>
      </c>
      <c r="C76" s="4">
        <v>14</v>
      </c>
      <c r="D76" s="4">
        <v>45</v>
      </c>
      <c r="E76" s="4">
        <v>1</v>
      </c>
      <c r="F76" s="4">
        <v>50</v>
      </c>
      <c r="G76" s="10">
        <f t="shared" si="17"/>
        <v>8.2333333333333325</v>
      </c>
      <c r="H76" s="4">
        <v>50</v>
      </c>
      <c r="I76" s="5">
        <f t="shared" ref="I76:I81" si="22">G76*D76</f>
        <v>370.49999999999994</v>
      </c>
      <c r="J76" s="5">
        <f>I76-H76</f>
        <v>320.49999999999994</v>
      </c>
      <c r="K76">
        <v>23</v>
      </c>
      <c r="N76" s="51">
        <f>540</f>
        <v>540</v>
      </c>
      <c r="O76" s="51"/>
      <c r="P76" t="s">
        <v>847</v>
      </c>
    </row>
    <row r="77" spans="1:17">
      <c r="A77" s="80" t="s">
        <v>822</v>
      </c>
      <c r="B77" s="4">
        <v>7</v>
      </c>
      <c r="C77" s="4">
        <v>38</v>
      </c>
      <c r="D77" s="4">
        <v>45</v>
      </c>
      <c r="E77" s="4">
        <v>1</v>
      </c>
      <c r="F77" s="4">
        <v>50</v>
      </c>
      <c r="G77" s="10">
        <f t="shared" si="17"/>
        <v>7.6333333333333329</v>
      </c>
      <c r="H77" s="4">
        <v>50</v>
      </c>
      <c r="I77" s="5">
        <f t="shared" si="22"/>
        <v>343.5</v>
      </c>
      <c r="J77" s="5">
        <f>I77-H77</f>
        <v>293.5</v>
      </c>
      <c r="K77">
        <v>15</v>
      </c>
      <c r="N77" s="51">
        <v>450</v>
      </c>
      <c r="P77" t="s">
        <v>858</v>
      </c>
    </row>
    <row r="78" spans="1:17">
      <c r="A78" s="80" t="s">
        <v>824</v>
      </c>
      <c r="B78" s="4">
        <v>0</v>
      </c>
      <c r="C78" s="4">
        <v>0</v>
      </c>
      <c r="D78" s="4">
        <v>45</v>
      </c>
      <c r="E78" s="4">
        <v>1</v>
      </c>
      <c r="F78" s="4">
        <v>50</v>
      </c>
      <c r="G78" s="10">
        <f t="shared" si="17"/>
        <v>0</v>
      </c>
      <c r="H78" s="4">
        <v>0</v>
      </c>
      <c r="I78" s="5">
        <f t="shared" si="22"/>
        <v>0</v>
      </c>
      <c r="J78" s="5">
        <v>0</v>
      </c>
      <c r="K78">
        <v>0</v>
      </c>
      <c r="N78" s="51">
        <v>0</v>
      </c>
      <c r="Q78" t="s">
        <v>64</v>
      </c>
    </row>
    <row r="79" spans="1:17">
      <c r="A79" s="80" t="s">
        <v>826</v>
      </c>
      <c r="B79" s="4">
        <v>0</v>
      </c>
      <c r="C79" s="4">
        <v>0</v>
      </c>
      <c r="D79" s="4">
        <v>45</v>
      </c>
      <c r="E79" s="4">
        <v>1</v>
      </c>
      <c r="F79" s="4">
        <v>50</v>
      </c>
      <c r="G79" s="10">
        <f t="shared" si="17"/>
        <v>0</v>
      </c>
      <c r="H79" s="4">
        <v>0</v>
      </c>
      <c r="I79" s="5">
        <f t="shared" si="22"/>
        <v>0</v>
      </c>
      <c r="J79" s="5">
        <v>0</v>
      </c>
      <c r="K79">
        <v>0</v>
      </c>
      <c r="N79" s="51">
        <v>0</v>
      </c>
    </row>
    <row r="80" spans="1:17">
      <c r="A80" s="80" t="s">
        <v>828</v>
      </c>
      <c r="B80" s="4">
        <v>0</v>
      </c>
      <c r="C80" s="4">
        <v>0</v>
      </c>
      <c r="D80" s="4">
        <v>45</v>
      </c>
      <c r="E80" s="4">
        <v>1</v>
      </c>
      <c r="F80" s="4">
        <v>50</v>
      </c>
      <c r="G80" s="10">
        <f t="shared" si="17"/>
        <v>0</v>
      </c>
      <c r="H80" s="4">
        <v>0</v>
      </c>
      <c r="I80" s="5">
        <f t="shared" si="22"/>
        <v>0</v>
      </c>
      <c r="J80" s="5">
        <f>I80-H80</f>
        <v>0</v>
      </c>
      <c r="K80">
        <v>0</v>
      </c>
      <c r="N80" s="51">
        <v>0</v>
      </c>
    </row>
    <row r="81" spans="1:17">
      <c r="A81" s="80" t="s">
        <v>830</v>
      </c>
      <c r="B81" s="4">
        <v>0</v>
      </c>
      <c r="C81" s="4">
        <v>0</v>
      </c>
      <c r="D81" s="4">
        <v>45</v>
      </c>
      <c r="E81" s="4">
        <v>1</v>
      </c>
      <c r="F81" s="4">
        <v>50</v>
      </c>
      <c r="G81" s="10">
        <f t="shared" si="17"/>
        <v>0</v>
      </c>
      <c r="H81" s="4">
        <v>0</v>
      </c>
      <c r="I81" s="5">
        <f t="shared" si="22"/>
        <v>0</v>
      </c>
      <c r="J81" s="5">
        <v>0</v>
      </c>
      <c r="K81">
        <v>0</v>
      </c>
      <c r="N81" s="51">
        <v>0</v>
      </c>
    </row>
    <row r="82" spans="1:17">
      <c r="A82" s="80" t="s">
        <v>831</v>
      </c>
      <c r="B82" s="4">
        <v>0</v>
      </c>
      <c r="C82" s="4">
        <v>0</v>
      </c>
      <c r="D82" s="4">
        <v>45</v>
      </c>
      <c r="E82" s="4">
        <v>1</v>
      </c>
      <c r="F82" s="4">
        <v>50</v>
      </c>
      <c r="G82" s="10">
        <v>0</v>
      </c>
      <c r="H82" s="4">
        <v>0</v>
      </c>
      <c r="I82" s="5">
        <v>0</v>
      </c>
      <c r="J82" s="5">
        <v>0</v>
      </c>
      <c r="K82">
        <v>0</v>
      </c>
      <c r="N82" s="51">
        <v>0</v>
      </c>
    </row>
    <row r="83" spans="1:17" ht="19">
      <c r="A83" s="91" t="s">
        <v>494</v>
      </c>
      <c r="B83" s="8">
        <f>SUM(B84:B98)</f>
        <v>126</v>
      </c>
      <c r="C83" s="8">
        <f>SUM(C84:C98)</f>
        <v>328</v>
      </c>
      <c r="D83" s="8">
        <f>SUM(D84)</f>
        <v>45</v>
      </c>
      <c r="E83" s="8">
        <f>SUM(E84:E90)</f>
        <v>4</v>
      </c>
      <c r="F83" s="8">
        <f>SUM(F84:F98)</f>
        <v>1050</v>
      </c>
      <c r="G83" s="93">
        <f t="shared" ref="G83:G96" si="23">B83+C83/60</f>
        <v>131.46666666666667</v>
      </c>
      <c r="H83" s="92">
        <f>SUM(H84:H90)</f>
        <v>200</v>
      </c>
      <c r="I83" s="9">
        <f>SUM(I84:I90)</f>
        <v>1704</v>
      </c>
      <c r="J83" s="9">
        <f>SUM(J84:J90)</f>
        <v>1504</v>
      </c>
      <c r="K83" s="8">
        <f>SUM(K84:K90)</f>
        <v>67</v>
      </c>
      <c r="L83" s="9">
        <v>0</v>
      </c>
      <c r="M83" s="96">
        <f>J83</f>
        <v>1504</v>
      </c>
      <c r="N83" s="102">
        <f>SUM(N84:N90)</f>
        <v>1533</v>
      </c>
      <c r="O83" s="98">
        <f>1533-N83</f>
        <v>0</v>
      </c>
      <c r="P83" s="86"/>
      <c r="Q83" s="86"/>
    </row>
    <row r="84" spans="1:17">
      <c r="A84" s="6">
        <v>46132</v>
      </c>
      <c r="B84" s="4">
        <v>9</v>
      </c>
      <c r="C84" s="4">
        <v>27</v>
      </c>
      <c r="D84" s="4">
        <v>45</v>
      </c>
      <c r="E84" s="4">
        <v>1</v>
      </c>
      <c r="F84" s="4">
        <v>50</v>
      </c>
      <c r="G84" s="144">
        <f t="shared" si="23"/>
        <v>9.4499999999999993</v>
      </c>
      <c r="H84" s="167">
        <v>50</v>
      </c>
      <c r="I84" s="142">
        <f t="shared" ref="I84:I90" si="24">G84*D84</f>
        <v>425.24999999999994</v>
      </c>
      <c r="J84" s="5">
        <f>I84-H84</f>
        <v>375.24999999999994</v>
      </c>
      <c r="K84">
        <v>22</v>
      </c>
      <c r="N84" s="83">
        <f>505</f>
        <v>505</v>
      </c>
      <c r="O84" s="51"/>
      <c r="P84" t="s">
        <v>846</v>
      </c>
    </row>
    <row r="85" spans="1:17">
      <c r="A85" s="6">
        <v>46133</v>
      </c>
      <c r="B85" s="4">
        <v>8</v>
      </c>
      <c r="C85" s="4">
        <v>54</v>
      </c>
      <c r="D85" s="4">
        <v>45</v>
      </c>
      <c r="E85" s="4">
        <v>1</v>
      </c>
      <c r="F85" s="4">
        <v>50</v>
      </c>
      <c r="G85" s="144">
        <f t="shared" si="23"/>
        <v>8.9</v>
      </c>
      <c r="H85" s="167">
        <v>50</v>
      </c>
      <c r="I85" s="142">
        <f t="shared" si="24"/>
        <v>400.5</v>
      </c>
      <c r="J85" s="5">
        <f>I85-H85</f>
        <v>350.5</v>
      </c>
      <c r="K85">
        <v>16</v>
      </c>
      <c r="N85" s="83">
        <f>391</f>
        <v>391</v>
      </c>
      <c r="P85" t="s">
        <v>859</v>
      </c>
    </row>
    <row r="86" spans="1:17">
      <c r="A86" s="6">
        <v>46134</v>
      </c>
      <c r="B86" s="4">
        <v>9</v>
      </c>
      <c r="C86" s="4">
        <v>21</v>
      </c>
      <c r="D86" s="4">
        <v>45</v>
      </c>
      <c r="E86" s="4">
        <v>1</v>
      </c>
      <c r="F86" s="4">
        <v>50</v>
      </c>
      <c r="G86" s="144">
        <f t="shared" si="23"/>
        <v>9.35</v>
      </c>
      <c r="H86" s="167">
        <v>50</v>
      </c>
      <c r="I86" s="142">
        <f t="shared" si="24"/>
        <v>420.75</v>
      </c>
      <c r="J86" s="5">
        <f t="shared" ref="J86:J88" si="25">I86-H86</f>
        <v>370.75</v>
      </c>
      <c r="K86">
        <v>13</v>
      </c>
      <c r="N86" s="51">
        <f>305</f>
        <v>305</v>
      </c>
      <c r="P86" t="s">
        <v>860</v>
      </c>
    </row>
    <row r="87" spans="1:17">
      <c r="A87" s="6">
        <v>46135</v>
      </c>
      <c r="B87" s="4">
        <v>10</v>
      </c>
      <c r="C87" s="4">
        <v>10</v>
      </c>
      <c r="D87" s="4">
        <v>45</v>
      </c>
      <c r="E87" s="4">
        <v>1</v>
      </c>
      <c r="F87" s="4">
        <v>50</v>
      </c>
      <c r="G87" s="144">
        <f t="shared" si="23"/>
        <v>10.166666666666666</v>
      </c>
      <c r="H87" s="167">
        <v>50</v>
      </c>
      <c r="I87" s="142">
        <f t="shared" si="24"/>
        <v>457.5</v>
      </c>
      <c r="J87" s="5">
        <f t="shared" si="25"/>
        <v>407.5</v>
      </c>
      <c r="K87">
        <v>16</v>
      </c>
      <c r="N87" s="51">
        <f>332</f>
        <v>332</v>
      </c>
      <c r="P87" t="s">
        <v>861</v>
      </c>
    </row>
    <row r="88" spans="1:17">
      <c r="A88" s="6">
        <v>46136</v>
      </c>
      <c r="B88" s="4">
        <v>0</v>
      </c>
      <c r="C88" s="4">
        <v>0</v>
      </c>
      <c r="D88" s="4">
        <v>45</v>
      </c>
      <c r="E88" s="4">
        <v>0</v>
      </c>
      <c r="F88" s="4">
        <v>50</v>
      </c>
      <c r="G88" s="10">
        <f t="shared" si="23"/>
        <v>0</v>
      </c>
      <c r="H88" s="141">
        <v>0</v>
      </c>
      <c r="I88" s="5">
        <f t="shared" si="24"/>
        <v>0</v>
      </c>
      <c r="J88" s="5">
        <f t="shared" si="25"/>
        <v>0</v>
      </c>
      <c r="K88">
        <v>0</v>
      </c>
      <c r="N88" s="51">
        <v>0</v>
      </c>
    </row>
    <row r="89" spans="1:17">
      <c r="A89" s="6">
        <v>46137</v>
      </c>
      <c r="B89" s="4">
        <v>0</v>
      </c>
      <c r="C89" s="4">
        <v>0</v>
      </c>
      <c r="D89" s="4">
        <v>45</v>
      </c>
      <c r="E89" s="4">
        <v>0</v>
      </c>
      <c r="F89" s="4">
        <v>50</v>
      </c>
      <c r="G89" s="10">
        <f t="shared" si="23"/>
        <v>0</v>
      </c>
      <c r="H89" s="4">
        <v>0</v>
      </c>
      <c r="I89" s="5">
        <f t="shared" si="24"/>
        <v>0</v>
      </c>
      <c r="J89" s="5">
        <f>I89-H89</f>
        <v>0</v>
      </c>
      <c r="K89">
        <v>0</v>
      </c>
      <c r="N89" s="51">
        <v>0</v>
      </c>
    </row>
    <row r="90" spans="1:17">
      <c r="A90" s="6">
        <v>46138</v>
      </c>
      <c r="B90" s="4">
        <v>0</v>
      </c>
      <c r="C90" s="4">
        <v>0</v>
      </c>
      <c r="D90" s="4">
        <v>45</v>
      </c>
      <c r="E90" s="4">
        <v>0</v>
      </c>
      <c r="F90" s="4">
        <v>50</v>
      </c>
      <c r="G90" s="10">
        <f t="shared" si="23"/>
        <v>0</v>
      </c>
      <c r="H90" s="4">
        <v>0</v>
      </c>
      <c r="I90" s="5">
        <f t="shared" si="24"/>
        <v>0</v>
      </c>
      <c r="J90" s="5">
        <f>I90-H90</f>
        <v>0</v>
      </c>
      <c r="K90">
        <v>0</v>
      </c>
      <c r="N90" s="51">
        <v>0</v>
      </c>
    </row>
    <row r="91" spans="1:17" ht="19">
      <c r="A91" s="91" t="s">
        <v>862</v>
      </c>
      <c r="B91" s="8">
        <f>SUM(B92:B98)</f>
        <v>45</v>
      </c>
      <c r="C91" s="8">
        <f>SUM(C92:C98)</f>
        <v>108</v>
      </c>
      <c r="D91" s="8">
        <f>SUM(D92)</f>
        <v>45</v>
      </c>
      <c r="E91" s="8">
        <f>SUM(E92:E98)</f>
        <v>5</v>
      </c>
      <c r="F91" s="8">
        <f>SUM(F92:F98)</f>
        <v>350</v>
      </c>
      <c r="G91" s="93">
        <f t="shared" si="23"/>
        <v>46.8</v>
      </c>
      <c r="H91" s="8">
        <f>SUM(H92:H98)</f>
        <v>250</v>
      </c>
      <c r="I91" s="9">
        <f>SUM(I92:I98)</f>
        <v>2106</v>
      </c>
      <c r="J91" s="14">
        <f>SUM(J92:J98)</f>
        <v>1856</v>
      </c>
      <c r="K91" s="8">
        <f>SUM(K92:K98)</f>
        <v>93</v>
      </c>
      <c r="L91" s="9">
        <v>0</v>
      </c>
      <c r="M91" s="96">
        <f>J91</f>
        <v>1856</v>
      </c>
      <c r="N91" s="102">
        <f>SUM(N92:N98)</f>
        <v>2151</v>
      </c>
      <c r="O91" s="98">
        <f>2294-N91</f>
        <v>143</v>
      </c>
      <c r="P91" s="86"/>
      <c r="Q91" s="86"/>
    </row>
    <row r="92" spans="1:17" ht="19">
      <c r="A92" s="6">
        <v>46132</v>
      </c>
      <c r="B92" s="4">
        <v>11</v>
      </c>
      <c r="C92" s="4">
        <v>0</v>
      </c>
      <c r="D92" s="4">
        <v>45</v>
      </c>
      <c r="E92" s="4">
        <v>1</v>
      </c>
      <c r="F92" s="4">
        <v>50</v>
      </c>
      <c r="G92" s="10">
        <f t="shared" si="23"/>
        <v>11</v>
      </c>
      <c r="H92" s="4">
        <v>50</v>
      </c>
      <c r="I92" s="5">
        <f>G92*D92</f>
        <v>495</v>
      </c>
      <c r="J92" s="5">
        <f>I92-H92</f>
        <v>445</v>
      </c>
      <c r="K92">
        <v>18</v>
      </c>
      <c r="N92" s="51">
        <f>638</f>
        <v>638</v>
      </c>
      <c r="O92" s="49"/>
    </row>
    <row r="93" spans="1:17">
      <c r="A93" s="6">
        <v>46133</v>
      </c>
      <c r="B93" s="4">
        <v>11</v>
      </c>
      <c r="C93" s="4">
        <v>0</v>
      </c>
      <c r="D93" s="4">
        <v>45</v>
      </c>
      <c r="E93" s="4">
        <v>1</v>
      </c>
      <c r="F93" s="4">
        <v>50</v>
      </c>
      <c r="G93" s="10">
        <f t="shared" si="23"/>
        <v>11</v>
      </c>
      <c r="H93" s="4">
        <v>50</v>
      </c>
      <c r="I93" s="5">
        <f>G93*D93</f>
        <v>495</v>
      </c>
      <c r="J93" s="5">
        <f>I93-H93</f>
        <v>445</v>
      </c>
      <c r="K93">
        <v>15</v>
      </c>
      <c r="N93" s="51">
        <v>360</v>
      </c>
    </row>
    <row r="94" spans="1:17">
      <c r="A94" s="6">
        <v>46134</v>
      </c>
      <c r="B94" s="4">
        <v>10</v>
      </c>
      <c r="C94" s="4">
        <v>57</v>
      </c>
      <c r="D94" s="4">
        <v>45</v>
      </c>
      <c r="E94" s="4">
        <v>1</v>
      </c>
      <c r="F94" s="4">
        <v>50</v>
      </c>
      <c r="G94" s="10">
        <f t="shared" si="23"/>
        <v>10.95</v>
      </c>
      <c r="H94" s="4">
        <v>50</v>
      </c>
      <c r="I94" s="5">
        <f>G94*D94</f>
        <v>492.74999999999994</v>
      </c>
      <c r="J94" s="5">
        <f>I94-H94</f>
        <v>442.74999999999994</v>
      </c>
      <c r="K94">
        <v>25</v>
      </c>
      <c r="N94" s="51">
        <f>650</f>
        <v>650</v>
      </c>
    </row>
    <row r="95" spans="1:17">
      <c r="A95" s="6">
        <v>46135</v>
      </c>
      <c r="B95" s="4">
        <v>4</v>
      </c>
      <c r="C95" s="4">
        <v>31</v>
      </c>
      <c r="D95" s="4">
        <v>45</v>
      </c>
      <c r="E95" s="4">
        <v>1</v>
      </c>
      <c r="F95" s="4">
        <v>50</v>
      </c>
      <c r="G95" s="10">
        <f t="shared" si="23"/>
        <v>4.5166666666666666</v>
      </c>
      <c r="H95" s="4">
        <v>50</v>
      </c>
      <c r="I95" s="5">
        <f t="shared" ref="I95:I96" si="26">G95*D95</f>
        <v>203.25</v>
      </c>
      <c r="J95" s="5">
        <f>I95-H95</f>
        <v>153.25</v>
      </c>
      <c r="K95">
        <v>15</v>
      </c>
      <c r="N95" s="51">
        <f>398</f>
        <v>398</v>
      </c>
      <c r="P95" t="s">
        <v>863</v>
      </c>
    </row>
    <row r="96" spans="1:17">
      <c r="A96" s="6">
        <v>46136</v>
      </c>
      <c r="B96" s="4">
        <v>9</v>
      </c>
      <c r="C96" s="4">
        <v>20</v>
      </c>
      <c r="D96" s="4">
        <v>45</v>
      </c>
      <c r="E96" s="4">
        <v>1</v>
      </c>
      <c r="F96" s="4">
        <v>50</v>
      </c>
      <c r="G96" s="10">
        <f t="shared" si="23"/>
        <v>9.3333333333333339</v>
      </c>
      <c r="H96" s="4">
        <v>50</v>
      </c>
      <c r="I96" s="5">
        <f t="shared" si="26"/>
        <v>420</v>
      </c>
      <c r="J96" s="5">
        <f>I96-H96</f>
        <v>370</v>
      </c>
      <c r="K96">
        <v>20</v>
      </c>
      <c r="N96" s="51">
        <v>105</v>
      </c>
      <c r="P96" t="s">
        <v>864</v>
      </c>
    </row>
    <row r="97" spans="1:17">
      <c r="A97" s="6">
        <v>46137</v>
      </c>
      <c r="B97" s="4">
        <v>0</v>
      </c>
      <c r="C97" s="4">
        <v>0</v>
      </c>
      <c r="D97" s="4">
        <v>45</v>
      </c>
      <c r="E97" s="4">
        <v>0</v>
      </c>
      <c r="F97" s="4">
        <v>50</v>
      </c>
      <c r="G97" s="10">
        <f t="shared" ref="G97:G127" si="27">B97+C97/60</f>
        <v>0</v>
      </c>
      <c r="H97" s="4">
        <v>0</v>
      </c>
      <c r="I97" s="5">
        <v>0</v>
      </c>
      <c r="J97" s="5">
        <v>0</v>
      </c>
      <c r="K97">
        <v>0</v>
      </c>
      <c r="N97" s="51">
        <v>0</v>
      </c>
    </row>
    <row r="98" spans="1:17">
      <c r="A98" s="6">
        <v>46138</v>
      </c>
      <c r="B98" s="4">
        <v>0</v>
      </c>
      <c r="C98" s="4">
        <v>0</v>
      </c>
      <c r="D98" s="4">
        <v>45</v>
      </c>
      <c r="E98" s="4">
        <v>0</v>
      </c>
      <c r="F98" s="4">
        <v>50</v>
      </c>
      <c r="G98" s="10">
        <f t="shared" si="27"/>
        <v>0</v>
      </c>
      <c r="H98" s="4">
        <v>0</v>
      </c>
      <c r="I98" s="5">
        <f>G98*D98</f>
        <v>0</v>
      </c>
      <c r="J98" s="5">
        <f>I98-H98</f>
        <v>0</v>
      </c>
      <c r="K98">
        <v>0</v>
      </c>
      <c r="N98" s="51">
        <v>0</v>
      </c>
    </row>
    <row r="99" spans="1:17" ht="19">
      <c r="A99" s="91" t="s">
        <v>505</v>
      </c>
      <c r="B99" s="8">
        <f>SUM(B100:B106)</f>
        <v>64</v>
      </c>
      <c r="C99" s="8">
        <f>SUM(C100:C106)</f>
        <v>218</v>
      </c>
      <c r="D99" s="8">
        <v>45</v>
      </c>
      <c r="E99" s="8">
        <f>SUM(E100:E106)</f>
        <v>7</v>
      </c>
      <c r="F99" s="8">
        <f>SUM(F100:F106)</f>
        <v>350</v>
      </c>
      <c r="G99" s="93">
        <f t="shared" ref="G99:G114" si="28">B99+C99/60</f>
        <v>67.63333333333334</v>
      </c>
      <c r="H99" s="8">
        <f>SUM(H100:H106)</f>
        <v>350</v>
      </c>
      <c r="I99" s="9">
        <f>SUM(I100:I106)</f>
        <v>3145.833333333333</v>
      </c>
      <c r="J99" s="14">
        <f>SUM(J100:J106)</f>
        <v>2795.833333333333</v>
      </c>
      <c r="K99" s="8">
        <f>SUM(K100:K106)</f>
        <v>166</v>
      </c>
      <c r="L99" s="9">
        <v>0</v>
      </c>
      <c r="M99" s="96">
        <f>J99</f>
        <v>2795.833333333333</v>
      </c>
      <c r="N99" s="102">
        <f>SUM(N100:N106)</f>
        <v>4374</v>
      </c>
      <c r="O99" s="98">
        <f>4374-N99</f>
        <v>0</v>
      </c>
      <c r="P99" s="86"/>
      <c r="Q99" s="86"/>
    </row>
    <row r="100" spans="1:17">
      <c r="A100" s="6">
        <v>46132</v>
      </c>
      <c r="B100" s="4">
        <v>10</v>
      </c>
      <c r="C100" s="4">
        <v>14</v>
      </c>
      <c r="D100" s="4">
        <v>55</v>
      </c>
      <c r="E100" s="4">
        <v>1</v>
      </c>
      <c r="F100" s="4">
        <v>50</v>
      </c>
      <c r="G100" s="10">
        <f t="shared" si="28"/>
        <v>10.233333333333333</v>
      </c>
      <c r="H100" s="4">
        <v>50</v>
      </c>
      <c r="I100" s="5">
        <f t="shared" ref="I100:I106" si="29">G100*D100</f>
        <v>562.83333333333326</v>
      </c>
      <c r="J100" s="5">
        <f t="shared" ref="J100:J106" si="30">I100-H100</f>
        <v>512.83333333333326</v>
      </c>
      <c r="K100">
        <v>30</v>
      </c>
      <c r="N100" s="51">
        <f>812</f>
        <v>812</v>
      </c>
      <c r="O100" s="51"/>
      <c r="P100" t="s">
        <v>865</v>
      </c>
    </row>
    <row r="101" spans="1:17">
      <c r="A101" s="6">
        <v>46133</v>
      </c>
      <c r="B101" s="4">
        <v>9</v>
      </c>
      <c r="C101" s="4">
        <v>40</v>
      </c>
      <c r="D101" s="4">
        <v>45</v>
      </c>
      <c r="E101" s="4">
        <v>1</v>
      </c>
      <c r="F101" s="4">
        <v>50</v>
      </c>
      <c r="G101" s="10">
        <f t="shared" si="28"/>
        <v>9.6666666666666661</v>
      </c>
      <c r="H101" s="4">
        <v>50</v>
      </c>
      <c r="I101" s="5">
        <f t="shared" si="29"/>
        <v>435</v>
      </c>
      <c r="J101" s="5">
        <f t="shared" si="30"/>
        <v>385</v>
      </c>
      <c r="K101">
        <v>23</v>
      </c>
      <c r="N101" s="51">
        <f>287+619</f>
        <v>906</v>
      </c>
      <c r="P101" t="s">
        <v>866</v>
      </c>
    </row>
    <row r="102" spans="1:17">
      <c r="A102" s="6">
        <v>46134</v>
      </c>
      <c r="B102" s="4">
        <v>9</v>
      </c>
      <c r="C102" s="4">
        <v>45</v>
      </c>
      <c r="D102" s="4">
        <v>45</v>
      </c>
      <c r="E102" s="4">
        <v>1</v>
      </c>
      <c r="F102" s="4">
        <v>50</v>
      </c>
      <c r="G102" s="10">
        <f t="shared" si="28"/>
        <v>9.75</v>
      </c>
      <c r="H102" s="4">
        <v>50</v>
      </c>
      <c r="I102" s="5">
        <f t="shared" si="29"/>
        <v>438.75</v>
      </c>
      <c r="J102" s="5">
        <f t="shared" si="30"/>
        <v>388.75</v>
      </c>
      <c r="K102">
        <v>17</v>
      </c>
      <c r="N102" s="51">
        <v>0</v>
      </c>
      <c r="P102" t="s">
        <v>867</v>
      </c>
      <c r="Q102" t="s">
        <v>64</v>
      </c>
    </row>
    <row r="103" spans="1:17">
      <c r="A103" s="6">
        <v>46135</v>
      </c>
      <c r="B103" s="4">
        <v>10</v>
      </c>
      <c r="C103" s="4">
        <v>37</v>
      </c>
      <c r="D103" s="4">
        <v>45</v>
      </c>
      <c r="E103" s="4">
        <v>1</v>
      </c>
      <c r="F103" s="4">
        <v>50</v>
      </c>
      <c r="G103" s="10">
        <f t="shared" si="28"/>
        <v>10.616666666666667</v>
      </c>
      <c r="H103" s="4">
        <v>50</v>
      </c>
      <c r="I103" s="5">
        <f t="shared" si="29"/>
        <v>477.75</v>
      </c>
      <c r="J103" s="5">
        <f t="shared" si="30"/>
        <v>427.75</v>
      </c>
      <c r="K103">
        <v>21</v>
      </c>
      <c r="N103" s="51">
        <f>802</f>
        <v>802</v>
      </c>
      <c r="P103" t="s">
        <v>868</v>
      </c>
    </row>
    <row r="104" spans="1:17">
      <c r="A104" s="6">
        <v>46136</v>
      </c>
      <c r="B104" s="4">
        <v>9</v>
      </c>
      <c r="C104" s="4">
        <v>50</v>
      </c>
      <c r="D104" s="4">
        <v>45</v>
      </c>
      <c r="E104" s="4">
        <v>1</v>
      </c>
      <c r="F104" s="4">
        <v>50</v>
      </c>
      <c r="G104" s="10">
        <f t="shared" si="28"/>
        <v>9.8333333333333339</v>
      </c>
      <c r="H104" s="4">
        <v>50</v>
      </c>
      <c r="I104" s="5">
        <f t="shared" si="29"/>
        <v>442.5</v>
      </c>
      <c r="J104" s="5">
        <f t="shared" si="30"/>
        <v>392.5</v>
      </c>
      <c r="K104">
        <v>27</v>
      </c>
      <c r="N104" s="51">
        <v>684</v>
      </c>
      <c r="P104" t="s">
        <v>869</v>
      </c>
    </row>
    <row r="105" spans="1:17">
      <c r="A105" s="6">
        <v>46137</v>
      </c>
      <c r="B105" s="4">
        <v>9</v>
      </c>
      <c r="C105" s="4">
        <v>7</v>
      </c>
      <c r="D105" s="4">
        <v>45</v>
      </c>
      <c r="E105" s="4">
        <v>1</v>
      </c>
      <c r="F105" s="4">
        <v>50</v>
      </c>
      <c r="G105" s="10">
        <f t="shared" si="28"/>
        <v>9.1166666666666671</v>
      </c>
      <c r="H105" s="4">
        <v>50</v>
      </c>
      <c r="I105" s="5">
        <f t="shared" si="29"/>
        <v>410.25</v>
      </c>
      <c r="J105" s="5">
        <f t="shared" si="30"/>
        <v>360.25</v>
      </c>
      <c r="K105">
        <v>24</v>
      </c>
      <c r="N105" s="51">
        <v>563</v>
      </c>
    </row>
    <row r="106" spans="1:17">
      <c r="A106" s="6">
        <v>46138</v>
      </c>
      <c r="B106" s="4">
        <v>8</v>
      </c>
      <c r="C106" s="4">
        <v>25</v>
      </c>
      <c r="D106" s="4">
        <v>45</v>
      </c>
      <c r="E106" s="4">
        <v>1</v>
      </c>
      <c r="F106" s="4">
        <v>50</v>
      </c>
      <c r="G106" s="10">
        <f t="shared" si="28"/>
        <v>8.4166666666666661</v>
      </c>
      <c r="H106" s="4">
        <v>50</v>
      </c>
      <c r="I106" s="5">
        <f t="shared" si="29"/>
        <v>378.75</v>
      </c>
      <c r="J106" s="5">
        <f t="shared" si="30"/>
        <v>328.75</v>
      </c>
      <c r="K106">
        <v>24</v>
      </c>
      <c r="N106" s="51">
        <v>607</v>
      </c>
    </row>
    <row r="107" spans="1:17" ht="19">
      <c r="A107" s="91" t="s">
        <v>870</v>
      </c>
      <c r="B107" s="8">
        <f>SUM(B108:B114)</f>
        <v>53</v>
      </c>
      <c r="C107" s="8">
        <f>SUM(C108:C114)</f>
        <v>180</v>
      </c>
      <c r="D107" s="8">
        <v>45</v>
      </c>
      <c r="E107" s="8">
        <f>SUM(E108:E114)</f>
        <v>6</v>
      </c>
      <c r="F107" s="8">
        <f>SUM(F108:F114)</f>
        <v>350</v>
      </c>
      <c r="G107" s="93">
        <f t="shared" si="28"/>
        <v>56</v>
      </c>
      <c r="H107" s="8">
        <f>SUM(H108:H114)</f>
        <v>300</v>
      </c>
      <c r="I107" s="14">
        <f>SUM(I108:I114)</f>
        <v>3203.833333333333</v>
      </c>
      <c r="J107" s="14">
        <f>SUM(J108:J114)</f>
        <v>2903.833333333333</v>
      </c>
      <c r="K107" s="8">
        <f>SUM(K108:K114)</f>
        <v>183</v>
      </c>
      <c r="L107" s="9">
        <v>0</v>
      </c>
      <c r="M107" s="96">
        <f>J107</f>
        <v>2903.833333333333</v>
      </c>
      <c r="N107" s="102">
        <f>SUM(N108:N114)</f>
        <v>3561</v>
      </c>
      <c r="O107" s="98">
        <f>3639-N107</f>
        <v>78</v>
      </c>
      <c r="P107" s="86"/>
      <c r="Q107" s="86"/>
    </row>
    <row r="108" spans="1:17">
      <c r="A108" s="80" t="s">
        <v>820</v>
      </c>
      <c r="B108" s="4">
        <v>10</v>
      </c>
      <c r="C108" s="4">
        <v>0</v>
      </c>
      <c r="D108" s="4">
        <v>65</v>
      </c>
      <c r="E108" s="4">
        <v>1</v>
      </c>
      <c r="F108" s="4">
        <v>50</v>
      </c>
      <c r="G108" s="10">
        <f t="shared" si="28"/>
        <v>10</v>
      </c>
      <c r="H108" s="4">
        <v>50</v>
      </c>
      <c r="I108" s="5">
        <f t="shared" ref="I108:I114" si="31">G108*D108</f>
        <v>650</v>
      </c>
      <c r="J108" s="5">
        <f t="shared" ref="J108:J114" si="32">I108-H108</f>
        <v>600</v>
      </c>
      <c r="K108">
        <v>34</v>
      </c>
      <c r="N108" s="51">
        <v>700</v>
      </c>
      <c r="O108" s="51"/>
    </row>
    <row r="109" spans="1:17">
      <c r="A109" s="80" t="s">
        <v>822</v>
      </c>
      <c r="B109" s="4">
        <v>5</v>
      </c>
      <c r="C109" s="4">
        <v>54</v>
      </c>
      <c r="D109" s="4">
        <v>55</v>
      </c>
      <c r="E109" s="4">
        <v>1</v>
      </c>
      <c r="F109" s="4">
        <v>50</v>
      </c>
      <c r="G109" s="10">
        <f t="shared" si="28"/>
        <v>5.9</v>
      </c>
      <c r="H109" s="4">
        <v>50</v>
      </c>
      <c r="I109" s="5">
        <f t="shared" si="31"/>
        <v>324.5</v>
      </c>
      <c r="J109" s="5">
        <f t="shared" si="32"/>
        <v>274.5</v>
      </c>
      <c r="K109">
        <v>30</v>
      </c>
      <c r="N109" s="51">
        <f>600</f>
        <v>600</v>
      </c>
      <c r="Q109" t="s">
        <v>871</v>
      </c>
    </row>
    <row r="110" spans="1:17">
      <c r="A110" s="80" t="s">
        <v>824</v>
      </c>
      <c r="B110" s="4">
        <v>10</v>
      </c>
      <c r="C110" s="4">
        <v>6</v>
      </c>
      <c r="D110" s="4">
        <v>55</v>
      </c>
      <c r="E110" s="4">
        <v>1</v>
      </c>
      <c r="F110" s="4">
        <v>50</v>
      </c>
      <c r="G110" s="10">
        <f t="shared" si="28"/>
        <v>10.1</v>
      </c>
      <c r="H110" s="4">
        <v>50</v>
      </c>
      <c r="I110" s="5">
        <f t="shared" si="31"/>
        <v>555.5</v>
      </c>
      <c r="J110" s="5">
        <f t="shared" si="32"/>
        <v>505.5</v>
      </c>
      <c r="K110">
        <v>29</v>
      </c>
      <c r="N110" s="51">
        <f>541</f>
        <v>541</v>
      </c>
      <c r="Q110" t="s">
        <v>872</v>
      </c>
    </row>
    <row r="111" spans="1:17">
      <c r="A111" s="80" t="s">
        <v>826</v>
      </c>
      <c r="B111" s="4">
        <v>10</v>
      </c>
      <c r="C111" s="4">
        <v>55</v>
      </c>
      <c r="D111" s="4">
        <v>55</v>
      </c>
      <c r="E111" s="4">
        <v>1</v>
      </c>
      <c r="F111" s="4">
        <v>50</v>
      </c>
      <c r="G111" s="10">
        <f t="shared" si="28"/>
        <v>10.916666666666666</v>
      </c>
      <c r="H111" s="4">
        <v>50</v>
      </c>
      <c r="I111" s="5">
        <f t="shared" si="31"/>
        <v>600.41666666666663</v>
      </c>
      <c r="J111" s="5">
        <f t="shared" si="32"/>
        <v>550.41666666666663</v>
      </c>
      <c r="K111">
        <v>29</v>
      </c>
      <c r="N111" s="51">
        <f>550</f>
        <v>550</v>
      </c>
    </row>
    <row r="112" spans="1:17">
      <c r="A112" s="80" t="s">
        <v>828</v>
      </c>
      <c r="B112" s="4">
        <v>10</v>
      </c>
      <c r="C112" s="4">
        <v>44</v>
      </c>
      <c r="D112" s="4">
        <v>65</v>
      </c>
      <c r="E112" s="4">
        <v>1</v>
      </c>
      <c r="F112" s="4">
        <v>50</v>
      </c>
      <c r="G112" s="10">
        <f t="shared" si="28"/>
        <v>10.733333333333333</v>
      </c>
      <c r="H112" s="4">
        <v>50</v>
      </c>
      <c r="I112" s="5">
        <f t="shared" si="31"/>
        <v>697.66666666666663</v>
      </c>
      <c r="J112" s="5">
        <f t="shared" si="32"/>
        <v>647.66666666666663</v>
      </c>
      <c r="K112">
        <v>36</v>
      </c>
      <c r="N112" s="51">
        <f>530+200</f>
        <v>730</v>
      </c>
      <c r="Q112" t="s">
        <v>873</v>
      </c>
    </row>
    <row r="113" spans="1:17">
      <c r="A113" s="80" t="s">
        <v>830</v>
      </c>
      <c r="B113" s="4">
        <v>8</v>
      </c>
      <c r="C113" s="4">
        <v>21</v>
      </c>
      <c r="D113" s="4">
        <v>45</v>
      </c>
      <c r="E113" s="4">
        <v>1</v>
      </c>
      <c r="F113" s="4">
        <v>50</v>
      </c>
      <c r="G113" s="10">
        <f t="shared" si="28"/>
        <v>8.35</v>
      </c>
      <c r="H113" s="4">
        <v>50</v>
      </c>
      <c r="I113" s="5">
        <f t="shared" si="31"/>
        <v>375.75</v>
      </c>
      <c r="J113" s="5">
        <f t="shared" si="32"/>
        <v>325.75</v>
      </c>
      <c r="K113">
        <v>25</v>
      </c>
      <c r="N113" s="51">
        <v>440</v>
      </c>
      <c r="Q113" t="s">
        <v>874</v>
      </c>
    </row>
    <row r="114" spans="1:17">
      <c r="A114" s="80" t="s">
        <v>831</v>
      </c>
      <c r="B114" s="4">
        <v>0</v>
      </c>
      <c r="C114" s="4">
        <v>0</v>
      </c>
      <c r="D114" s="4">
        <v>45</v>
      </c>
      <c r="E114" s="4">
        <v>0</v>
      </c>
      <c r="F114" s="4">
        <v>50</v>
      </c>
      <c r="G114" s="10">
        <f t="shared" si="28"/>
        <v>0</v>
      </c>
      <c r="H114" s="4">
        <v>0</v>
      </c>
      <c r="I114" s="5">
        <f t="shared" si="31"/>
        <v>0</v>
      </c>
      <c r="J114" s="5">
        <f t="shared" si="32"/>
        <v>0</v>
      </c>
      <c r="K114">
        <v>0</v>
      </c>
      <c r="N114" s="51"/>
    </row>
    <row r="115" spans="1:17" ht="19">
      <c r="A115" s="91" t="s">
        <v>502</v>
      </c>
      <c r="B115" s="8">
        <f>SUM(B116:B122)</f>
        <v>0</v>
      </c>
      <c r="C115" s="8">
        <f>SUM(C116:C122)</f>
        <v>0</v>
      </c>
      <c r="D115" s="8">
        <f>SUM(D116)</f>
        <v>45</v>
      </c>
      <c r="E115" s="8">
        <f>SUM(E116:E122)</f>
        <v>7</v>
      </c>
      <c r="F115" s="8">
        <f>SUM(F116:F122)</f>
        <v>350</v>
      </c>
      <c r="G115" s="93">
        <f t="shared" si="27"/>
        <v>0</v>
      </c>
      <c r="H115" s="92">
        <f>SUM(H116:H122)</f>
        <v>0</v>
      </c>
      <c r="I115" s="9">
        <f>SUM(I116:I122)</f>
        <v>0</v>
      </c>
      <c r="J115" s="14">
        <f>SUM(J116:J122)</f>
        <v>0</v>
      </c>
      <c r="K115" s="8">
        <f>SUM(K116:K122)</f>
        <v>0</v>
      </c>
      <c r="L115" s="9">
        <v>0</v>
      </c>
      <c r="M115" s="96">
        <f>J115</f>
        <v>0</v>
      </c>
      <c r="N115" s="102">
        <f>SUM(N116:N122)</f>
        <v>0</v>
      </c>
      <c r="O115" s="98">
        <f>-N115</f>
        <v>0</v>
      </c>
      <c r="P115" s="86"/>
      <c r="Q115" s="86"/>
    </row>
    <row r="116" spans="1:17">
      <c r="A116" s="6">
        <v>46132</v>
      </c>
      <c r="B116" s="4">
        <v>0</v>
      </c>
      <c r="C116" s="4">
        <v>0</v>
      </c>
      <c r="D116" s="4">
        <v>45</v>
      </c>
      <c r="E116" s="4">
        <v>1</v>
      </c>
      <c r="F116" s="4">
        <v>50</v>
      </c>
      <c r="G116" s="144">
        <f t="shared" si="27"/>
        <v>0</v>
      </c>
      <c r="H116" s="167">
        <v>0</v>
      </c>
      <c r="I116" s="142">
        <f t="shared" ref="I116:I122" si="33">G116*D116</f>
        <v>0</v>
      </c>
      <c r="J116" s="5">
        <f t="shared" ref="J116:J122" si="34">I116-H116</f>
        <v>0</v>
      </c>
      <c r="K116">
        <v>0</v>
      </c>
      <c r="N116" s="51">
        <v>0</v>
      </c>
      <c r="O116" s="51"/>
      <c r="P116" s="115"/>
    </row>
    <row r="117" spans="1:17">
      <c r="A117" s="6">
        <v>46133</v>
      </c>
      <c r="B117" s="4">
        <v>0</v>
      </c>
      <c r="C117" s="4">
        <v>0</v>
      </c>
      <c r="D117" s="4">
        <v>65</v>
      </c>
      <c r="E117" s="4">
        <v>1</v>
      </c>
      <c r="F117" s="4">
        <v>50</v>
      </c>
      <c r="G117" s="144">
        <f t="shared" si="27"/>
        <v>0</v>
      </c>
      <c r="H117" s="167">
        <v>0</v>
      </c>
      <c r="I117" s="142">
        <f t="shared" si="33"/>
        <v>0</v>
      </c>
      <c r="J117" s="5">
        <f t="shared" si="34"/>
        <v>0</v>
      </c>
      <c r="K117">
        <v>0</v>
      </c>
      <c r="N117" s="51">
        <v>0</v>
      </c>
    </row>
    <row r="118" spans="1:17">
      <c r="A118" s="6">
        <v>46134</v>
      </c>
      <c r="B118" s="4">
        <v>0</v>
      </c>
      <c r="C118" s="4">
        <v>0</v>
      </c>
      <c r="D118" s="4">
        <v>65</v>
      </c>
      <c r="E118" s="4">
        <v>1</v>
      </c>
      <c r="F118" s="4">
        <v>50</v>
      </c>
      <c r="G118" s="144">
        <f t="shared" si="27"/>
        <v>0</v>
      </c>
      <c r="H118" s="167">
        <v>0</v>
      </c>
      <c r="I118" s="142">
        <f t="shared" si="33"/>
        <v>0</v>
      </c>
      <c r="J118" s="5">
        <f t="shared" si="34"/>
        <v>0</v>
      </c>
      <c r="K118">
        <v>0</v>
      </c>
      <c r="N118" s="51">
        <v>0</v>
      </c>
      <c r="Q118" t="s">
        <v>64</v>
      </c>
    </row>
    <row r="119" spans="1:17">
      <c r="A119" s="6">
        <v>46135</v>
      </c>
      <c r="B119" s="4">
        <v>0</v>
      </c>
      <c r="C119" s="4">
        <v>0</v>
      </c>
      <c r="D119" s="4">
        <v>45</v>
      </c>
      <c r="E119" s="4">
        <v>1</v>
      </c>
      <c r="F119" s="4">
        <v>50</v>
      </c>
      <c r="G119" s="144">
        <f t="shared" si="27"/>
        <v>0</v>
      </c>
      <c r="H119" s="167">
        <v>0</v>
      </c>
      <c r="I119" s="142">
        <f t="shared" si="33"/>
        <v>0</v>
      </c>
      <c r="J119" s="5">
        <f t="shared" si="34"/>
        <v>0</v>
      </c>
      <c r="K119">
        <v>0</v>
      </c>
      <c r="N119" s="51">
        <v>0</v>
      </c>
    </row>
    <row r="120" spans="1:17">
      <c r="A120" s="6">
        <v>46136</v>
      </c>
      <c r="B120" s="4">
        <v>0</v>
      </c>
      <c r="C120" s="4">
        <v>0</v>
      </c>
      <c r="D120" s="4">
        <v>45</v>
      </c>
      <c r="E120" s="4">
        <v>1</v>
      </c>
      <c r="F120" s="4">
        <v>50</v>
      </c>
      <c r="G120" s="144">
        <f t="shared" si="27"/>
        <v>0</v>
      </c>
      <c r="H120" s="167">
        <v>0</v>
      </c>
      <c r="I120" s="142">
        <f t="shared" si="33"/>
        <v>0</v>
      </c>
      <c r="J120" s="5">
        <f t="shared" si="34"/>
        <v>0</v>
      </c>
      <c r="K120">
        <v>0</v>
      </c>
      <c r="N120" s="51">
        <v>0</v>
      </c>
    </row>
    <row r="121" spans="1:17">
      <c r="A121" s="6">
        <v>46137</v>
      </c>
      <c r="B121" s="4">
        <v>0</v>
      </c>
      <c r="C121" s="4">
        <v>0</v>
      </c>
      <c r="D121" s="4">
        <v>45</v>
      </c>
      <c r="E121" s="4">
        <v>1</v>
      </c>
      <c r="F121" s="4">
        <v>50</v>
      </c>
      <c r="G121" s="10">
        <f t="shared" si="27"/>
        <v>0</v>
      </c>
      <c r="H121" s="141">
        <v>0</v>
      </c>
      <c r="I121" s="5">
        <f t="shared" si="33"/>
        <v>0</v>
      </c>
      <c r="J121" s="5">
        <f t="shared" si="34"/>
        <v>0</v>
      </c>
      <c r="K121">
        <v>0</v>
      </c>
      <c r="N121" s="51">
        <v>0</v>
      </c>
    </row>
    <row r="122" spans="1:17">
      <c r="A122" s="6">
        <v>46138</v>
      </c>
      <c r="B122" s="4">
        <v>0</v>
      </c>
      <c r="C122" s="4">
        <v>0</v>
      </c>
      <c r="D122" s="4">
        <v>45</v>
      </c>
      <c r="E122" s="4">
        <v>1</v>
      </c>
      <c r="F122" s="4">
        <v>50</v>
      </c>
      <c r="G122" s="10">
        <f t="shared" si="27"/>
        <v>0</v>
      </c>
      <c r="H122" s="4">
        <v>0</v>
      </c>
      <c r="I122" s="5">
        <f t="shared" si="33"/>
        <v>0</v>
      </c>
      <c r="J122" s="5">
        <f t="shared" si="34"/>
        <v>0</v>
      </c>
      <c r="K122">
        <v>0</v>
      </c>
      <c r="N122" s="51">
        <v>0</v>
      </c>
    </row>
    <row r="123" spans="1:17" ht="19">
      <c r="A123" s="91" t="s">
        <v>518</v>
      </c>
      <c r="B123" s="8">
        <f>SUM(B124:B130)</f>
        <v>48</v>
      </c>
      <c r="C123" s="8">
        <f>SUM(C124:C130)</f>
        <v>108</v>
      </c>
      <c r="D123" s="8">
        <f>SUM(D124)</f>
        <v>45</v>
      </c>
      <c r="E123" s="8">
        <f>SUM(E124:E130)</f>
        <v>5</v>
      </c>
      <c r="F123" s="8">
        <f>SUM(F124:F130)</f>
        <v>250</v>
      </c>
      <c r="G123" s="93">
        <f t="shared" si="27"/>
        <v>49.8</v>
      </c>
      <c r="H123" s="8">
        <f>SUM(H124:H130)</f>
        <v>250</v>
      </c>
      <c r="I123" s="9">
        <f>SUM(I124:I130)</f>
        <v>2541.8333333333335</v>
      </c>
      <c r="J123" s="14">
        <f>SUM(J124:J130)</f>
        <v>2291.8333333333335</v>
      </c>
      <c r="K123" s="8">
        <f>SUM(K124:K130)</f>
        <v>141</v>
      </c>
      <c r="L123" s="9">
        <v>0</v>
      </c>
      <c r="M123" s="96">
        <f>J123</f>
        <v>2291.8333333333335</v>
      </c>
      <c r="N123" s="102">
        <f>SUM(N124:N130)</f>
        <v>2974</v>
      </c>
      <c r="O123" s="98">
        <f>2865-N123</f>
        <v>-109</v>
      </c>
      <c r="P123" s="86"/>
      <c r="Q123" s="86"/>
    </row>
    <row r="124" spans="1:17">
      <c r="A124" s="6">
        <v>46132</v>
      </c>
      <c r="B124" s="4">
        <v>10</v>
      </c>
      <c r="C124" s="4">
        <v>16</v>
      </c>
      <c r="D124" s="4">
        <v>45</v>
      </c>
      <c r="E124" s="4">
        <v>1</v>
      </c>
      <c r="F124" s="4">
        <v>50</v>
      </c>
      <c r="G124" s="10">
        <f t="shared" si="27"/>
        <v>10.266666666666667</v>
      </c>
      <c r="H124" s="4">
        <v>50</v>
      </c>
      <c r="I124" s="5">
        <f t="shared" ref="I124:I130" si="35">G124*D124</f>
        <v>462.00000000000006</v>
      </c>
      <c r="J124" s="5">
        <f t="shared" ref="J124:J130" si="36">I124-H124</f>
        <v>412.00000000000006</v>
      </c>
      <c r="K124">
        <v>24</v>
      </c>
      <c r="N124" s="51">
        <f>527</f>
        <v>527</v>
      </c>
      <c r="O124" s="51"/>
    </row>
    <row r="125" spans="1:17">
      <c r="A125" s="6">
        <v>46133</v>
      </c>
      <c r="B125" s="4">
        <v>10</v>
      </c>
      <c r="C125" s="4">
        <v>41</v>
      </c>
      <c r="D125" s="4">
        <v>55</v>
      </c>
      <c r="E125" s="4">
        <v>1</v>
      </c>
      <c r="F125" s="4">
        <v>50</v>
      </c>
      <c r="G125" s="10">
        <f t="shared" si="27"/>
        <v>10.683333333333334</v>
      </c>
      <c r="H125" s="4">
        <v>50</v>
      </c>
      <c r="I125" s="5">
        <f t="shared" si="35"/>
        <v>587.58333333333337</v>
      </c>
      <c r="J125" s="5">
        <f t="shared" si="36"/>
        <v>537.58333333333337</v>
      </c>
      <c r="K125">
        <v>30</v>
      </c>
      <c r="N125" s="51">
        <f>88+2+90</f>
        <v>180</v>
      </c>
    </row>
    <row r="126" spans="1:17">
      <c r="A126" s="6">
        <v>46134</v>
      </c>
      <c r="B126" s="4">
        <v>0</v>
      </c>
      <c r="C126" s="4">
        <v>0</v>
      </c>
      <c r="D126" s="4">
        <v>45</v>
      </c>
      <c r="E126" s="4">
        <v>0</v>
      </c>
      <c r="F126" s="4">
        <v>0</v>
      </c>
      <c r="G126" s="10">
        <f t="shared" si="27"/>
        <v>0</v>
      </c>
      <c r="H126" s="4">
        <v>0</v>
      </c>
      <c r="I126" s="5">
        <f t="shared" si="35"/>
        <v>0</v>
      </c>
      <c r="J126" s="5">
        <f t="shared" si="36"/>
        <v>0</v>
      </c>
      <c r="K126">
        <v>0</v>
      </c>
      <c r="N126" s="83">
        <f>566</f>
        <v>566</v>
      </c>
    </row>
    <row r="127" spans="1:17">
      <c r="A127" s="6">
        <v>46135</v>
      </c>
      <c r="B127" s="4">
        <v>0</v>
      </c>
      <c r="C127" s="4">
        <v>0</v>
      </c>
      <c r="D127" s="4">
        <v>45</v>
      </c>
      <c r="E127" s="4">
        <v>0</v>
      </c>
      <c r="F127" s="4">
        <v>0</v>
      </c>
      <c r="G127" s="10">
        <f t="shared" si="27"/>
        <v>0</v>
      </c>
      <c r="H127" s="4">
        <v>0</v>
      </c>
      <c r="I127" s="5">
        <f t="shared" si="35"/>
        <v>0</v>
      </c>
      <c r="J127" s="5">
        <f t="shared" si="36"/>
        <v>0</v>
      </c>
      <c r="K127">
        <v>0</v>
      </c>
      <c r="N127" s="51"/>
    </row>
    <row r="128" spans="1:17">
      <c r="A128" s="6">
        <v>46136</v>
      </c>
      <c r="B128" s="4">
        <v>10</v>
      </c>
      <c r="C128" s="4">
        <v>8</v>
      </c>
      <c r="D128" s="4">
        <v>45</v>
      </c>
      <c r="E128" s="4">
        <v>1</v>
      </c>
      <c r="F128" s="4">
        <v>50</v>
      </c>
      <c r="G128" s="10">
        <f t="shared" ref="G128:G159" si="37">B128+C128/60</f>
        <v>10.133333333333333</v>
      </c>
      <c r="H128" s="4">
        <v>50</v>
      </c>
      <c r="I128" s="5">
        <f t="shared" si="35"/>
        <v>456</v>
      </c>
      <c r="J128" s="5">
        <f t="shared" si="36"/>
        <v>406</v>
      </c>
      <c r="K128">
        <v>25</v>
      </c>
      <c r="N128" s="51">
        <v>646</v>
      </c>
      <c r="Q128" t="s">
        <v>875</v>
      </c>
    </row>
    <row r="129" spans="1:17">
      <c r="A129" s="6">
        <v>46137</v>
      </c>
      <c r="B129" s="4">
        <v>9</v>
      </c>
      <c r="C129" s="4">
        <v>1</v>
      </c>
      <c r="D129" s="4">
        <v>45</v>
      </c>
      <c r="E129" s="4">
        <v>1</v>
      </c>
      <c r="F129" s="4">
        <v>50</v>
      </c>
      <c r="G129" s="10">
        <f t="shared" si="37"/>
        <v>9.0166666666666675</v>
      </c>
      <c r="H129" s="4">
        <v>50</v>
      </c>
      <c r="I129" s="5">
        <f t="shared" si="35"/>
        <v>405.75000000000006</v>
      </c>
      <c r="J129" s="5">
        <f t="shared" si="36"/>
        <v>355.75000000000006</v>
      </c>
      <c r="K129">
        <v>26</v>
      </c>
      <c r="N129" s="51">
        <v>610</v>
      </c>
    </row>
    <row r="130" spans="1:17">
      <c r="A130" s="6">
        <v>46138</v>
      </c>
      <c r="B130" s="4">
        <v>9</v>
      </c>
      <c r="C130" s="4">
        <v>42</v>
      </c>
      <c r="D130" s="4">
        <v>65</v>
      </c>
      <c r="E130" s="4">
        <v>1</v>
      </c>
      <c r="F130" s="4">
        <v>50</v>
      </c>
      <c r="G130" s="10">
        <f t="shared" si="37"/>
        <v>9.6999999999999993</v>
      </c>
      <c r="H130" s="4">
        <v>50</v>
      </c>
      <c r="I130" s="5">
        <f t="shared" si="35"/>
        <v>630.5</v>
      </c>
      <c r="J130" s="5">
        <f t="shared" si="36"/>
        <v>580.5</v>
      </c>
      <c r="K130">
        <v>36</v>
      </c>
      <c r="N130" s="51">
        <v>445</v>
      </c>
      <c r="Q130" t="s">
        <v>455</v>
      </c>
    </row>
    <row r="131" spans="1:17" ht="19">
      <c r="A131" s="91" t="s">
        <v>519</v>
      </c>
      <c r="B131" s="8">
        <f>SUM(B132:B137)</f>
        <v>0</v>
      </c>
      <c r="C131" s="8">
        <f>SUM(C132:C137)</f>
        <v>0</v>
      </c>
      <c r="D131" s="8">
        <f>SUM(D132)</f>
        <v>45</v>
      </c>
      <c r="E131" s="8">
        <f>SUM(E132:E137)</f>
        <v>6</v>
      </c>
      <c r="F131" s="8">
        <f>SUM(F132:F137)</f>
        <v>300</v>
      </c>
      <c r="G131" s="93">
        <f t="shared" si="37"/>
        <v>0</v>
      </c>
      <c r="H131" s="8">
        <f>SUM(H132:H137)</f>
        <v>0</v>
      </c>
      <c r="I131" s="9">
        <f>SUM(I132:I137)</f>
        <v>0</v>
      </c>
      <c r="J131" s="14">
        <f>SUM(J132:J137)</f>
        <v>0</v>
      </c>
      <c r="K131" s="8">
        <f>SUM(K132:K137)</f>
        <v>0</v>
      </c>
      <c r="L131" s="9">
        <v>0</v>
      </c>
      <c r="M131" s="96">
        <f>J131</f>
        <v>0</v>
      </c>
      <c r="N131" s="102">
        <f>SUM(N132:N135)</f>
        <v>0</v>
      </c>
      <c r="O131" s="98">
        <v>0</v>
      </c>
      <c r="P131" s="86"/>
      <c r="Q131" s="86"/>
    </row>
    <row r="132" spans="1:17">
      <c r="A132" s="6">
        <v>46132</v>
      </c>
      <c r="B132" s="4">
        <v>0</v>
      </c>
      <c r="C132" s="4">
        <v>0</v>
      </c>
      <c r="D132" s="4">
        <v>45</v>
      </c>
      <c r="E132" s="4">
        <v>1</v>
      </c>
      <c r="F132" s="4">
        <v>50</v>
      </c>
      <c r="G132" s="10">
        <f t="shared" si="37"/>
        <v>0</v>
      </c>
      <c r="H132" s="4">
        <v>0</v>
      </c>
      <c r="I132" s="5">
        <f t="shared" ref="I132:I138" si="38">G132*D132</f>
        <v>0</v>
      </c>
      <c r="J132" s="5">
        <f t="shared" ref="J132:J138" si="39">I132-H132</f>
        <v>0</v>
      </c>
      <c r="K132">
        <v>0</v>
      </c>
      <c r="N132" s="51">
        <v>0</v>
      </c>
      <c r="O132" s="51"/>
    </row>
    <row r="133" spans="1:17">
      <c r="A133" s="6">
        <v>46133</v>
      </c>
      <c r="B133" s="4">
        <v>0</v>
      </c>
      <c r="C133" s="4">
        <v>0</v>
      </c>
      <c r="D133" s="4">
        <v>55</v>
      </c>
      <c r="E133" s="4">
        <v>1</v>
      </c>
      <c r="F133" s="4">
        <v>50</v>
      </c>
      <c r="G133" s="10">
        <f t="shared" si="37"/>
        <v>0</v>
      </c>
      <c r="H133" s="4">
        <v>0</v>
      </c>
      <c r="I133" s="5">
        <f t="shared" si="38"/>
        <v>0</v>
      </c>
      <c r="J133" s="5">
        <f t="shared" si="39"/>
        <v>0</v>
      </c>
      <c r="K133">
        <v>0</v>
      </c>
      <c r="N133" s="51">
        <v>0</v>
      </c>
    </row>
    <row r="134" spans="1:17">
      <c r="A134" s="6">
        <v>46134</v>
      </c>
      <c r="B134" s="4">
        <v>0</v>
      </c>
      <c r="C134" s="4">
        <v>0</v>
      </c>
      <c r="D134" s="4">
        <v>45</v>
      </c>
      <c r="E134" s="4">
        <v>1</v>
      </c>
      <c r="F134" s="4">
        <v>50</v>
      </c>
      <c r="G134" s="10">
        <f t="shared" si="37"/>
        <v>0</v>
      </c>
      <c r="H134" s="4">
        <v>0</v>
      </c>
      <c r="I134" s="5">
        <f t="shared" si="38"/>
        <v>0</v>
      </c>
      <c r="J134" s="5">
        <f t="shared" si="39"/>
        <v>0</v>
      </c>
      <c r="K134">
        <v>0</v>
      </c>
      <c r="N134" s="83">
        <v>0</v>
      </c>
      <c r="Q134" t="s">
        <v>64</v>
      </c>
    </row>
    <row r="135" spans="1:17">
      <c r="A135" s="6">
        <v>46135</v>
      </c>
      <c r="B135" s="4">
        <v>0</v>
      </c>
      <c r="C135" s="4">
        <v>0</v>
      </c>
      <c r="D135" s="4">
        <v>45</v>
      </c>
      <c r="E135" s="4">
        <v>1</v>
      </c>
      <c r="F135" s="4">
        <v>50</v>
      </c>
      <c r="G135" s="10">
        <f t="shared" si="37"/>
        <v>0</v>
      </c>
      <c r="H135" s="4">
        <v>0</v>
      </c>
      <c r="I135" s="5">
        <f t="shared" si="38"/>
        <v>0</v>
      </c>
      <c r="J135" s="5">
        <f t="shared" si="39"/>
        <v>0</v>
      </c>
      <c r="K135">
        <v>0</v>
      </c>
      <c r="N135" s="51">
        <v>0</v>
      </c>
    </row>
    <row r="136" spans="1:17">
      <c r="A136" s="6">
        <v>46136</v>
      </c>
      <c r="B136" s="4">
        <v>0</v>
      </c>
      <c r="C136" s="4">
        <v>0</v>
      </c>
      <c r="D136" s="4">
        <v>45</v>
      </c>
      <c r="E136" s="4">
        <v>1</v>
      </c>
      <c r="F136" s="4">
        <v>50</v>
      </c>
      <c r="G136" s="10">
        <f t="shared" si="37"/>
        <v>0</v>
      </c>
      <c r="H136" s="4">
        <v>0</v>
      </c>
      <c r="I136" s="5">
        <f t="shared" si="38"/>
        <v>0</v>
      </c>
      <c r="J136" s="5">
        <f t="shared" si="39"/>
        <v>0</v>
      </c>
      <c r="K136">
        <v>0</v>
      </c>
      <c r="N136" s="51">
        <v>0</v>
      </c>
    </row>
    <row r="137" spans="1:17">
      <c r="A137" s="6">
        <v>46137</v>
      </c>
      <c r="B137" s="4">
        <v>0</v>
      </c>
      <c r="C137" s="4">
        <v>0</v>
      </c>
      <c r="D137" s="4">
        <v>45</v>
      </c>
      <c r="E137" s="4">
        <v>1</v>
      </c>
      <c r="F137" s="4">
        <v>50</v>
      </c>
      <c r="G137" s="10">
        <f t="shared" si="37"/>
        <v>0</v>
      </c>
      <c r="H137" s="4">
        <v>0</v>
      </c>
      <c r="I137" s="5">
        <f t="shared" si="38"/>
        <v>0</v>
      </c>
      <c r="J137" s="5">
        <f t="shared" si="39"/>
        <v>0</v>
      </c>
      <c r="K137">
        <v>0</v>
      </c>
      <c r="N137" s="51">
        <v>0</v>
      </c>
    </row>
    <row r="138" spans="1:17">
      <c r="A138" s="6">
        <v>46138</v>
      </c>
      <c r="B138" s="4">
        <v>0</v>
      </c>
      <c r="C138" s="4">
        <v>0</v>
      </c>
      <c r="D138" s="4">
        <v>45</v>
      </c>
      <c r="E138" s="4">
        <v>1</v>
      </c>
      <c r="F138" s="4">
        <v>50</v>
      </c>
      <c r="G138" s="10">
        <f t="shared" si="37"/>
        <v>0</v>
      </c>
      <c r="H138" s="4">
        <v>0</v>
      </c>
      <c r="I138" s="5">
        <f t="shared" si="38"/>
        <v>0</v>
      </c>
      <c r="J138" s="5">
        <f t="shared" si="39"/>
        <v>0</v>
      </c>
      <c r="K138">
        <v>0</v>
      </c>
      <c r="N138" s="51">
        <v>0</v>
      </c>
    </row>
    <row r="139" spans="1:17" ht="19">
      <c r="A139" s="91" t="s">
        <v>528</v>
      </c>
      <c r="B139" s="8">
        <f>SUM(B140:B146)</f>
        <v>67</v>
      </c>
      <c r="C139" s="8">
        <f>SUM(C140:C146)</f>
        <v>243</v>
      </c>
      <c r="D139" s="8">
        <f>SUM(D140)</f>
        <v>45</v>
      </c>
      <c r="E139" s="8">
        <f>SUM(E140:E146)</f>
        <v>7</v>
      </c>
      <c r="F139" s="8">
        <f>SUM(F140:F146)</f>
        <v>350</v>
      </c>
      <c r="G139" s="93">
        <f t="shared" si="37"/>
        <v>71.05</v>
      </c>
      <c r="H139" s="8">
        <f>SUM(H140:H146)</f>
        <v>350</v>
      </c>
      <c r="I139" s="9">
        <f>SUM(I140:I146)</f>
        <v>3301.083333333333</v>
      </c>
      <c r="J139" s="9">
        <f>SUM(J140:J146)</f>
        <v>2951.083333333333</v>
      </c>
      <c r="K139" s="8">
        <f>SUM(K140:K146)</f>
        <v>155</v>
      </c>
      <c r="L139" s="9">
        <v>0</v>
      </c>
      <c r="M139" s="96">
        <f>J139</f>
        <v>2951.083333333333</v>
      </c>
      <c r="N139" s="102">
        <f>SUM(N140:N146)</f>
        <v>2947</v>
      </c>
      <c r="O139" s="98">
        <f>2926-N139</f>
        <v>-21</v>
      </c>
      <c r="P139" s="86"/>
      <c r="Q139" s="86"/>
    </row>
    <row r="140" spans="1:17">
      <c r="A140" s="6">
        <v>46132</v>
      </c>
      <c r="B140" s="4">
        <v>9</v>
      </c>
      <c r="C140" s="4">
        <v>9</v>
      </c>
      <c r="D140" s="4">
        <v>45</v>
      </c>
      <c r="E140" s="4">
        <v>1</v>
      </c>
      <c r="F140" s="4">
        <v>50</v>
      </c>
      <c r="G140" s="10">
        <f t="shared" si="37"/>
        <v>9.15</v>
      </c>
      <c r="H140" s="4">
        <v>50</v>
      </c>
      <c r="I140" s="5">
        <f t="shared" ref="I140:I146" si="40">G140*D140</f>
        <v>411.75</v>
      </c>
      <c r="J140" s="5">
        <f t="shared" ref="J140:J146" si="41">I140-H140</f>
        <v>361.75</v>
      </c>
      <c r="K140">
        <v>21</v>
      </c>
      <c r="N140" s="51">
        <f>251+150</f>
        <v>401</v>
      </c>
      <c r="O140" s="51"/>
      <c r="P140" t="s">
        <v>865</v>
      </c>
    </row>
    <row r="141" spans="1:17">
      <c r="A141" s="6">
        <v>46133</v>
      </c>
      <c r="B141" s="4">
        <v>10</v>
      </c>
      <c r="C141" s="4">
        <v>23</v>
      </c>
      <c r="D141" s="4">
        <v>45</v>
      </c>
      <c r="E141" s="4">
        <v>1</v>
      </c>
      <c r="F141" s="4">
        <v>50</v>
      </c>
      <c r="G141" s="10">
        <f t="shared" si="37"/>
        <v>10.383333333333333</v>
      </c>
      <c r="H141" s="4">
        <v>50</v>
      </c>
      <c r="I141" s="5">
        <f t="shared" si="40"/>
        <v>467.25</v>
      </c>
      <c r="J141" s="5">
        <f t="shared" si="41"/>
        <v>417.25</v>
      </c>
      <c r="K141">
        <v>23</v>
      </c>
      <c r="N141" s="51">
        <f>239+100</f>
        <v>339</v>
      </c>
      <c r="P141" t="s">
        <v>876</v>
      </c>
    </row>
    <row r="142" spans="1:17">
      <c r="A142" s="6">
        <v>46134</v>
      </c>
      <c r="B142" s="4">
        <v>9</v>
      </c>
      <c r="C142" s="4">
        <v>56</v>
      </c>
      <c r="D142" s="4">
        <v>45</v>
      </c>
      <c r="E142" s="4">
        <v>1</v>
      </c>
      <c r="F142" s="4">
        <v>50</v>
      </c>
      <c r="G142" s="10">
        <f t="shared" si="37"/>
        <v>9.9333333333333336</v>
      </c>
      <c r="H142" s="4">
        <v>50</v>
      </c>
      <c r="I142" s="5">
        <f t="shared" si="40"/>
        <v>447</v>
      </c>
      <c r="J142" s="5">
        <f t="shared" si="41"/>
        <v>397</v>
      </c>
      <c r="K142">
        <v>25</v>
      </c>
      <c r="N142" s="83">
        <f>380</f>
        <v>380</v>
      </c>
      <c r="P142" t="s">
        <v>877</v>
      </c>
    </row>
    <row r="143" spans="1:17">
      <c r="A143" s="6">
        <v>46135</v>
      </c>
      <c r="B143" s="4">
        <v>10</v>
      </c>
      <c r="C143" s="4">
        <v>40</v>
      </c>
      <c r="D143" s="4">
        <v>45</v>
      </c>
      <c r="E143" s="4">
        <v>1</v>
      </c>
      <c r="F143" s="4">
        <v>50</v>
      </c>
      <c r="G143" s="10">
        <f t="shared" si="37"/>
        <v>10.666666666666666</v>
      </c>
      <c r="H143" s="4">
        <v>50</v>
      </c>
      <c r="I143" s="5">
        <f t="shared" si="40"/>
        <v>480</v>
      </c>
      <c r="J143" s="5">
        <f t="shared" si="41"/>
        <v>430</v>
      </c>
      <c r="K143">
        <v>13</v>
      </c>
      <c r="N143" s="51">
        <f>380</f>
        <v>380</v>
      </c>
    </row>
    <row r="144" spans="1:17">
      <c r="A144" s="6">
        <v>46136</v>
      </c>
      <c r="B144" s="4">
        <v>10</v>
      </c>
      <c r="C144" s="4">
        <v>49</v>
      </c>
      <c r="D144" s="4">
        <v>45</v>
      </c>
      <c r="E144" s="4">
        <v>1</v>
      </c>
      <c r="F144" s="4">
        <v>50</v>
      </c>
      <c r="G144" s="10">
        <f t="shared" si="37"/>
        <v>10.816666666666666</v>
      </c>
      <c r="H144" s="4">
        <v>50</v>
      </c>
      <c r="I144" s="5">
        <f t="shared" si="40"/>
        <v>486.75</v>
      </c>
      <c r="J144" s="5">
        <f t="shared" si="41"/>
        <v>436.75</v>
      </c>
      <c r="K144">
        <v>20</v>
      </c>
      <c r="N144" s="51">
        <v>350</v>
      </c>
      <c r="P144" t="s">
        <v>878</v>
      </c>
    </row>
    <row r="145" spans="1:17">
      <c r="A145" s="6">
        <v>46137</v>
      </c>
      <c r="B145" s="4">
        <v>9</v>
      </c>
      <c r="C145" s="4">
        <v>43</v>
      </c>
      <c r="D145" s="4">
        <v>45</v>
      </c>
      <c r="E145" s="4">
        <v>1</v>
      </c>
      <c r="F145" s="4">
        <v>50</v>
      </c>
      <c r="G145" s="10">
        <f t="shared" si="37"/>
        <v>9.7166666666666668</v>
      </c>
      <c r="H145" s="4">
        <v>50</v>
      </c>
      <c r="I145" s="5">
        <f t="shared" si="40"/>
        <v>437.25</v>
      </c>
      <c r="J145" s="5">
        <f t="shared" si="41"/>
        <v>387.25</v>
      </c>
      <c r="K145">
        <v>26</v>
      </c>
      <c r="N145" s="51">
        <f>400+150</f>
        <v>550</v>
      </c>
    </row>
    <row r="146" spans="1:17">
      <c r="A146" s="6">
        <v>46138</v>
      </c>
      <c r="B146" s="4">
        <v>10</v>
      </c>
      <c r="C146" s="4">
        <v>23</v>
      </c>
      <c r="D146" s="4">
        <v>55</v>
      </c>
      <c r="E146" s="4">
        <v>1</v>
      </c>
      <c r="F146" s="4">
        <v>50</v>
      </c>
      <c r="G146" s="10">
        <f t="shared" si="37"/>
        <v>10.383333333333333</v>
      </c>
      <c r="H146" s="4">
        <v>50</v>
      </c>
      <c r="I146" s="5">
        <f t="shared" si="40"/>
        <v>571.08333333333326</v>
      </c>
      <c r="J146" s="5">
        <f t="shared" si="41"/>
        <v>521.08333333333326</v>
      </c>
      <c r="K146">
        <v>27</v>
      </c>
      <c r="N146" s="51">
        <v>547</v>
      </c>
    </row>
    <row r="147" spans="1:17" ht="19">
      <c r="A147" s="91" t="s">
        <v>529</v>
      </c>
      <c r="B147" s="8">
        <f>SUM(B148:B154)</f>
        <v>31</v>
      </c>
      <c r="C147" s="8">
        <f>SUM(C148:C154)</f>
        <v>38</v>
      </c>
      <c r="D147" s="8">
        <f>SUM(D148)</f>
        <v>45</v>
      </c>
      <c r="E147" s="8">
        <f>SUM(E148:E154)</f>
        <v>3</v>
      </c>
      <c r="F147" s="8">
        <f>SUM(F148:F154)</f>
        <v>150</v>
      </c>
      <c r="G147" s="93">
        <f t="shared" si="37"/>
        <v>31.633333333333333</v>
      </c>
      <c r="H147" s="8">
        <f>SUM(H148:H154)</f>
        <v>150</v>
      </c>
      <c r="I147" s="9">
        <f>SUM(I148:I154)</f>
        <v>2056.1666666666665</v>
      </c>
      <c r="J147" s="14">
        <f>SUM(J148:J154)</f>
        <v>1906.1666666666665</v>
      </c>
      <c r="K147" s="8">
        <f>SUM(K148:K154)</f>
        <v>97</v>
      </c>
      <c r="L147" s="9">
        <v>0</v>
      </c>
      <c r="M147" s="96">
        <f>J147</f>
        <v>1906.1666666666665</v>
      </c>
      <c r="N147" s="102">
        <f>SUM(N148:N154)</f>
        <v>2328</v>
      </c>
      <c r="O147" s="98">
        <f>2328-N147</f>
        <v>0</v>
      </c>
      <c r="P147" s="86"/>
      <c r="Q147" s="86"/>
    </row>
    <row r="148" spans="1:17">
      <c r="A148" s="80" t="s">
        <v>820</v>
      </c>
      <c r="B148" s="4">
        <v>0</v>
      </c>
      <c r="C148" s="4">
        <v>0</v>
      </c>
      <c r="D148" s="4">
        <v>45</v>
      </c>
      <c r="E148" s="4">
        <v>0</v>
      </c>
      <c r="F148" s="4">
        <v>0</v>
      </c>
      <c r="G148" s="10">
        <f t="shared" si="37"/>
        <v>0</v>
      </c>
      <c r="H148" s="4">
        <v>0</v>
      </c>
      <c r="I148" s="5">
        <f t="shared" ref="I148:I154" si="42">G148*D148</f>
        <v>0</v>
      </c>
      <c r="J148" s="5">
        <f t="shared" ref="J148:J154" si="43">I148-H148</f>
        <v>0</v>
      </c>
      <c r="K148">
        <v>0</v>
      </c>
      <c r="N148" s="51">
        <v>0</v>
      </c>
      <c r="O148" s="51"/>
    </row>
    <row r="149" spans="1:17">
      <c r="A149" s="80" t="s">
        <v>822</v>
      </c>
      <c r="B149" s="4">
        <v>0</v>
      </c>
      <c r="C149" s="4">
        <v>0</v>
      </c>
      <c r="D149" s="4">
        <v>45</v>
      </c>
      <c r="E149" s="4">
        <v>0</v>
      </c>
      <c r="F149" s="4">
        <v>0</v>
      </c>
      <c r="G149" s="10">
        <f t="shared" si="37"/>
        <v>0</v>
      </c>
      <c r="H149" s="4">
        <v>0</v>
      </c>
      <c r="I149" s="5">
        <f t="shared" si="42"/>
        <v>0</v>
      </c>
      <c r="J149" s="5">
        <f t="shared" si="43"/>
        <v>0</v>
      </c>
      <c r="K149">
        <v>0</v>
      </c>
      <c r="N149" s="51">
        <v>0</v>
      </c>
    </row>
    <row r="150" spans="1:17">
      <c r="A150" s="80" t="s">
        <v>824</v>
      </c>
      <c r="B150" s="4">
        <v>10</v>
      </c>
      <c r="C150" s="4">
        <v>30</v>
      </c>
      <c r="D150" s="4">
        <v>65</v>
      </c>
      <c r="E150" s="4">
        <v>1</v>
      </c>
      <c r="F150" s="4">
        <v>50</v>
      </c>
      <c r="G150" s="10">
        <f t="shared" si="37"/>
        <v>10.5</v>
      </c>
      <c r="H150" s="4">
        <v>50</v>
      </c>
      <c r="I150" s="5">
        <f t="shared" si="42"/>
        <v>682.5</v>
      </c>
      <c r="J150" s="5">
        <f t="shared" si="43"/>
        <v>632.5</v>
      </c>
      <c r="K150">
        <v>32</v>
      </c>
      <c r="N150" s="51">
        <f>750+172</f>
        <v>922</v>
      </c>
    </row>
    <row r="151" spans="1:17">
      <c r="A151" s="80" t="s">
        <v>826</v>
      </c>
      <c r="B151" s="4">
        <v>11</v>
      </c>
      <c r="C151" s="4">
        <v>0</v>
      </c>
      <c r="D151" s="4">
        <v>65</v>
      </c>
      <c r="E151" s="4">
        <v>1</v>
      </c>
      <c r="F151" s="4">
        <v>50</v>
      </c>
      <c r="G151" s="10">
        <f t="shared" si="37"/>
        <v>11</v>
      </c>
      <c r="H151" s="4">
        <v>50</v>
      </c>
      <c r="I151" s="5">
        <f t="shared" si="42"/>
        <v>715</v>
      </c>
      <c r="J151" s="5">
        <f t="shared" si="43"/>
        <v>665</v>
      </c>
      <c r="K151">
        <v>33</v>
      </c>
      <c r="N151" s="51">
        <f>680</f>
        <v>680</v>
      </c>
    </row>
    <row r="152" spans="1:17">
      <c r="A152" s="80" t="s">
        <v>828</v>
      </c>
      <c r="B152" s="4">
        <v>10</v>
      </c>
      <c r="C152" s="4">
        <v>8</v>
      </c>
      <c r="D152" s="4">
        <v>65</v>
      </c>
      <c r="E152" s="4">
        <v>1</v>
      </c>
      <c r="F152" s="4">
        <v>50</v>
      </c>
      <c r="G152" s="10">
        <f t="shared" si="37"/>
        <v>10.133333333333333</v>
      </c>
      <c r="H152" s="4">
        <v>50</v>
      </c>
      <c r="I152" s="5">
        <f t="shared" si="42"/>
        <v>658.66666666666663</v>
      </c>
      <c r="J152" s="5">
        <f t="shared" si="43"/>
        <v>608.66666666666663</v>
      </c>
      <c r="K152">
        <v>32</v>
      </c>
      <c r="N152" s="51">
        <v>726</v>
      </c>
      <c r="P152" t="s">
        <v>879</v>
      </c>
    </row>
    <row r="153" spans="1:17">
      <c r="A153" s="80" t="s">
        <v>830</v>
      </c>
      <c r="B153" s="4">
        <v>0</v>
      </c>
      <c r="C153" s="4">
        <v>0</v>
      </c>
      <c r="D153" s="4">
        <v>45</v>
      </c>
      <c r="E153" s="4">
        <v>0</v>
      </c>
      <c r="F153" s="4">
        <v>0</v>
      </c>
      <c r="G153" s="10">
        <f t="shared" si="37"/>
        <v>0</v>
      </c>
      <c r="H153" s="4">
        <v>0</v>
      </c>
      <c r="I153" s="5">
        <f t="shared" si="42"/>
        <v>0</v>
      </c>
      <c r="J153" s="5">
        <f t="shared" si="43"/>
        <v>0</v>
      </c>
      <c r="K153">
        <v>0</v>
      </c>
      <c r="N153" s="51">
        <v>0</v>
      </c>
    </row>
    <row r="154" spans="1:17">
      <c r="A154" s="80" t="s">
        <v>831</v>
      </c>
      <c r="B154" s="4">
        <v>0</v>
      </c>
      <c r="C154" s="4">
        <v>0</v>
      </c>
      <c r="D154" s="4">
        <v>45</v>
      </c>
      <c r="E154" s="4">
        <v>0</v>
      </c>
      <c r="F154" s="4">
        <v>0</v>
      </c>
      <c r="G154" s="10">
        <f t="shared" si="37"/>
        <v>0</v>
      </c>
      <c r="H154" s="4">
        <v>0</v>
      </c>
      <c r="I154" s="5">
        <f t="shared" si="42"/>
        <v>0</v>
      </c>
      <c r="J154" s="5">
        <f t="shared" si="43"/>
        <v>0</v>
      </c>
      <c r="K154">
        <v>0</v>
      </c>
      <c r="N154" s="51">
        <v>0</v>
      </c>
    </row>
    <row r="155" spans="1:17" ht="19">
      <c r="A155" s="91" t="s">
        <v>880</v>
      </c>
      <c r="B155" s="8">
        <f>SUM(B156:B162)</f>
        <v>66</v>
      </c>
      <c r="C155" s="8">
        <f>SUM(C156:C162)</f>
        <v>171</v>
      </c>
      <c r="D155" s="126">
        <f>SUM(D156)</f>
        <v>55</v>
      </c>
      <c r="E155" s="126">
        <f>SUM(E156:E162)</f>
        <v>7</v>
      </c>
      <c r="F155" s="126">
        <f>SUM(F156:F162)</f>
        <v>350</v>
      </c>
      <c r="G155" s="123">
        <f t="shared" si="37"/>
        <v>68.849999999999994</v>
      </c>
      <c r="H155" s="8">
        <f>SUM(H156:H162)</f>
        <v>350</v>
      </c>
      <c r="I155" s="14">
        <f>SUM(I156:I162)</f>
        <v>4170.75</v>
      </c>
      <c r="J155" s="14">
        <f>SUM(J156:J162)</f>
        <v>3820.75</v>
      </c>
      <c r="K155" s="8">
        <f>SUM(K156:K162)</f>
        <v>235</v>
      </c>
      <c r="L155" s="9">
        <v>0</v>
      </c>
      <c r="M155" s="96">
        <f>J155</f>
        <v>3820.75</v>
      </c>
      <c r="N155" s="102">
        <f>SUM(N156:N162)</f>
        <v>5665</v>
      </c>
      <c r="O155" s="98">
        <f>5460-N155</f>
        <v>-205</v>
      </c>
      <c r="P155" s="86"/>
      <c r="Q155" s="86"/>
    </row>
    <row r="156" spans="1:17">
      <c r="A156" s="80" t="s">
        <v>820</v>
      </c>
      <c r="B156" s="4">
        <v>10</v>
      </c>
      <c r="C156" s="4">
        <v>0</v>
      </c>
      <c r="D156" s="4">
        <v>55</v>
      </c>
      <c r="E156" s="4">
        <v>1</v>
      </c>
      <c r="F156" s="4">
        <v>50</v>
      </c>
      <c r="G156" s="10">
        <f t="shared" si="37"/>
        <v>10</v>
      </c>
      <c r="H156" s="4">
        <v>50</v>
      </c>
      <c r="I156" s="5">
        <f t="shared" ref="I156:I162" si="44">G156*D156</f>
        <v>550</v>
      </c>
      <c r="J156" s="5">
        <f t="shared" ref="J156:J162" si="45">I156-H156</f>
        <v>500</v>
      </c>
      <c r="K156">
        <v>30</v>
      </c>
      <c r="N156" s="51">
        <v>875</v>
      </c>
      <c r="O156" s="51"/>
      <c r="P156" t="s">
        <v>881</v>
      </c>
    </row>
    <row r="157" spans="1:17">
      <c r="A157" s="80" t="s">
        <v>822</v>
      </c>
      <c r="B157" s="4">
        <v>10</v>
      </c>
      <c r="C157" s="4">
        <v>47</v>
      </c>
      <c r="D157" s="4">
        <v>55</v>
      </c>
      <c r="E157" s="4">
        <v>1</v>
      </c>
      <c r="F157" s="4">
        <v>50</v>
      </c>
      <c r="G157" s="10">
        <f t="shared" si="37"/>
        <v>10.783333333333333</v>
      </c>
      <c r="H157" s="4">
        <v>50</v>
      </c>
      <c r="I157" s="5">
        <f t="shared" si="44"/>
        <v>593.08333333333337</v>
      </c>
      <c r="J157" s="5">
        <f t="shared" si="45"/>
        <v>543.08333333333337</v>
      </c>
      <c r="K157">
        <v>28</v>
      </c>
      <c r="N157" s="51">
        <v>766</v>
      </c>
      <c r="P157" t="s">
        <v>882</v>
      </c>
    </row>
    <row r="158" spans="1:17">
      <c r="A158" s="80" t="s">
        <v>824</v>
      </c>
      <c r="B158" s="4">
        <v>9</v>
      </c>
      <c r="C158" s="4">
        <v>40</v>
      </c>
      <c r="D158" s="4">
        <v>55</v>
      </c>
      <c r="E158" s="4">
        <v>1</v>
      </c>
      <c r="F158" s="4">
        <v>50</v>
      </c>
      <c r="G158" s="10">
        <f t="shared" si="37"/>
        <v>9.6666666666666661</v>
      </c>
      <c r="H158" s="4">
        <v>50</v>
      </c>
      <c r="I158" s="5">
        <f t="shared" si="44"/>
        <v>531.66666666666663</v>
      </c>
      <c r="J158" s="5">
        <f t="shared" si="45"/>
        <v>481.66666666666663</v>
      </c>
      <c r="K158">
        <v>28</v>
      </c>
      <c r="N158" s="51">
        <f>561</f>
        <v>561</v>
      </c>
      <c r="P158" t="s">
        <v>883</v>
      </c>
      <c r="Q158" t="s">
        <v>64</v>
      </c>
    </row>
    <row r="159" spans="1:17">
      <c r="A159" s="80" t="s">
        <v>826</v>
      </c>
      <c r="B159" s="4">
        <v>10</v>
      </c>
      <c r="C159" s="4">
        <v>15</v>
      </c>
      <c r="D159" s="4">
        <v>65</v>
      </c>
      <c r="E159" s="4">
        <v>1</v>
      </c>
      <c r="F159" s="4">
        <v>50</v>
      </c>
      <c r="G159" s="10">
        <f t="shared" si="37"/>
        <v>10.25</v>
      </c>
      <c r="H159" s="4">
        <v>50</v>
      </c>
      <c r="I159" s="5">
        <f t="shared" si="44"/>
        <v>666.25</v>
      </c>
      <c r="J159" s="5">
        <f t="shared" si="45"/>
        <v>616.25</v>
      </c>
      <c r="K159">
        <v>39</v>
      </c>
      <c r="N159" s="51">
        <f>854</f>
        <v>854</v>
      </c>
      <c r="P159" t="s">
        <v>884</v>
      </c>
    </row>
    <row r="160" spans="1:17">
      <c r="A160" s="80" t="s">
        <v>828</v>
      </c>
      <c r="B160" s="4">
        <v>9</v>
      </c>
      <c r="C160" s="4">
        <v>26</v>
      </c>
      <c r="D160" s="4">
        <v>65</v>
      </c>
      <c r="E160" s="4">
        <v>1</v>
      </c>
      <c r="F160" s="4">
        <v>50</v>
      </c>
      <c r="G160" s="10">
        <f t="shared" ref="G160:G185" si="46">B160+C160/60</f>
        <v>9.4333333333333336</v>
      </c>
      <c r="H160" s="4">
        <v>50</v>
      </c>
      <c r="I160" s="5">
        <f t="shared" si="44"/>
        <v>613.16666666666663</v>
      </c>
      <c r="J160" s="5">
        <f t="shared" si="45"/>
        <v>563.16666666666663</v>
      </c>
      <c r="K160">
        <v>36</v>
      </c>
      <c r="N160" s="51">
        <v>810</v>
      </c>
      <c r="P160" t="s">
        <v>885</v>
      </c>
    </row>
    <row r="161" spans="1:17">
      <c r="A161" s="80" t="s">
        <v>830</v>
      </c>
      <c r="B161" s="4">
        <v>9</v>
      </c>
      <c r="C161" s="4">
        <v>9</v>
      </c>
      <c r="D161" s="4">
        <v>65</v>
      </c>
      <c r="E161" s="4">
        <v>1</v>
      </c>
      <c r="F161" s="4">
        <v>50</v>
      </c>
      <c r="G161" s="10">
        <f t="shared" si="46"/>
        <v>9.15</v>
      </c>
      <c r="H161" s="4">
        <v>50</v>
      </c>
      <c r="I161" s="5">
        <f t="shared" si="44"/>
        <v>594.75</v>
      </c>
      <c r="J161" s="5">
        <f t="shared" si="45"/>
        <v>544.75</v>
      </c>
      <c r="K161">
        <v>35</v>
      </c>
      <c r="N161" s="51">
        <v>880</v>
      </c>
      <c r="P161" t="s">
        <v>886</v>
      </c>
    </row>
    <row r="162" spans="1:17">
      <c r="A162" s="80" t="s">
        <v>831</v>
      </c>
      <c r="B162" s="4">
        <v>9</v>
      </c>
      <c r="C162" s="4">
        <v>34</v>
      </c>
      <c r="D162" s="4">
        <v>65</v>
      </c>
      <c r="E162" s="4">
        <v>1</v>
      </c>
      <c r="F162" s="4">
        <v>50</v>
      </c>
      <c r="G162" s="10">
        <f t="shared" si="46"/>
        <v>9.5666666666666664</v>
      </c>
      <c r="H162" s="4">
        <v>50</v>
      </c>
      <c r="I162" s="5">
        <f t="shared" si="44"/>
        <v>621.83333333333337</v>
      </c>
      <c r="J162" s="5">
        <f t="shared" si="45"/>
        <v>571.83333333333337</v>
      </c>
      <c r="K162">
        <v>39</v>
      </c>
      <c r="N162" s="51">
        <v>919</v>
      </c>
      <c r="P162" t="s">
        <v>887</v>
      </c>
    </row>
    <row r="163" spans="1:17" ht="19">
      <c r="A163" s="91" t="s">
        <v>888</v>
      </c>
      <c r="B163" s="8">
        <f>SUM(B164:B170)</f>
        <v>15</v>
      </c>
      <c r="C163" s="8">
        <f>SUM(C164:C170)</f>
        <v>23</v>
      </c>
      <c r="D163" s="8">
        <f>SUM(D164)</f>
        <v>45</v>
      </c>
      <c r="E163" s="8">
        <f>SUM(E164:E170)</f>
        <v>7</v>
      </c>
      <c r="F163" s="8">
        <f>SUM(F164:F170)</f>
        <v>350</v>
      </c>
      <c r="G163" s="93">
        <f t="shared" si="46"/>
        <v>15.383333333333333</v>
      </c>
      <c r="H163" s="92">
        <f>SUM(H164:H170)</f>
        <v>100</v>
      </c>
      <c r="I163" s="9">
        <f>SUM(I164:I170)</f>
        <v>692.25</v>
      </c>
      <c r="J163" s="14">
        <f>SUM(J164:J170)</f>
        <v>592.25</v>
      </c>
      <c r="K163" s="8">
        <f>SUM(K164:K170)</f>
        <v>25</v>
      </c>
      <c r="L163" s="9">
        <v>0</v>
      </c>
      <c r="M163" s="96">
        <f>J163</f>
        <v>592.25</v>
      </c>
      <c r="N163" s="102">
        <f>SUM(N164:N170)</f>
        <v>580</v>
      </c>
      <c r="O163" s="98">
        <f>482-N163</f>
        <v>-98</v>
      </c>
      <c r="P163" s="86"/>
      <c r="Q163" s="86"/>
    </row>
    <row r="164" spans="1:17">
      <c r="A164" s="6">
        <v>46132</v>
      </c>
      <c r="B164" s="4">
        <v>0</v>
      </c>
      <c r="C164" s="4">
        <v>0</v>
      </c>
      <c r="D164" s="4">
        <v>45</v>
      </c>
      <c r="E164" s="4">
        <v>1</v>
      </c>
      <c r="F164" s="4">
        <v>50</v>
      </c>
      <c r="G164" s="144">
        <f t="shared" si="46"/>
        <v>0</v>
      </c>
      <c r="H164" s="167">
        <v>0</v>
      </c>
      <c r="I164" s="142">
        <f t="shared" ref="I164:I170" si="47">G164*D164</f>
        <v>0</v>
      </c>
      <c r="J164" s="5">
        <f t="shared" ref="J164:J170" si="48">I164-H164</f>
        <v>0</v>
      </c>
      <c r="K164">
        <v>0</v>
      </c>
      <c r="N164" s="51">
        <v>0</v>
      </c>
      <c r="O164" s="51"/>
      <c r="P164" s="115"/>
    </row>
    <row r="165" spans="1:17">
      <c r="A165" s="6">
        <v>46133</v>
      </c>
      <c r="B165" s="4">
        <v>0</v>
      </c>
      <c r="C165" s="4">
        <v>0</v>
      </c>
      <c r="D165" s="4">
        <v>65</v>
      </c>
      <c r="E165" s="4">
        <v>1</v>
      </c>
      <c r="F165" s="4">
        <v>50</v>
      </c>
      <c r="G165" s="144">
        <f t="shared" si="46"/>
        <v>0</v>
      </c>
      <c r="H165" s="167">
        <v>0</v>
      </c>
      <c r="I165" s="142">
        <f t="shared" si="47"/>
        <v>0</v>
      </c>
      <c r="J165" s="5">
        <f t="shared" si="48"/>
        <v>0</v>
      </c>
      <c r="K165">
        <v>0</v>
      </c>
      <c r="N165" s="51">
        <v>0</v>
      </c>
    </row>
    <row r="166" spans="1:17">
      <c r="A166" s="6">
        <v>46134</v>
      </c>
      <c r="B166" s="4">
        <v>0</v>
      </c>
      <c r="C166" s="4">
        <v>0</v>
      </c>
      <c r="D166" s="4">
        <v>65</v>
      </c>
      <c r="E166" s="4">
        <v>1</v>
      </c>
      <c r="F166" s="4">
        <v>50</v>
      </c>
      <c r="G166" s="144">
        <f t="shared" si="46"/>
        <v>0</v>
      </c>
      <c r="H166" s="167">
        <v>0</v>
      </c>
      <c r="I166" s="142">
        <f t="shared" si="47"/>
        <v>0</v>
      </c>
      <c r="J166" s="5">
        <f t="shared" si="48"/>
        <v>0</v>
      </c>
      <c r="K166">
        <v>0</v>
      </c>
      <c r="N166" s="51">
        <v>0</v>
      </c>
      <c r="Q166" t="s">
        <v>64</v>
      </c>
    </row>
    <row r="167" spans="1:17">
      <c r="A167" s="6">
        <v>46135</v>
      </c>
      <c r="B167" s="4">
        <v>0</v>
      </c>
      <c r="C167" s="4">
        <v>0</v>
      </c>
      <c r="D167" s="4">
        <v>45</v>
      </c>
      <c r="E167" s="4">
        <v>1</v>
      </c>
      <c r="F167" s="4">
        <v>50</v>
      </c>
      <c r="G167" s="144">
        <f t="shared" si="46"/>
        <v>0</v>
      </c>
      <c r="H167" s="167">
        <v>0</v>
      </c>
      <c r="I167" s="142">
        <f t="shared" si="47"/>
        <v>0</v>
      </c>
      <c r="J167" s="5">
        <f t="shared" si="48"/>
        <v>0</v>
      </c>
      <c r="K167">
        <v>0</v>
      </c>
      <c r="N167" s="51">
        <v>0</v>
      </c>
    </row>
    <row r="168" spans="1:17">
      <c r="A168" s="6">
        <v>46136</v>
      </c>
      <c r="B168" s="4">
        <v>0</v>
      </c>
      <c r="C168" s="4">
        <v>0</v>
      </c>
      <c r="D168" s="4">
        <v>45</v>
      </c>
      <c r="E168" s="4">
        <v>1</v>
      </c>
      <c r="F168" s="4">
        <v>50</v>
      </c>
      <c r="G168" s="144">
        <f t="shared" si="46"/>
        <v>0</v>
      </c>
      <c r="H168" s="167">
        <v>0</v>
      </c>
      <c r="I168" s="142">
        <f t="shared" si="47"/>
        <v>0</v>
      </c>
      <c r="J168" s="5">
        <f t="shared" si="48"/>
        <v>0</v>
      </c>
      <c r="K168">
        <v>0</v>
      </c>
      <c r="N168" s="51">
        <v>0</v>
      </c>
    </row>
    <row r="169" spans="1:17">
      <c r="A169" s="6">
        <v>46137</v>
      </c>
      <c r="B169" s="4">
        <v>7</v>
      </c>
      <c r="C169" s="4">
        <v>12</v>
      </c>
      <c r="D169" s="4">
        <v>45</v>
      </c>
      <c r="E169" s="4">
        <v>1</v>
      </c>
      <c r="F169" s="4">
        <v>50</v>
      </c>
      <c r="G169" s="10">
        <f t="shared" si="46"/>
        <v>7.2</v>
      </c>
      <c r="H169" s="141">
        <v>50</v>
      </c>
      <c r="I169" s="5">
        <f t="shared" si="47"/>
        <v>324</v>
      </c>
      <c r="J169" s="5">
        <f t="shared" si="48"/>
        <v>274</v>
      </c>
      <c r="K169">
        <v>10</v>
      </c>
      <c r="N169" s="51">
        <v>240</v>
      </c>
    </row>
    <row r="170" spans="1:17">
      <c r="A170" s="6">
        <v>46138</v>
      </c>
      <c r="B170" s="4">
        <v>8</v>
      </c>
      <c r="C170" s="4">
        <v>11</v>
      </c>
      <c r="D170" s="4">
        <v>45</v>
      </c>
      <c r="E170" s="4">
        <v>1</v>
      </c>
      <c r="F170" s="4">
        <v>50</v>
      </c>
      <c r="G170" s="10">
        <f t="shared" si="46"/>
        <v>8.1833333333333336</v>
      </c>
      <c r="H170" s="4">
        <v>50</v>
      </c>
      <c r="I170" s="5">
        <f t="shared" si="47"/>
        <v>368.25</v>
      </c>
      <c r="J170" s="5">
        <f t="shared" si="48"/>
        <v>318.25</v>
      </c>
      <c r="K170">
        <v>15</v>
      </c>
      <c r="N170" s="51">
        <v>340</v>
      </c>
    </row>
    <row r="171" spans="1:17" ht="19">
      <c r="A171" s="91" t="s">
        <v>889</v>
      </c>
      <c r="B171" s="8">
        <f>SUM(B172:B177)</f>
        <v>49</v>
      </c>
      <c r="C171" s="8">
        <f>SUM(C172:C177)</f>
        <v>208</v>
      </c>
      <c r="D171" s="126">
        <f>SUM(D172)</f>
        <v>55</v>
      </c>
      <c r="E171" s="126">
        <f>SUM(E172:E177)</f>
        <v>6</v>
      </c>
      <c r="F171" s="126">
        <f>SUM(F172:F177)</f>
        <v>300</v>
      </c>
      <c r="G171" s="123">
        <f t="shared" ref="G171:G177" si="49">B171+C171/60</f>
        <v>52.466666666666669</v>
      </c>
      <c r="H171" s="8">
        <f>SUM(H172:H177)</f>
        <v>300</v>
      </c>
      <c r="I171" s="14">
        <f>SUM(I172:I177)</f>
        <v>2553.5</v>
      </c>
      <c r="J171" s="14">
        <f t="shared" ref="J171:K171" si="50">SUM(J172:J177)</f>
        <v>2253.5</v>
      </c>
      <c r="K171" s="176">
        <f t="shared" si="50"/>
        <v>151</v>
      </c>
      <c r="L171" s="9">
        <v>0</v>
      </c>
      <c r="M171" s="96">
        <f>J171</f>
        <v>2253.5</v>
      </c>
      <c r="N171" s="102">
        <f>SUM(N172:N177)</f>
        <v>3428</v>
      </c>
      <c r="O171" s="98">
        <f>3486-N171</f>
        <v>58</v>
      </c>
      <c r="P171" s="86"/>
      <c r="Q171" s="86"/>
    </row>
    <row r="172" spans="1:17">
      <c r="A172" s="80" t="s">
        <v>820</v>
      </c>
      <c r="B172" s="4">
        <v>9</v>
      </c>
      <c r="C172" s="4">
        <v>52</v>
      </c>
      <c r="D172" s="4">
        <v>55</v>
      </c>
      <c r="E172" s="4">
        <v>1</v>
      </c>
      <c r="F172" s="4">
        <v>50</v>
      </c>
      <c r="G172" s="10">
        <f t="shared" si="49"/>
        <v>9.8666666666666671</v>
      </c>
      <c r="H172" s="4">
        <v>50</v>
      </c>
      <c r="I172" s="5">
        <f t="shared" ref="I172:I177" si="51">G172*D172</f>
        <v>542.66666666666674</v>
      </c>
      <c r="J172" s="5">
        <f t="shared" ref="J172:J177" si="52">I172-H172</f>
        <v>492.66666666666674</v>
      </c>
      <c r="K172">
        <v>27</v>
      </c>
      <c r="N172" s="51">
        <f>532</f>
        <v>532</v>
      </c>
      <c r="O172" s="51"/>
    </row>
    <row r="173" spans="1:17">
      <c r="A173" s="80" t="s">
        <v>822</v>
      </c>
      <c r="B173" s="4">
        <v>8</v>
      </c>
      <c r="C173" s="4">
        <v>36</v>
      </c>
      <c r="D173" s="4">
        <v>45</v>
      </c>
      <c r="E173" s="4">
        <v>1</v>
      </c>
      <c r="F173" s="4">
        <v>50</v>
      </c>
      <c r="G173" s="10">
        <f t="shared" si="49"/>
        <v>8.6</v>
      </c>
      <c r="H173" s="4">
        <v>50</v>
      </c>
      <c r="I173" s="5">
        <f t="shared" si="51"/>
        <v>387</v>
      </c>
      <c r="J173" s="5">
        <f t="shared" si="52"/>
        <v>337</v>
      </c>
      <c r="K173">
        <v>24</v>
      </c>
      <c r="N173" s="51">
        <v>890</v>
      </c>
      <c r="P173" t="s">
        <v>890</v>
      </c>
    </row>
    <row r="174" spans="1:17">
      <c r="A174" s="80" t="s">
        <v>824</v>
      </c>
      <c r="B174" s="4">
        <v>8</v>
      </c>
      <c r="C174" s="4">
        <v>42</v>
      </c>
      <c r="D174" s="4">
        <v>45</v>
      </c>
      <c r="E174" s="4">
        <v>1</v>
      </c>
      <c r="F174" s="4">
        <v>50</v>
      </c>
      <c r="G174" s="10">
        <f t="shared" si="49"/>
        <v>8.6999999999999993</v>
      </c>
      <c r="H174" s="4">
        <v>50</v>
      </c>
      <c r="I174" s="5">
        <f t="shared" si="51"/>
        <v>391.49999999999994</v>
      </c>
      <c r="J174" s="5">
        <f t="shared" si="52"/>
        <v>341.49999999999994</v>
      </c>
      <c r="K174">
        <v>25</v>
      </c>
      <c r="N174" s="51">
        <v>329</v>
      </c>
      <c r="P174" t="s">
        <v>891</v>
      </c>
    </row>
    <row r="175" spans="1:17">
      <c r="A175" s="80" t="s">
        <v>826</v>
      </c>
      <c r="B175" s="4">
        <v>9</v>
      </c>
      <c r="C175" s="4">
        <v>33</v>
      </c>
      <c r="D175" s="4">
        <v>45</v>
      </c>
      <c r="E175" s="4">
        <v>1</v>
      </c>
      <c r="F175" s="4">
        <v>50</v>
      </c>
      <c r="G175" s="10">
        <f t="shared" si="49"/>
        <v>9.5500000000000007</v>
      </c>
      <c r="H175" s="4">
        <v>50</v>
      </c>
      <c r="I175" s="5">
        <f t="shared" si="51"/>
        <v>429.75000000000006</v>
      </c>
      <c r="J175" s="5">
        <f t="shared" si="52"/>
        <v>379.75000000000006</v>
      </c>
      <c r="K175">
        <v>25</v>
      </c>
      <c r="N175" s="51">
        <f>512+200</f>
        <v>712</v>
      </c>
      <c r="P175" t="s">
        <v>892</v>
      </c>
    </row>
    <row r="176" spans="1:17">
      <c r="A176" s="80" t="s">
        <v>828</v>
      </c>
      <c r="B176" s="4">
        <v>9</v>
      </c>
      <c r="C176" s="4">
        <v>23</v>
      </c>
      <c r="D176" s="4">
        <v>55</v>
      </c>
      <c r="E176" s="4">
        <v>1</v>
      </c>
      <c r="F176" s="4">
        <v>50</v>
      </c>
      <c r="G176" s="10">
        <f t="shared" si="49"/>
        <v>9.3833333333333329</v>
      </c>
      <c r="H176" s="4">
        <v>50</v>
      </c>
      <c r="I176" s="5">
        <f t="shared" si="51"/>
        <v>516.08333333333326</v>
      </c>
      <c r="J176" s="5">
        <f t="shared" si="52"/>
        <v>466.08333333333326</v>
      </c>
      <c r="K176">
        <v>28</v>
      </c>
      <c r="N176" s="51">
        <f>349+150</f>
        <v>499</v>
      </c>
      <c r="P176" t="s">
        <v>843</v>
      </c>
    </row>
    <row r="177" spans="1:17">
      <c r="A177" s="80" t="s">
        <v>830</v>
      </c>
      <c r="B177" s="4">
        <v>6</v>
      </c>
      <c r="C177" s="4">
        <v>22</v>
      </c>
      <c r="D177" s="4">
        <v>45</v>
      </c>
      <c r="E177" s="4">
        <v>1</v>
      </c>
      <c r="F177" s="4">
        <v>50</v>
      </c>
      <c r="G177" s="10">
        <f t="shared" si="49"/>
        <v>6.3666666666666663</v>
      </c>
      <c r="H177" s="4">
        <v>50</v>
      </c>
      <c r="I177" s="5">
        <f t="shared" si="51"/>
        <v>286.5</v>
      </c>
      <c r="J177" s="5">
        <f t="shared" si="52"/>
        <v>236.5</v>
      </c>
      <c r="K177">
        <v>22</v>
      </c>
      <c r="N177" s="51">
        <f>316+150</f>
        <v>466</v>
      </c>
      <c r="P177" t="s">
        <v>893</v>
      </c>
    </row>
    <row r="178" spans="1:17" ht="19">
      <c r="A178" s="91" t="s">
        <v>894</v>
      </c>
      <c r="B178" s="8">
        <f>SUM(B179:B185)</f>
        <v>10</v>
      </c>
      <c r="C178" s="8">
        <f>SUM(C179:C185)</f>
        <v>1</v>
      </c>
      <c r="D178" s="126">
        <f>SUM(D179)</f>
        <v>65</v>
      </c>
      <c r="E178" s="126">
        <f>SUM(E179:E185)</f>
        <v>1</v>
      </c>
      <c r="F178" s="126">
        <f>SUM(F179:F185)</f>
        <v>350</v>
      </c>
      <c r="G178" s="123">
        <f t="shared" si="46"/>
        <v>10.016666666666667</v>
      </c>
      <c r="H178" s="8">
        <f>SUM(H179:H185)</f>
        <v>50</v>
      </c>
      <c r="I178" s="14">
        <f>SUM(I179:I185)</f>
        <v>651.08333333333337</v>
      </c>
      <c r="J178" s="14">
        <f>SUM(J179:J185)</f>
        <v>601.08333333333337</v>
      </c>
      <c r="K178" s="8">
        <f>SUM(K179:K185)</f>
        <v>33</v>
      </c>
      <c r="L178" s="9">
        <v>0</v>
      </c>
      <c r="M178" s="96">
        <f>J178</f>
        <v>601.08333333333337</v>
      </c>
      <c r="N178" s="102">
        <f>SUM(N179:N185)</f>
        <v>958</v>
      </c>
      <c r="O178" s="98">
        <f>958-N178</f>
        <v>0</v>
      </c>
      <c r="P178" s="86"/>
      <c r="Q178" s="86"/>
    </row>
    <row r="179" spans="1:17">
      <c r="A179" s="80" t="s">
        <v>820</v>
      </c>
      <c r="B179" s="4">
        <v>10</v>
      </c>
      <c r="C179" s="4">
        <v>1</v>
      </c>
      <c r="D179" s="4">
        <v>65</v>
      </c>
      <c r="E179" s="4">
        <v>1</v>
      </c>
      <c r="F179" s="4">
        <v>50</v>
      </c>
      <c r="G179" s="10">
        <f t="shared" si="46"/>
        <v>10.016666666666667</v>
      </c>
      <c r="H179" s="4">
        <v>50</v>
      </c>
      <c r="I179" s="5">
        <f>G179*D179</f>
        <v>651.08333333333337</v>
      </c>
      <c r="J179" s="5">
        <f>I179-H179</f>
        <v>601.08333333333337</v>
      </c>
      <c r="K179">
        <v>33</v>
      </c>
      <c r="N179" s="51">
        <f>958</f>
        <v>958</v>
      </c>
      <c r="O179" s="51"/>
    </row>
    <row r="180" spans="1:17">
      <c r="A180" s="80" t="s">
        <v>822</v>
      </c>
      <c r="B180" s="4">
        <v>0</v>
      </c>
      <c r="C180" s="4">
        <v>0</v>
      </c>
      <c r="D180" s="4">
        <v>55</v>
      </c>
      <c r="E180" s="4">
        <v>0</v>
      </c>
      <c r="F180" s="4">
        <v>50</v>
      </c>
      <c r="G180" s="10">
        <f t="shared" si="46"/>
        <v>0</v>
      </c>
      <c r="H180" s="4">
        <v>0</v>
      </c>
      <c r="I180" s="5">
        <f>G180*D180</f>
        <v>0</v>
      </c>
      <c r="J180" s="5">
        <f>I180-H180</f>
        <v>0</v>
      </c>
      <c r="K180">
        <v>0</v>
      </c>
      <c r="N180" s="83">
        <v>0</v>
      </c>
    </row>
    <row r="181" spans="1:17">
      <c r="A181" s="80" t="s">
        <v>824</v>
      </c>
      <c r="B181" s="4">
        <v>0</v>
      </c>
      <c r="C181" s="4">
        <v>0</v>
      </c>
      <c r="D181" s="4">
        <v>45</v>
      </c>
      <c r="E181" s="4">
        <v>0</v>
      </c>
      <c r="F181" s="4">
        <v>50</v>
      </c>
      <c r="G181" s="10">
        <f t="shared" si="46"/>
        <v>0</v>
      </c>
      <c r="H181" s="4">
        <v>0</v>
      </c>
      <c r="I181" s="5">
        <v>0</v>
      </c>
      <c r="J181" s="5">
        <f>I181-H181</f>
        <v>0</v>
      </c>
      <c r="K181">
        <v>0</v>
      </c>
      <c r="N181" s="83">
        <v>0</v>
      </c>
      <c r="Q181" t="s">
        <v>64</v>
      </c>
    </row>
    <row r="182" spans="1:17">
      <c r="A182" s="80" t="s">
        <v>826</v>
      </c>
      <c r="B182" s="4">
        <v>0</v>
      </c>
      <c r="C182" s="4">
        <v>0</v>
      </c>
      <c r="D182" s="4">
        <v>45</v>
      </c>
      <c r="E182" s="4">
        <v>0</v>
      </c>
      <c r="F182" s="4">
        <v>50</v>
      </c>
      <c r="G182" s="10">
        <f t="shared" si="46"/>
        <v>0</v>
      </c>
      <c r="H182" s="4">
        <v>0</v>
      </c>
      <c r="I182" s="5">
        <f>G182*D182</f>
        <v>0</v>
      </c>
      <c r="J182" s="5"/>
      <c r="K182">
        <v>0</v>
      </c>
      <c r="N182" s="83">
        <v>0</v>
      </c>
    </row>
    <row r="183" spans="1:17">
      <c r="A183" s="80" t="s">
        <v>828</v>
      </c>
      <c r="B183" s="4">
        <v>0</v>
      </c>
      <c r="C183" s="4">
        <v>0</v>
      </c>
      <c r="D183" s="4">
        <v>45</v>
      </c>
      <c r="E183" s="4">
        <v>0</v>
      </c>
      <c r="F183" s="4">
        <v>50</v>
      </c>
      <c r="G183" s="10">
        <f t="shared" si="46"/>
        <v>0</v>
      </c>
      <c r="H183" s="4">
        <v>0</v>
      </c>
      <c r="I183" s="5">
        <f>G183*D183</f>
        <v>0</v>
      </c>
      <c r="J183" s="5">
        <f>I183-H183</f>
        <v>0</v>
      </c>
      <c r="K183">
        <v>0</v>
      </c>
      <c r="N183" s="51">
        <v>0</v>
      </c>
    </row>
    <row r="184" spans="1:17">
      <c r="A184" s="80" t="s">
        <v>830</v>
      </c>
      <c r="B184" s="4">
        <v>0</v>
      </c>
      <c r="C184" s="4">
        <v>0</v>
      </c>
      <c r="D184" s="4">
        <v>45</v>
      </c>
      <c r="E184" s="4">
        <v>0</v>
      </c>
      <c r="F184" s="4">
        <v>50</v>
      </c>
      <c r="G184" s="10">
        <f t="shared" si="46"/>
        <v>0</v>
      </c>
      <c r="H184" s="4">
        <v>0</v>
      </c>
      <c r="I184" s="5">
        <f>G184*D184</f>
        <v>0</v>
      </c>
      <c r="J184" s="5">
        <f>I184-H184</f>
        <v>0</v>
      </c>
      <c r="K184">
        <v>0</v>
      </c>
      <c r="N184" s="51">
        <v>0</v>
      </c>
    </row>
    <row r="185" spans="1:17">
      <c r="A185" s="80" t="s">
        <v>831</v>
      </c>
      <c r="B185" s="4">
        <v>0</v>
      </c>
      <c r="C185" s="4">
        <v>0</v>
      </c>
      <c r="D185" s="4">
        <v>45</v>
      </c>
      <c r="E185" s="4">
        <v>0</v>
      </c>
      <c r="F185" s="4">
        <v>50</v>
      </c>
      <c r="G185" s="10">
        <f t="shared" si="46"/>
        <v>0</v>
      </c>
      <c r="H185" s="4">
        <v>0</v>
      </c>
      <c r="I185" s="5">
        <f>G185*D185</f>
        <v>0</v>
      </c>
      <c r="J185" s="5">
        <f>I185-H185</f>
        <v>0</v>
      </c>
      <c r="K185">
        <v>0</v>
      </c>
      <c r="N185" s="51">
        <v>0</v>
      </c>
    </row>
    <row r="186" spans="1:17" ht="19">
      <c r="A186" s="91" t="s">
        <v>895</v>
      </c>
      <c r="B186" s="8">
        <f>SUM(B187:B193)</f>
        <v>66</v>
      </c>
      <c r="C186" s="8">
        <f>SUM(C187:C193)</f>
        <v>127</v>
      </c>
      <c r="D186" s="126">
        <f>SUM(D187)</f>
        <v>65</v>
      </c>
      <c r="E186" s="126">
        <f>SUM(E187:E193)</f>
        <v>7</v>
      </c>
      <c r="F186" s="126">
        <f>SUM(F187:F193)</f>
        <v>350</v>
      </c>
      <c r="G186" s="123">
        <f t="shared" ref="G186:G193" si="53">B186+C186/60</f>
        <v>68.11666666666666</v>
      </c>
      <c r="H186" s="8">
        <f>SUM(H187:H193)</f>
        <v>350</v>
      </c>
      <c r="I186" s="14">
        <f>SUM(I187:I193)</f>
        <v>4427.583333333333</v>
      </c>
      <c r="J186" s="14">
        <f>SUM(J187:J193)</f>
        <v>4077.583333333333</v>
      </c>
      <c r="K186" s="8">
        <f>SUM(K187:K193)</f>
        <v>236</v>
      </c>
      <c r="L186" s="9">
        <v>300</v>
      </c>
      <c r="M186" s="96">
        <f>J186+L186</f>
        <v>4377.583333333333</v>
      </c>
      <c r="N186" s="102">
        <f>SUM(N187:N193)</f>
        <v>4966.5</v>
      </c>
      <c r="O186" s="98">
        <f>4967-N186</f>
        <v>0.5</v>
      </c>
      <c r="P186" s="86"/>
      <c r="Q186" s="86"/>
    </row>
    <row r="187" spans="1:17">
      <c r="A187" s="80" t="s">
        <v>820</v>
      </c>
      <c r="B187" s="4">
        <v>11</v>
      </c>
      <c r="C187" s="4">
        <v>0</v>
      </c>
      <c r="D187" s="4">
        <v>65</v>
      </c>
      <c r="E187" s="4">
        <v>1</v>
      </c>
      <c r="F187" s="4">
        <v>50</v>
      </c>
      <c r="G187" s="10">
        <f t="shared" si="53"/>
        <v>11</v>
      </c>
      <c r="H187" s="4">
        <v>50</v>
      </c>
      <c r="I187" s="5">
        <f>G187*D187</f>
        <v>715</v>
      </c>
      <c r="J187" s="5">
        <f>I187-H187</f>
        <v>665</v>
      </c>
      <c r="K187">
        <v>32</v>
      </c>
      <c r="N187" s="51">
        <f>597</f>
        <v>597</v>
      </c>
      <c r="O187" s="51"/>
    </row>
    <row r="188" spans="1:17">
      <c r="A188" s="80" t="s">
        <v>822</v>
      </c>
      <c r="B188" s="4">
        <v>10</v>
      </c>
      <c r="C188" s="4">
        <v>11</v>
      </c>
      <c r="D188" s="4">
        <v>65</v>
      </c>
      <c r="E188" s="4">
        <v>1</v>
      </c>
      <c r="F188" s="4">
        <v>50</v>
      </c>
      <c r="G188" s="10">
        <f t="shared" si="53"/>
        <v>10.183333333333334</v>
      </c>
      <c r="H188" s="4">
        <v>50</v>
      </c>
      <c r="I188" s="5">
        <f>G188*D188</f>
        <v>661.91666666666663</v>
      </c>
      <c r="J188" s="5">
        <f>I188-H188</f>
        <v>611.91666666666663</v>
      </c>
      <c r="K188">
        <v>32</v>
      </c>
      <c r="N188" s="83">
        <f>500+150</f>
        <v>650</v>
      </c>
      <c r="P188" t="s">
        <v>896</v>
      </c>
      <c r="Q188" t="s">
        <v>897</v>
      </c>
    </row>
    <row r="189" spans="1:17">
      <c r="A189" s="80" t="s">
        <v>824</v>
      </c>
      <c r="B189" s="4">
        <v>11</v>
      </c>
      <c r="C189" s="4">
        <v>0</v>
      </c>
      <c r="D189" s="4">
        <v>65</v>
      </c>
      <c r="E189" s="4">
        <v>1</v>
      </c>
      <c r="F189" s="4">
        <v>50</v>
      </c>
      <c r="G189" s="10">
        <f t="shared" si="53"/>
        <v>11</v>
      </c>
      <c r="H189" s="4">
        <v>50</v>
      </c>
      <c r="I189" s="5">
        <f t="shared" ref="I189:I193" si="54">G189*D189</f>
        <v>715</v>
      </c>
      <c r="J189" s="5">
        <f>I189-H189</f>
        <v>665</v>
      </c>
      <c r="K189">
        <v>33</v>
      </c>
      <c r="N189" s="83">
        <f>741</f>
        <v>741</v>
      </c>
    </row>
    <row r="190" spans="1:17">
      <c r="A190" s="80" t="s">
        <v>826</v>
      </c>
      <c r="B190" s="4">
        <v>9</v>
      </c>
      <c r="C190" s="4">
        <v>44</v>
      </c>
      <c r="D190" s="4">
        <v>65</v>
      </c>
      <c r="E190" s="4">
        <v>1</v>
      </c>
      <c r="F190" s="4">
        <v>50</v>
      </c>
      <c r="G190" s="10">
        <f t="shared" si="53"/>
        <v>9.7333333333333325</v>
      </c>
      <c r="H190" s="4">
        <v>50</v>
      </c>
      <c r="I190" s="5">
        <f t="shared" si="54"/>
        <v>632.66666666666663</v>
      </c>
      <c r="J190" s="5">
        <f t="shared" ref="J190:J193" si="55">I190-H190</f>
        <v>582.66666666666663</v>
      </c>
      <c r="K190">
        <v>32</v>
      </c>
      <c r="N190" s="83">
        <f>736</f>
        <v>736</v>
      </c>
      <c r="P190" t="s">
        <v>898</v>
      </c>
    </row>
    <row r="191" spans="1:17">
      <c r="A191" s="80" t="s">
        <v>828</v>
      </c>
      <c r="B191" s="4">
        <v>9</v>
      </c>
      <c r="C191" s="4">
        <v>22</v>
      </c>
      <c r="D191" s="4">
        <v>65</v>
      </c>
      <c r="E191" s="4">
        <v>1</v>
      </c>
      <c r="F191" s="4">
        <v>50</v>
      </c>
      <c r="G191" s="10">
        <f t="shared" si="53"/>
        <v>9.3666666666666671</v>
      </c>
      <c r="H191" s="4">
        <v>50</v>
      </c>
      <c r="I191" s="5">
        <f t="shared" si="54"/>
        <v>608.83333333333337</v>
      </c>
      <c r="J191" s="5">
        <f t="shared" si="55"/>
        <v>558.83333333333337</v>
      </c>
      <c r="K191">
        <v>38</v>
      </c>
      <c r="N191" s="51">
        <v>1074</v>
      </c>
      <c r="P191" t="s">
        <v>899</v>
      </c>
    </row>
    <row r="192" spans="1:17">
      <c r="A192" s="80" t="s">
        <v>830</v>
      </c>
      <c r="B192" s="4">
        <v>9</v>
      </c>
      <c r="C192" s="4">
        <v>33</v>
      </c>
      <c r="D192" s="4">
        <v>65</v>
      </c>
      <c r="E192" s="4">
        <v>1</v>
      </c>
      <c r="F192" s="4">
        <v>50</v>
      </c>
      <c r="G192" s="10">
        <f t="shared" si="53"/>
        <v>9.5500000000000007</v>
      </c>
      <c r="H192" s="4">
        <v>50</v>
      </c>
      <c r="I192" s="5">
        <f t="shared" si="54"/>
        <v>620.75</v>
      </c>
      <c r="J192" s="5">
        <f t="shared" si="55"/>
        <v>570.75</v>
      </c>
      <c r="K192">
        <v>37</v>
      </c>
      <c r="N192" s="51">
        <v>943.5</v>
      </c>
      <c r="P192" t="s">
        <v>900</v>
      </c>
    </row>
    <row r="193" spans="1:17">
      <c r="A193" s="80" t="s">
        <v>831</v>
      </c>
      <c r="B193" s="4">
        <v>7</v>
      </c>
      <c r="C193" s="4">
        <v>17</v>
      </c>
      <c r="D193" s="4">
        <v>65</v>
      </c>
      <c r="E193" s="4">
        <v>1</v>
      </c>
      <c r="F193" s="4">
        <v>50</v>
      </c>
      <c r="G193" s="10">
        <f t="shared" si="53"/>
        <v>7.2833333333333332</v>
      </c>
      <c r="H193" s="4">
        <v>50</v>
      </c>
      <c r="I193" s="5">
        <f t="shared" si="54"/>
        <v>473.41666666666669</v>
      </c>
      <c r="J193" s="5">
        <f t="shared" si="55"/>
        <v>423.41666666666669</v>
      </c>
      <c r="K193">
        <v>32</v>
      </c>
      <c r="N193" s="51">
        <v>225</v>
      </c>
      <c r="P193" t="s">
        <v>901</v>
      </c>
    </row>
    <row r="194" spans="1:17" ht="19">
      <c r="A194" s="91" t="s">
        <v>533</v>
      </c>
      <c r="B194" s="8">
        <f>SUM(B195:B201)</f>
        <v>36</v>
      </c>
      <c r="C194" s="8">
        <f>SUM(C195:C201)</f>
        <v>139</v>
      </c>
      <c r="D194" s="126">
        <f>SUM(D195)</f>
        <v>45</v>
      </c>
      <c r="E194" s="126">
        <f>SUM(E195:E201)</f>
        <v>5</v>
      </c>
      <c r="F194" s="126">
        <f>SUM(F195:F201)</f>
        <v>350</v>
      </c>
      <c r="G194" s="123">
        <f t="shared" ref="G194:G200" si="56">B194+C194/60</f>
        <v>38.31666666666667</v>
      </c>
      <c r="H194" s="8">
        <f>SUM(H195:H201)</f>
        <v>250</v>
      </c>
      <c r="I194" s="14">
        <f>SUM(I195:I201)</f>
        <v>1918.5833333333335</v>
      </c>
      <c r="J194" s="14">
        <f>SUM(J195:J201)</f>
        <v>1668.5833333333335</v>
      </c>
      <c r="K194" s="8">
        <f>SUM(K195:K201)</f>
        <v>111</v>
      </c>
      <c r="L194" s="9">
        <v>0</v>
      </c>
      <c r="M194" s="96">
        <f>J194</f>
        <v>1668.5833333333335</v>
      </c>
      <c r="N194" s="102">
        <f>SUM(N195:N201)</f>
        <v>1902</v>
      </c>
      <c r="O194" s="98">
        <f>2084-N194</f>
        <v>182</v>
      </c>
      <c r="P194" s="86"/>
      <c r="Q194" s="86"/>
    </row>
    <row r="195" spans="1:17">
      <c r="A195" s="6">
        <v>46132</v>
      </c>
      <c r="B195" s="4">
        <v>0</v>
      </c>
      <c r="C195" s="4">
        <v>0</v>
      </c>
      <c r="D195" s="4">
        <v>45</v>
      </c>
      <c r="E195" s="4">
        <v>0</v>
      </c>
      <c r="F195" s="4">
        <v>50</v>
      </c>
      <c r="G195" s="10">
        <f t="shared" si="56"/>
        <v>0</v>
      </c>
      <c r="H195" s="4">
        <v>0</v>
      </c>
      <c r="I195" s="5">
        <f>G195*D195</f>
        <v>0</v>
      </c>
      <c r="J195" s="5">
        <f>I195-H195</f>
        <v>0</v>
      </c>
      <c r="K195">
        <v>0</v>
      </c>
      <c r="N195" s="51">
        <v>0</v>
      </c>
      <c r="O195" s="51"/>
    </row>
    <row r="196" spans="1:17">
      <c r="A196" s="6">
        <v>46133</v>
      </c>
      <c r="B196" s="4">
        <v>0</v>
      </c>
      <c r="C196" s="4">
        <v>0</v>
      </c>
      <c r="D196" s="4">
        <v>45</v>
      </c>
      <c r="E196" s="4">
        <v>0</v>
      </c>
      <c r="F196" s="4">
        <v>50</v>
      </c>
      <c r="G196" s="10">
        <f t="shared" si="56"/>
        <v>0</v>
      </c>
      <c r="H196" s="4">
        <v>0</v>
      </c>
      <c r="I196" s="5">
        <f>G196*D196</f>
        <v>0</v>
      </c>
      <c r="J196" s="5">
        <f>I196-H196</f>
        <v>0</v>
      </c>
      <c r="K196">
        <v>0</v>
      </c>
      <c r="N196" s="51">
        <v>0</v>
      </c>
    </row>
    <row r="197" spans="1:17">
      <c r="A197" s="6">
        <v>46134</v>
      </c>
      <c r="B197" s="4">
        <v>5</v>
      </c>
      <c r="C197" s="4">
        <v>24</v>
      </c>
      <c r="D197" s="4">
        <v>45</v>
      </c>
      <c r="E197" s="4">
        <v>1</v>
      </c>
      <c r="F197" s="4">
        <v>50</v>
      </c>
      <c r="G197" s="10">
        <f t="shared" si="56"/>
        <v>5.4</v>
      </c>
      <c r="H197" s="4">
        <v>50</v>
      </c>
      <c r="I197" s="5">
        <f>G197*D197</f>
        <v>243.00000000000003</v>
      </c>
      <c r="J197" s="5">
        <f>I197-H197</f>
        <v>193.00000000000003</v>
      </c>
      <c r="K197">
        <v>12</v>
      </c>
      <c r="N197" s="51">
        <v>345</v>
      </c>
    </row>
    <row r="198" spans="1:17">
      <c r="A198" s="80" t="s">
        <v>826</v>
      </c>
      <c r="B198" s="4">
        <v>10</v>
      </c>
      <c r="C198" s="4">
        <v>26</v>
      </c>
      <c r="D198" s="4">
        <v>45</v>
      </c>
      <c r="E198" s="4">
        <v>1</v>
      </c>
      <c r="F198" s="4">
        <v>50</v>
      </c>
      <c r="G198" s="10">
        <f t="shared" si="56"/>
        <v>10.433333333333334</v>
      </c>
      <c r="H198" s="4">
        <v>50</v>
      </c>
      <c r="I198" s="5">
        <f>G198*D198</f>
        <v>469.5</v>
      </c>
      <c r="J198" s="5">
        <f>I198-H198</f>
        <v>419.5</v>
      </c>
      <c r="K198">
        <v>26</v>
      </c>
      <c r="N198" s="51">
        <v>520</v>
      </c>
      <c r="P198" t="s">
        <v>902</v>
      </c>
    </row>
    <row r="199" spans="1:17">
      <c r="A199" s="80" t="s">
        <v>828</v>
      </c>
      <c r="B199" s="4">
        <v>9</v>
      </c>
      <c r="C199" s="4">
        <v>50</v>
      </c>
      <c r="D199" s="4">
        <v>55</v>
      </c>
      <c r="E199" s="4">
        <v>1</v>
      </c>
      <c r="F199" s="4">
        <v>50</v>
      </c>
      <c r="G199" s="10">
        <f t="shared" si="56"/>
        <v>9.8333333333333339</v>
      </c>
      <c r="H199" s="4">
        <v>50</v>
      </c>
      <c r="I199" s="5">
        <f>G199*D199</f>
        <v>540.83333333333337</v>
      </c>
      <c r="J199" s="5">
        <f>I199-H199</f>
        <v>490.83333333333337</v>
      </c>
      <c r="K199">
        <v>30</v>
      </c>
      <c r="N199" s="51">
        <v>440</v>
      </c>
      <c r="P199" t="s">
        <v>903</v>
      </c>
    </row>
    <row r="200" spans="1:17">
      <c r="A200" s="80" t="s">
        <v>830</v>
      </c>
      <c r="B200" s="4">
        <v>9</v>
      </c>
      <c r="C200" s="4">
        <v>36</v>
      </c>
      <c r="D200" s="4">
        <v>55</v>
      </c>
      <c r="E200" s="4">
        <v>1</v>
      </c>
      <c r="F200" s="4">
        <v>50</v>
      </c>
      <c r="G200" s="10">
        <f t="shared" si="56"/>
        <v>9.6</v>
      </c>
      <c r="H200" s="4">
        <v>50</v>
      </c>
      <c r="I200" s="5">
        <f t="shared" ref="I200:I201" si="57">G200*D200</f>
        <v>528</v>
      </c>
      <c r="J200" s="5">
        <f t="shared" ref="J200:J201" si="58">I200-H200</f>
        <v>478</v>
      </c>
      <c r="K200">
        <v>31</v>
      </c>
      <c r="N200" s="51">
        <v>500</v>
      </c>
      <c r="P200" t="s">
        <v>904</v>
      </c>
    </row>
    <row r="201" spans="1:17">
      <c r="A201" s="80" t="s">
        <v>831</v>
      </c>
      <c r="B201" s="4">
        <v>3</v>
      </c>
      <c r="C201" s="4">
        <v>3</v>
      </c>
      <c r="D201" s="4">
        <v>45</v>
      </c>
      <c r="E201" s="4">
        <v>1</v>
      </c>
      <c r="F201" s="4">
        <v>50</v>
      </c>
      <c r="G201" s="10">
        <f t="shared" ref="G201:G217" si="59">B201+C201/60</f>
        <v>3.05</v>
      </c>
      <c r="H201" s="4">
        <v>50</v>
      </c>
      <c r="I201" s="5">
        <f t="shared" si="57"/>
        <v>137.25</v>
      </c>
      <c r="J201" s="5">
        <f t="shared" si="58"/>
        <v>87.25</v>
      </c>
      <c r="K201">
        <v>12</v>
      </c>
      <c r="N201" s="51">
        <v>97</v>
      </c>
      <c r="P201" t="s">
        <v>905</v>
      </c>
    </row>
    <row r="202" spans="1:17" ht="19">
      <c r="A202" s="91" t="s">
        <v>906</v>
      </c>
      <c r="B202" s="8">
        <f>SUM(B203:B209)</f>
        <v>14</v>
      </c>
      <c r="C202" s="8">
        <f>SUM(C203:C209)</f>
        <v>51</v>
      </c>
      <c r="D202" s="8">
        <f>SUM(D203)</f>
        <v>45</v>
      </c>
      <c r="E202" s="8">
        <f>SUM(E203:E209)</f>
        <v>6</v>
      </c>
      <c r="F202" s="8">
        <f>SUM(F203:F209)</f>
        <v>350</v>
      </c>
      <c r="G202" s="93">
        <f t="shared" si="59"/>
        <v>14.85</v>
      </c>
      <c r="H202" s="92">
        <f>SUM(H203:H209)</f>
        <v>100</v>
      </c>
      <c r="I202" s="9">
        <f>SUM(I203:I209)</f>
        <v>668.25</v>
      </c>
      <c r="J202" s="14">
        <f>SUM(J203:J209)</f>
        <v>568.25</v>
      </c>
      <c r="K202" s="8">
        <f>SUM(K203:K209)</f>
        <v>19</v>
      </c>
      <c r="L202" s="9">
        <v>0</v>
      </c>
      <c r="M202" s="96">
        <f>J202</f>
        <v>568.25</v>
      </c>
      <c r="N202" s="102">
        <f>SUM(N203:N209)</f>
        <v>622</v>
      </c>
      <c r="O202" s="98">
        <f>675-N202</f>
        <v>53</v>
      </c>
      <c r="P202" s="86"/>
      <c r="Q202" s="86"/>
    </row>
    <row r="203" spans="1:17">
      <c r="A203" s="6">
        <v>46132</v>
      </c>
      <c r="B203" s="4">
        <v>0</v>
      </c>
      <c r="C203" s="4">
        <v>0</v>
      </c>
      <c r="D203" s="4">
        <v>45</v>
      </c>
      <c r="E203" s="4">
        <v>1</v>
      </c>
      <c r="F203" s="4">
        <v>50</v>
      </c>
      <c r="G203" s="144">
        <f t="shared" si="59"/>
        <v>0</v>
      </c>
      <c r="H203" s="167">
        <v>0</v>
      </c>
      <c r="I203" s="142">
        <f t="shared" ref="I203:I209" si="60">G203*D203</f>
        <v>0</v>
      </c>
      <c r="J203" s="5">
        <f t="shared" ref="J203:J209" si="61">I203-H203</f>
        <v>0</v>
      </c>
      <c r="K203">
        <v>0</v>
      </c>
      <c r="N203" s="51">
        <v>0</v>
      </c>
      <c r="O203" s="51"/>
      <c r="P203" s="115"/>
    </row>
    <row r="204" spans="1:17">
      <c r="A204" s="6">
        <v>46133</v>
      </c>
      <c r="B204" s="4">
        <v>0</v>
      </c>
      <c r="C204" s="4">
        <v>0</v>
      </c>
      <c r="D204" s="4">
        <v>65</v>
      </c>
      <c r="E204" s="4">
        <v>1</v>
      </c>
      <c r="F204" s="4">
        <v>50</v>
      </c>
      <c r="G204" s="144">
        <f t="shared" si="59"/>
        <v>0</v>
      </c>
      <c r="H204" s="167">
        <v>0</v>
      </c>
      <c r="I204" s="142">
        <f t="shared" si="60"/>
        <v>0</v>
      </c>
      <c r="J204" s="5">
        <f t="shared" si="61"/>
        <v>0</v>
      </c>
      <c r="K204">
        <v>0</v>
      </c>
      <c r="N204" s="51">
        <v>0</v>
      </c>
    </row>
    <row r="205" spans="1:17">
      <c r="A205" s="6">
        <v>46134</v>
      </c>
      <c r="B205" s="4">
        <v>0</v>
      </c>
      <c r="C205" s="4">
        <v>0</v>
      </c>
      <c r="D205" s="4">
        <v>65</v>
      </c>
      <c r="E205" s="4">
        <v>1</v>
      </c>
      <c r="F205" s="4">
        <v>50</v>
      </c>
      <c r="G205" s="144">
        <f t="shared" si="59"/>
        <v>0</v>
      </c>
      <c r="H205" s="167">
        <v>0</v>
      </c>
      <c r="I205" s="142">
        <f t="shared" si="60"/>
        <v>0</v>
      </c>
      <c r="J205" s="5">
        <f t="shared" si="61"/>
        <v>0</v>
      </c>
      <c r="K205">
        <v>0</v>
      </c>
      <c r="N205" s="51">
        <v>0</v>
      </c>
      <c r="Q205" t="s">
        <v>64</v>
      </c>
    </row>
    <row r="206" spans="1:17">
      <c r="A206" s="6">
        <v>46135</v>
      </c>
      <c r="B206" s="4">
        <v>0</v>
      </c>
      <c r="C206" s="4">
        <v>0</v>
      </c>
      <c r="D206" s="4">
        <v>45</v>
      </c>
      <c r="E206" s="4">
        <v>1</v>
      </c>
      <c r="F206" s="4">
        <v>50</v>
      </c>
      <c r="G206" s="144">
        <f t="shared" si="59"/>
        <v>0</v>
      </c>
      <c r="H206" s="167">
        <v>0</v>
      </c>
      <c r="I206" s="142">
        <f t="shared" si="60"/>
        <v>0</v>
      </c>
      <c r="J206" s="5">
        <f t="shared" si="61"/>
        <v>0</v>
      </c>
      <c r="K206">
        <v>0</v>
      </c>
      <c r="N206" s="51">
        <v>0</v>
      </c>
    </row>
    <row r="207" spans="1:17">
      <c r="A207" s="6">
        <v>46136</v>
      </c>
      <c r="B207" s="4">
        <v>7</v>
      </c>
      <c r="C207" s="4">
        <v>6</v>
      </c>
      <c r="D207" s="4">
        <v>45</v>
      </c>
      <c r="E207" s="4">
        <v>1</v>
      </c>
      <c r="F207" s="4">
        <v>50</v>
      </c>
      <c r="G207" s="144">
        <f t="shared" si="59"/>
        <v>7.1</v>
      </c>
      <c r="H207" s="167">
        <v>50</v>
      </c>
      <c r="I207" s="142">
        <f t="shared" si="60"/>
        <v>319.5</v>
      </c>
      <c r="J207" s="5">
        <f t="shared" si="61"/>
        <v>269.5</v>
      </c>
      <c r="K207">
        <v>5</v>
      </c>
      <c r="N207" s="51">
        <v>57</v>
      </c>
    </row>
    <row r="208" spans="1:17">
      <c r="A208" s="6">
        <v>46137</v>
      </c>
      <c r="B208" s="4">
        <v>7</v>
      </c>
      <c r="C208" s="4">
        <v>45</v>
      </c>
      <c r="D208" s="4">
        <v>45</v>
      </c>
      <c r="E208" s="4">
        <v>1</v>
      </c>
      <c r="F208" s="4">
        <v>50</v>
      </c>
      <c r="G208" s="10">
        <f t="shared" si="59"/>
        <v>7.75</v>
      </c>
      <c r="H208" s="141">
        <v>50</v>
      </c>
      <c r="I208" s="5">
        <f t="shared" si="60"/>
        <v>348.75</v>
      </c>
      <c r="J208" s="5">
        <f t="shared" si="61"/>
        <v>298.75</v>
      </c>
      <c r="K208">
        <v>14</v>
      </c>
      <c r="N208" s="51">
        <v>565</v>
      </c>
    </row>
    <row r="209" spans="1:17">
      <c r="A209" s="6">
        <v>46138</v>
      </c>
      <c r="B209" s="4">
        <v>0</v>
      </c>
      <c r="C209" s="4">
        <v>0</v>
      </c>
      <c r="D209" s="4">
        <v>45</v>
      </c>
      <c r="E209" s="4">
        <v>0</v>
      </c>
      <c r="F209" s="4">
        <v>50</v>
      </c>
      <c r="G209" s="10">
        <f t="shared" si="59"/>
        <v>0</v>
      </c>
      <c r="H209" s="4">
        <v>0</v>
      </c>
      <c r="I209" s="5">
        <f t="shared" si="60"/>
        <v>0</v>
      </c>
      <c r="J209" s="5">
        <f t="shared" si="61"/>
        <v>0</v>
      </c>
      <c r="K209">
        <v>0</v>
      </c>
      <c r="N209" s="51">
        <v>0</v>
      </c>
    </row>
    <row r="210" spans="1:17" ht="19">
      <c r="A210" s="91" t="s">
        <v>539</v>
      </c>
      <c r="B210" s="8">
        <f>SUM(B211:B217)</f>
        <v>43</v>
      </c>
      <c r="C210" s="8">
        <f>SUM(C211:C217)</f>
        <v>127</v>
      </c>
      <c r="D210" s="126">
        <f>SUM(D211)</f>
        <v>45</v>
      </c>
      <c r="E210" s="126">
        <f>SUM(E211:E217)</f>
        <v>5</v>
      </c>
      <c r="F210" s="126">
        <f>SUM(F211:F217)</f>
        <v>350</v>
      </c>
      <c r="G210" s="123">
        <f t="shared" si="59"/>
        <v>45.116666666666667</v>
      </c>
      <c r="H210" s="8">
        <f>SUM(H211:H217)</f>
        <v>250</v>
      </c>
      <c r="I210" s="14">
        <f>SUM(I211:I217)</f>
        <v>2755.25</v>
      </c>
      <c r="J210" s="14">
        <f>SUM(J211:J217)</f>
        <v>2505.25</v>
      </c>
      <c r="K210" s="8">
        <f>SUM(K211:K217)</f>
        <v>153</v>
      </c>
      <c r="L210" s="9">
        <v>0</v>
      </c>
      <c r="M210" s="96">
        <f>J210</f>
        <v>2505.25</v>
      </c>
      <c r="N210" s="102">
        <f>SUM(N211:N217)</f>
        <v>2723</v>
      </c>
      <c r="O210" s="98">
        <f>2723-N210</f>
        <v>0</v>
      </c>
      <c r="P210" s="86"/>
      <c r="Q210" s="86"/>
    </row>
    <row r="211" spans="1:17">
      <c r="A211" s="6">
        <v>46132</v>
      </c>
      <c r="B211" s="4">
        <v>0</v>
      </c>
      <c r="C211" s="4">
        <v>0</v>
      </c>
      <c r="D211" s="4">
        <v>45</v>
      </c>
      <c r="E211" s="4">
        <v>0</v>
      </c>
      <c r="F211" s="4">
        <v>50</v>
      </c>
      <c r="G211" s="10">
        <f t="shared" si="59"/>
        <v>0</v>
      </c>
      <c r="H211" s="4">
        <v>0</v>
      </c>
      <c r="I211" s="5">
        <f>G211*D211</f>
        <v>0</v>
      </c>
      <c r="J211" s="5">
        <f>I211-H211</f>
        <v>0</v>
      </c>
      <c r="K211">
        <v>0</v>
      </c>
      <c r="N211" s="51">
        <v>0</v>
      </c>
      <c r="O211" s="51"/>
    </row>
    <row r="212" spans="1:17">
      <c r="A212" s="80" t="s">
        <v>822</v>
      </c>
      <c r="B212" s="4">
        <v>8</v>
      </c>
      <c r="C212" s="4">
        <v>26</v>
      </c>
      <c r="D212" s="4">
        <v>55</v>
      </c>
      <c r="E212" s="4">
        <v>1</v>
      </c>
      <c r="F212" s="4">
        <v>50</v>
      </c>
      <c r="G212" s="10">
        <f t="shared" si="59"/>
        <v>8.4333333333333336</v>
      </c>
      <c r="H212" s="4">
        <v>50</v>
      </c>
      <c r="I212" s="5">
        <f>G212*D212</f>
        <v>463.83333333333337</v>
      </c>
      <c r="J212" s="5">
        <f>I212-H212</f>
        <v>413.83333333333337</v>
      </c>
      <c r="K212">
        <v>27</v>
      </c>
      <c r="N212" s="51">
        <f>690</f>
        <v>690</v>
      </c>
      <c r="P212" t="s">
        <v>907</v>
      </c>
    </row>
    <row r="213" spans="1:17">
      <c r="A213" s="80" t="s">
        <v>824</v>
      </c>
      <c r="B213" s="4">
        <v>9</v>
      </c>
      <c r="C213" s="4">
        <v>18</v>
      </c>
      <c r="D213" s="4">
        <v>55</v>
      </c>
      <c r="E213" s="4">
        <v>1</v>
      </c>
      <c r="F213" s="4">
        <v>50</v>
      </c>
      <c r="G213" s="10">
        <f t="shared" si="59"/>
        <v>9.3000000000000007</v>
      </c>
      <c r="H213" s="4">
        <v>50</v>
      </c>
      <c r="I213" s="5">
        <f>G213*D213</f>
        <v>511.50000000000006</v>
      </c>
      <c r="J213" s="5">
        <f>I213-H213</f>
        <v>461.50000000000006</v>
      </c>
      <c r="K213">
        <v>29</v>
      </c>
      <c r="N213" s="51">
        <f>538</f>
        <v>538</v>
      </c>
      <c r="P213" t="s">
        <v>908</v>
      </c>
    </row>
    <row r="214" spans="1:17">
      <c r="A214" s="80" t="s">
        <v>826</v>
      </c>
      <c r="B214" s="4">
        <v>9</v>
      </c>
      <c r="C214" s="4">
        <v>22</v>
      </c>
      <c r="D214" s="4">
        <v>65</v>
      </c>
      <c r="E214" s="4">
        <v>1</v>
      </c>
      <c r="F214" s="4">
        <v>50</v>
      </c>
      <c r="G214" s="10">
        <f t="shared" si="59"/>
        <v>9.3666666666666671</v>
      </c>
      <c r="H214" s="4">
        <v>50</v>
      </c>
      <c r="I214" s="5">
        <f>G214*D214</f>
        <v>608.83333333333337</v>
      </c>
      <c r="J214" s="5">
        <f>I214-H214</f>
        <v>558.83333333333337</v>
      </c>
      <c r="K214">
        <v>32</v>
      </c>
      <c r="N214" s="51">
        <f>598</f>
        <v>598</v>
      </c>
      <c r="P214" t="s">
        <v>909</v>
      </c>
    </row>
    <row r="215" spans="1:17">
      <c r="A215" s="80" t="s">
        <v>828</v>
      </c>
      <c r="B215" s="4">
        <v>9</v>
      </c>
      <c r="C215" s="4">
        <v>41</v>
      </c>
      <c r="D215" s="4">
        <v>65</v>
      </c>
      <c r="E215" s="4">
        <v>1</v>
      </c>
      <c r="F215" s="4">
        <v>50</v>
      </c>
      <c r="G215" s="10">
        <f t="shared" si="59"/>
        <v>9.6833333333333336</v>
      </c>
      <c r="H215" s="4">
        <v>50</v>
      </c>
      <c r="I215" s="5">
        <f>G215*D215</f>
        <v>629.41666666666663</v>
      </c>
      <c r="J215" s="5">
        <f>I215-H215</f>
        <v>579.41666666666663</v>
      </c>
      <c r="K215">
        <v>32</v>
      </c>
      <c r="N215" s="51">
        <f>447+150</f>
        <v>597</v>
      </c>
      <c r="P215" t="s">
        <v>910</v>
      </c>
    </row>
    <row r="216" spans="1:17">
      <c r="A216" s="80" t="s">
        <v>830</v>
      </c>
      <c r="B216" s="4">
        <v>8</v>
      </c>
      <c r="C216" s="4">
        <v>20</v>
      </c>
      <c r="D216" s="4">
        <v>65</v>
      </c>
      <c r="E216" s="4">
        <v>1</v>
      </c>
      <c r="F216" s="4">
        <v>50</v>
      </c>
      <c r="G216" s="10">
        <f t="shared" si="59"/>
        <v>8.3333333333333339</v>
      </c>
      <c r="H216" s="4">
        <v>50</v>
      </c>
      <c r="I216" s="5">
        <f t="shared" ref="I216:I217" si="62">G216*D216</f>
        <v>541.66666666666674</v>
      </c>
      <c r="J216" s="5">
        <f t="shared" ref="J216:J217" si="63">I216-H216</f>
        <v>491.66666666666674</v>
      </c>
      <c r="K216">
        <v>33</v>
      </c>
      <c r="N216" s="51">
        <v>300</v>
      </c>
      <c r="P216" t="s">
        <v>911</v>
      </c>
    </row>
    <row r="217" spans="1:17">
      <c r="A217" s="80" t="s">
        <v>831</v>
      </c>
      <c r="B217" s="4">
        <v>0</v>
      </c>
      <c r="C217" s="4">
        <v>0</v>
      </c>
      <c r="D217" s="4">
        <v>45</v>
      </c>
      <c r="E217" s="4">
        <v>0</v>
      </c>
      <c r="F217" s="4">
        <v>50</v>
      </c>
      <c r="G217" s="10">
        <f t="shared" si="59"/>
        <v>0</v>
      </c>
      <c r="H217" s="4">
        <v>0</v>
      </c>
      <c r="I217" s="5">
        <f t="shared" si="62"/>
        <v>0</v>
      </c>
      <c r="J217" s="5">
        <f t="shared" si="63"/>
        <v>0</v>
      </c>
      <c r="K217">
        <v>0</v>
      </c>
      <c r="N217" s="51">
        <v>0</v>
      </c>
    </row>
    <row r="218" spans="1:17" ht="19">
      <c r="A218" s="91" t="s">
        <v>540</v>
      </c>
      <c r="B218" s="8">
        <f>SUM(B219:B224)</f>
        <v>37</v>
      </c>
      <c r="C218" s="8">
        <f>SUM(C219:C224)</f>
        <v>150</v>
      </c>
      <c r="D218" s="126">
        <f>SUM(D219)</f>
        <v>45</v>
      </c>
      <c r="E218" s="126">
        <f>SUM(E219:E257)</f>
        <v>51</v>
      </c>
      <c r="F218" s="126">
        <f>SUM(F219:F224)</f>
        <v>300</v>
      </c>
      <c r="G218" s="123">
        <f t="shared" ref="G218:G224" si="64">B218+C218/60</f>
        <v>39.5</v>
      </c>
      <c r="H218" s="8">
        <f>SUM(H219:H224)</f>
        <v>250</v>
      </c>
      <c r="I218" s="14">
        <f>SUM(I219:I224)</f>
        <v>1777.5</v>
      </c>
      <c r="J218" s="14">
        <f>SUM(J219:J224)</f>
        <v>1527.5</v>
      </c>
      <c r="K218" s="8">
        <f>SUM(K219:K224)</f>
        <v>57</v>
      </c>
      <c r="L218" s="9">
        <v>0</v>
      </c>
      <c r="M218" s="96">
        <f>J218</f>
        <v>1527.5</v>
      </c>
      <c r="N218" s="102">
        <f>SUM(N219:N224)</f>
        <v>1268</v>
      </c>
      <c r="O218" s="98">
        <f>1268-N218</f>
        <v>0</v>
      </c>
      <c r="P218" s="86"/>
      <c r="Q218" s="86"/>
    </row>
    <row r="219" spans="1:17">
      <c r="A219" s="145">
        <v>46132</v>
      </c>
      <c r="B219" s="4">
        <v>0</v>
      </c>
      <c r="C219" s="4">
        <v>0</v>
      </c>
      <c r="D219" s="4">
        <v>45</v>
      </c>
      <c r="E219" s="4">
        <v>0</v>
      </c>
      <c r="F219" s="4">
        <v>50</v>
      </c>
      <c r="G219" s="10">
        <f t="shared" si="64"/>
        <v>0</v>
      </c>
      <c r="H219" s="4">
        <v>0</v>
      </c>
      <c r="I219" s="5">
        <f>G219*D219</f>
        <v>0</v>
      </c>
      <c r="J219" s="5">
        <f>I219-H219</f>
        <v>0</v>
      </c>
      <c r="K219">
        <v>0</v>
      </c>
      <c r="N219" s="51">
        <v>0</v>
      </c>
      <c r="O219" s="51"/>
    </row>
    <row r="220" spans="1:17">
      <c r="A220" s="145">
        <v>46133</v>
      </c>
      <c r="B220" s="4">
        <v>3</v>
      </c>
      <c r="C220" s="4">
        <v>24</v>
      </c>
      <c r="D220" s="4">
        <v>45</v>
      </c>
      <c r="E220" s="4">
        <v>1</v>
      </c>
      <c r="F220" s="4">
        <v>50</v>
      </c>
      <c r="G220" s="10">
        <f t="shared" si="64"/>
        <v>3.4</v>
      </c>
      <c r="H220" s="4">
        <v>50</v>
      </c>
      <c r="I220" s="5">
        <f>G220*D220</f>
        <v>153</v>
      </c>
      <c r="J220" s="5">
        <f>I220-H220</f>
        <v>103</v>
      </c>
      <c r="K220">
        <v>3</v>
      </c>
      <c r="N220" s="51">
        <f>67</f>
        <v>67</v>
      </c>
      <c r="P220" t="s">
        <v>912</v>
      </c>
    </row>
    <row r="221" spans="1:17">
      <c r="A221" s="145">
        <v>46134</v>
      </c>
      <c r="B221" s="4">
        <v>10</v>
      </c>
      <c r="C221" s="4">
        <v>10</v>
      </c>
      <c r="D221" s="4">
        <v>45</v>
      </c>
      <c r="E221" s="4">
        <v>1</v>
      </c>
      <c r="F221" s="4">
        <v>50</v>
      </c>
      <c r="G221" s="10">
        <f t="shared" si="64"/>
        <v>10.166666666666666</v>
      </c>
      <c r="H221" s="4">
        <v>50</v>
      </c>
      <c r="I221" s="5">
        <f>G221*D221</f>
        <v>457.5</v>
      </c>
      <c r="J221" s="5">
        <f>I221-H221</f>
        <v>407.5</v>
      </c>
      <c r="K221">
        <v>13</v>
      </c>
      <c r="N221" s="51">
        <f>274</f>
        <v>274</v>
      </c>
      <c r="P221" t="s">
        <v>913</v>
      </c>
    </row>
    <row r="222" spans="1:17">
      <c r="A222" s="145">
        <v>46135</v>
      </c>
      <c r="B222" s="4">
        <v>8</v>
      </c>
      <c r="C222" s="4">
        <v>38</v>
      </c>
      <c r="D222" s="4">
        <v>45</v>
      </c>
      <c r="E222" s="4">
        <v>1</v>
      </c>
      <c r="F222" s="4">
        <v>50</v>
      </c>
      <c r="G222" s="10">
        <f t="shared" si="64"/>
        <v>8.6333333333333329</v>
      </c>
      <c r="H222" s="4">
        <v>50</v>
      </c>
      <c r="I222" s="5">
        <f>G222*D222</f>
        <v>388.5</v>
      </c>
      <c r="J222" s="5">
        <f>I222-H222</f>
        <v>338.5</v>
      </c>
      <c r="K222">
        <v>10</v>
      </c>
      <c r="N222" s="51">
        <f>331</f>
        <v>331</v>
      </c>
      <c r="P222" t="s">
        <v>914</v>
      </c>
    </row>
    <row r="223" spans="1:17">
      <c r="A223" s="145">
        <v>46136</v>
      </c>
      <c r="B223" s="4">
        <v>6</v>
      </c>
      <c r="C223" s="4">
        <v>57</v>
      </c>
      <c r="D223" s="4">
        <v>45</v>
      </c>
      <c r="E223" s="4">
        <v>1</v>
      </c>
      <c r="F223" s="4">
        <v>50</v>
      </c>
      <c r="G223" s="10">
        <f t="shared" si="64"/>
        <v>6.95</v>
      </c>
      <c r="H223" s="4">
        <v>50</v>
      </c>
      <c r="I223" s="5">
        <f>G223*D223</f>
        <v>312.75</v>
      </c>
      <c r="J223" s="5">
        <f>I223-H223</f>
        <v>262.75</v>
      </c>
      <c r="K223">
        <v>13</v>
      </c>
      <c r="N223" s="51">
        <v>261</v>
      </c>
      <c r="P223" t="s">
        <v>915</v>
      </c>
    </row>
    <row r="224" spans="1:17">
      <c r="A224" s="145">
        <v>46137</v>
      </c>
      <c r="B224" s="4">
        <v>10</v>
      </c>
      <c r="C224" s="4">
        <v>21</v>
      </c>
      <c r="D224" s="4">
        <v>45</v>
      </c>
      <c r="E224" s="4">
        <v>1</v>
      </c>
      <c r="F224" s="4">
        <v>50</v>
      </c>
      <c r="G224" s="10">
        <f t="shared" si="64"/>
        <v>10.35</v>
      </c>
      <c r="H224" s="4">
        <v>50</v>
      </c>
      <c r="I224" s="5">
        <f t="shared" ref="I224:I225" si="65">G224*D224</f>
        <v>465.75</v>
      </c>
      <c r="J224" s="5">
        <f t="shared" ref="J224:J225" si="66">I224-H224</f>
        <v>415.75</v>
      </c>
      <c r="K224">
        <v>18</v>
      </c>
      <c r="N224" s="51">
        <v>335</v>
      </c>
    </row>
    <row r="225" spans="1:17">
      <c r="A225" s="145">
        <v>46138</v>
      </c>
      <c r="B225" s="4">
        <v>0</v>
      </c>
      <c r="C225" s="4">
        <v>0</v>
      </c>
      <c r="D225" s="7">
        <v>45</v>
      </c>
      <c r="E225" s="7">
        <v>0</v>
      </c>
      <c r="F225" s="7">
        <v>50</v>
      </c>
      <c r="G225" s="10">
        <v>0</v>
      </c>
      <c r="H225" s="4">
        <v>0</v>
      </c>
      <c r="I225" s="5">
        <f t="shared" si="65"/>
        <v>0</v>
      </c>
      <c r="J225" s="5">
        <f t="shared" si="66"/>
        <v>0</v>
      </c>
      <c r="K225">
        <v>0</v>
      </c>
      <c r="N225" s="51"/>
    </row>
    <row r="226" spans="1:17" ht="19">
      <c r="A226" s="91" t="s">
        <v>916</v>
      </c>
      <c r="B226" s="8">
        <f>SUM(B227:B232)</f>
        <v>37</v>
      </c>
      <c r="C226" s="8">
        <f>SUM(C227:C232)</f>
        <v>82</v>
      </c>
      <c r="D226" s="126">
        <f>SUM(D227)</f>
        <v>55</v>
      </c>
      <c r="E226" s="126">
        <f>SUM(E227:E232)</f>
        <v>5</v>
      </c>
      <c r="F226" s="126">
        <f>SUM(F227:F232)</f>
        <v>300</v>
      </c>
      <c r="G226" s="123">
        <f t="shared" ref="G226:G231" si="67">B226+C226/60</f>
        <v>38.366666666666667</v>
      </c>
      <c r="H226" s="8">
        <f>SUM(H227:H232)</f>
        <v>250</v>
      </c>
      <c r="I226" s="14">
        <f>SUM(I227:I232)</f>
        <v>1806.5</v>
      </c>
      <c r="J226" s="14">
        <f>SUM(J227:J232)</f>
        <v>1556.5</v>
      </c>
      <c r="K226" s="8">
        <f>SUM(K227:K232)</f>
        <v>117</v>
      </c>
      <c r="L226" s="9">
        <v>0</v>
      </c>
      <c r="M226" s="96">
        <f>J226</f>
        <v>1556.5</v>
      </c>
      <c r="N226" s="102">
        <f>SUM(N227:N232)</f>
        <v>2970</v>
      </c>
      <c r="O226" s="98">
        <f>2947-N226</f>
        <v>-23</v>
      </c>
      <c r="P226" s="86"/>
      <c r="Q226" s="86"/>
    </row>
    <row r="227" spans="1:17">
      <c r="A227" s="146" t="s">
        <v>820</v>
      </c>
      <c r="B227" s="4">
        <v>8</v>
      </c>
      <c r="C227" s="4">
        <v>0</v>
      </c>
      <c r="D227" s="4">
        <v>55</v>
      </c>
      <c r="E227" s="4">
        <v>1</v>
      </c>
      <c r="F227" s="4">
        <v>50</v>
      </c>
      <c r="G227" s="10">
        <f t="shared" si="67"/>
        <v>8</v>
      </c>
      <c r="H227" s="4">
        <v>50</v>
      </c>
      <c r="I227" s="5">
        <f>G227*D227</f>
        <v>440</v>
      </c>
      <c r="J227" s="5">
        <f>I227-H227</f>
        <v>390</v>
      </c>
      <c r="K227">
        <v>27</v>
      </c>
      <c r="N227" s="51">
        <v>477</v>
      </c>
      <c r="O227" s="51"/>
      <c r="P227" t="s">
        <v>917</v>
      </c>
    </row>
    <row r="228" spans="1:17">
      <c r="A228" s="146" t="s">
        <v>822</v>
      </c>
      <c r="B228" s="4">
        <v>8</v>
      </c>
      <c r="C228" s="4">
        <v>31</v>
      </c>
      <c r="D228" s="4">
        <v>45</v>
      </c>
      <c r="E228" s="4">
        <v>1</v>
      </c>
      <c r="F228" s="4">
        <v>50</v>
      </c>
      <c r="G228" s="10">
        <f t="shared" si="67"/>
        <v>8.5166666666666675</v>
      </c>
      <c r="H228" s="4">
        <v>50</v>
      </c>
      <c r="I228" s="5">
        <f>G228*D228</f>
        <v>383.25000000000006</v>
      </c>
      <c r="J228" s="5">
        <f>I228-H228</f>
        <v>333.25000000000006</v>
      </c>
      <c r="K228">
        <v>27</v>
      </c>
      <c r="N228" s="51">
        <f>652</f>
        <v>652</v>
      </c>
      <c r="P228" t="s">
        <v>918</v>
      </c>
    </row>
    <row r="229" spans="1:17">
      <c r="A229" s="146" t="s">
        <v>824</v>
      </c>
      <c r="B229" s="4">
        <v>8</v>
      </c>
      <c r="C229" s="4">
        <v>26</v>
      </c>
      <c r="D229" s="4">
        <v>45</v>
      </c>
      <c r="E229" s="4">
        <v>1</v>
      </c>
      <c r="F229" s="4">
        <v>50</v>
      </c>
      <c r="G229" s="10">
        <f t="shared" si="67"/>
        <v>8.4333333333333336</v>
      </c>
      <c r="H229" s="4">
        <v>50</v>
      </c>
      <c r="I229" s="5">
        <f>G229*D229</f>
        <v>379.5</v>
      </c>
      <c r="J229" s="5">
        <f>I229-H229</f>
        <v>329.5</v>
      </c>
      <c r="K229">
        <v>18</v>
      </c>
      <c r="N229" s="51">
        <f>433</f>
        <v>433</v>
      </c>
      <c r="P229" t="s">
        <v>919</v>
      </c>
    </row>
    <row r="230" spans="1:17">
      <c r="A230" s="146" t="s">
        <v>826</v>
      </c>
      <c r="B230" s="4">
        <v>8</v>
      </c>
      <c r="C230" s="4">
        <v>24</v>
      </c>
      <c r="D230" s="4">
        <v>45</v>
      </c>
      <c r="E230" s="4">
        <v>1</v>
      </c>
      <c r="F230" s="4">
        <v>50</v>
      </c>
      <c r="G230" s="10">
        <f t="shared" si="67"/>
        <v>8.4</v>
      </c>
      <c r="H230" s="4">
        <v>50</v>
      </c>
      <c r="I230" s="5">
        <f>G230*D230</f>
        <v>378</v>
      </c>
      <c r="J230" s="5">
        <f>I230-H230</f>
        <v>328</v>
      </c>
      <c r="K230">
        <v>26</v>
      </c>
      <c r="N230" s="51">
        <v>535</v>
      </c>
      <c r="P230" t="s">
        <v>920</v>
      </c>
    </row>
    <row r="231" spans="1:17">
      <c r="A231" s="146" t="s">
        <v>828</v>
      </c>
      <c r="B231" s="4">
        <v>5</v>
      </c>
      <c r="C231" s="4">
        <v>1</v>
      </c>
      <c r="D231" s="4">
        <v>45</v>
      </c>
      <c r="E231" s="4">
        <v>1</v>
      </c>
      <c r="F231" s="4">
        <v>50</v>
      </c>
      <c r="G231" s="10">
        <f t="shared" si="67"/>
        <v>5.0166666666666666</v>
      </c>
      <c r="H231" s="4">
        <v>50</v>
      </c>
      <c r="I231" s="5">
        <f>G231*D231</f>
        <v>225.75</v>
      </c>
      <c r="J231" s="5">
        <f>I231-H231</f>
        <v>175.75</v>
      </c>
      <c r="K231">
        <v>19</v>
      </c>
      <c r="N231" s="51">
        <v>650</v>
      </c>
      <c r="P231" t="s">
        <v>921</v>
      </c>
    </row>
    <row r="232" spans="1:17">
      <c r="A232" s="146" t="s">
        <v>830</v>
      </c>
      <c r="B232" s="4">
        <v>0</v>
      </c>
      <c r="C232" s="4">
        <v>0</v>
      </c>
      <c r="D232" s="4">
        <v>45</v>
      </c>
      <c r="E232" s="4">
        <v>0</v>
      </c>
      <c r="F232" s="4">
        <v>50</v>
      </c>
      <c r="G232" s="10">
        <v>0</v>
      </c>
      <c r="H232" s="4">
        <v>0</v>
      </c>
      <c r="I232" s="5">
        <v>0</v>
      </c>
      <c r="J232" s="5">
        <v>0</v>
      </c>
      <c r="K232">
        <v>0</v>
      </c>
      <c r="N232" s="51">
        <v>223</v>
      </c>
    </row>
    <row r="233" spans="1:17" ht="19">
      <c r="A233" s="91" t="s">
        <v>922</v>
      </c>
      <c r="B233" s="8">
        <f>SUM(B234:B240)</f>
        <v>40</v>
      </c>
      <c r="C233" s="8">
        <f>SUM(C234:C240)</f>
        <v>117</v>
      </c>
      <c r="D233" s="126">
        <f>SUM(D234)</f>
        <v>55</v>
      </c>
      <c r="E233" s="126">
        <f>SUM(E234:E240)</f>
        <v>5</v>
      </c>
      <c r="F233" s="126">
        <f>SUM(F234:F240)</f>
        <v>350</v>
      </c>
      <c r="G233" s="123">
        <f>B233+C233/60</f>
        <v>41.95</v>
      </c>
      <c r="H233" s="8">
        <f>SUM(H234:H240)</f>
        <v>250</v>
      </c>
      <c r="I233" s="14">
        <f>SUM(I234:I240)</f>
        <v>2223.9166666666665</v>
      </c>
      <c r="J233" s="14">
        <f>SUM(J234:J240)</f>
        <v>1973.9166666666665</v>
      </c>
      <c r="K233" s="8">
        <f>SUM(K234:K240)</f>
        <v>139</v>
      </c>
      <c r="L233" s="9">
        <v>0</v>
      </c>
      <c r="M233" s="96">
        <f>J233</f>
        <v>1973.9166666666665</v>
      </c>
      <c r="N233" s="102">
        <f>SUM(N234:N240)</f>
        <v>2994</v>
      </c>
      <c r="O233" s="98">
        <f>2868-N233</f>
        <v>-126</v>
      </c>
      <c r="P233" s="86"/>
      <c r="Q233" s="86"/>
    </row>
    <row r="234" spans="1:17">
      <c r="A234" s="80" t="s">
        <v>820</v>
      </c>
      <c r="B234" s="4">
        <v>9</v>
      </c>
      <c r="C234" s="4">
        <v>3</v>
      </c>
      <c r="D234" s="4">
        <v>55</v>
      </c>
      <c r="E234" s="4">
        <v>1</v>
      </c>
      <c r="F234" s="4">
        <v>50</v>
      </c>
      <c r="G234" s="10">
        <f t="shared" ref="G234:G238" si="68">B234+C234/60</f>
        <v>9.0500000000000007</v>
      </c>
      <c r="H234" s="4">
        <v>50</v>
      </c>
      <c r="I234" s="5">
        <f>G234*D234</f>
        <v>497.75000000000006</v>
      </c>
      <c r="J234" s="5">
        <f>I234-H234</f>
        <v>447.75000000000006</v>
      </c>
      <c r="K234">
        <v>29</v>
      </c>
      <c r="N234" s="51">
        <v>585</v>
      </c>
      <c r="O234" s="51"/>
      <c r="P234" t="s">
        <v>923</v>
      </c>
    </row>
    <row r="235" spans="1:17">
      <c r="A235" s="80" t="s">
        <v>822</v>
      </c>
      <c r="B235" s="4">
        <v>7</v>
      </c>
      <c r="C235" s="4">
        <v>51</v>
      </c>
      <c r="D235" s="4">
        <v>55</v>
      </c>
      <c r="E235" s="4">
        <v>1</v>
      </c>
      <c r="F235" s="4">
        <v>50</v>
      </c>
      <c r="G235" s="10">
        <f t="shared" si="68"/>
        <v>7.85</v>
      </c>
      <c r="H235" s="4">
        <v>50</v>
      </c>
      <c r="I235" s="5">
        <f>G235*D235</f>
        <v>431.75</v>
      </c>
      <c r="J235" s="5">
        <f>I235-H235</f>
        <v>381.75</v>
      </c>
      <c r="K235">
        <v>27</v>
      </c>
      <c r="N235" s="51">
        <f>675</f>
        <v>675</v>
      </c>
      <c r="P235" t="s">
        <v>924</v>
      </c>
    </row>
    <row r="236" spans="1:17">
      <c r="A236" s="80" t="s">
        <v>824</v>
      </c>
      <c r="B236" s="4">
        <v>8</v>
      </c>
      <c r="C236" s="4">
        <v>34</v>
      </c>
      <c r="D236" s="4">
        <v>55</v>
      </c>
      <c r="E236" s="4">
        <v>1</v>
      </c>
      <c r="F236" s="4">
        <v>50</v>
      </c>
      <c r="G236" s="10">
        <f t="shared" si="68"/>
        <v>8.5666666666666664</v>
      </c>
      <c r="H236" s="4">
        <v>50</v>
      </c>
      <c r="I236" s="5">
        <f>G236*D236</f>
        <v>471.16666666666663</v>
      </c>
      <c r="J236" s="5">
        <f>I236-H236</f>
        <v>421.16666666666663</v>
      </c>
      <c r="K236">
        <v>29</v>
      </c>
      <c r="N236" s="51">
        <f>603</f>
        <v>603</v>
      </c>
      <c r="P236" t="s">
        <v>925</v>
      </c>
    </row>
    <row r="237" spans="1:17">
      <c r="A237" s="80" t="s">
        <v>826</v>
      </c>
      <c r="B237" s="4">
        <v>0</v>
      </c>
      <c r="C237" s="4">
        <v>0</v>
      </c>
      <c r="D237" s="4">
        <v>45</v>
      </c>
      <c r="E237" s="4">
        <v>0</v>
      </c>
      <c r="F237" s="4">
        <v>50</v>
      </c>
      <c r="G237" s="10">
        <f t="shared" si="68"/>
        <v>0</v>
      </c>
      <c r="H237" s="4">
        <v>0</v>
      </c>
      <c r="I237" s="5">
        <f>G237*D237</f>
        <v>0</v>
      </c>
      <c r="J237" s="5">
        <f>I237-H237</f>
        <v>0</v>
      </c>
      <c r="K237">
        <v>0</v>
      </c>
      <c r="N237" s="51">
        <v>0</v>
      </c>
    </row>
    <row r="238" spans="1:17">
      <c r="A238" s="80" t="s">
        <v>828</v>
      </c>
      <c r="B238" s="4">
        <v>8</v>
      </c>
      <c r="C238" s="4">
        <v>20</v>
      </c>
      <c r="D238" s="4">
        <v>45</v>
      </c>
      <c r="E238" s="4">
        <v>1</v>
      </c>
      <c r="F238" s="4">
        <v>50</v>
      </c>
      <c r="G238" s="10">
        <f t="shared" si="68"/>
        <v>8.3333333333333339</v>
      </c>
      <c r="H238" s="4">
        <v>50</v>
      </c>
      <c r="I238" s="5">
        <f>G238*D238</f>
        <v>375</v>
      </c>
      <c r="J238" s="5">
        <f>I238-H238</f>
        <v>325</v>
      </c>
      <c r="K238">
        <v>26</v>
      </c>
      <c r="N238" s="51">
        <v>486</v>
      </c>
      <c r="P238" t="s">
        <v>926</v>
      </c>
    </row>
    <row r="239" spans="1:17">
      <c r="A239" s="80" t="s">
        <v>830</v>
      </c>
      <c r="B239" s="4">
        <v>0</v>
      </c>
      <c r="C239" s="4">
        <v>0</v>
      </c>
      <c r="D239" s="4">
        <v>45</v>
      </c>
      <c r="E239" s="4">
        <v>0</v>
      </c>
      <c r="F239" s="4">
        <v>50</v>
      </c>
      <c r="G239" s="10">
        <v>0</v>
      </c>
      <c r="H239" s="4">
        <v>0</v>
      </c>
      <c r="I239" s="5">
        <v>0</v>
      </c>
      <c r="J239" s="5">
        <v>0</v>
      </c>
      <c r="K239">
        <v>0</v>
      </c>
      <c r="N239" s="51">
        <v>0</v>
      </c>
    </row>
    <row r="240" spans="1:17">
      <c r="A240" s="80" t="s">
        <v>831</v>
      </c>
      <c r="B240" s="4">
        <v>8</v>
      </c>
      <c r="C240" s="4">
        <v>9</v>
      </c>
      <c r="D240" s="4">
        <v>55</v>
      </c>
      <c r="E240" s="4">
        <v>1</v>
      </c>
      <c r="F240" s="4">
        <v>50</v>
      </c>
      <c r="G240" s="10">
        <f t="shared" ref="G240" si="69">B240+C240/60</f>
        <v>8.15</v>
      </c>
      <c r="H240" s="4">
        <v>50</v>
      </c>
      <c r="I240" s="5">
        <f>G240*D240</f>
        <v>448.25</v>
      </c>
      <c r="J240" s="5">
        <f>I240-H240</f>
        <v>398.25</v>
      </c>
      <c r="K240">
        <v>28</v>
      </c>
      <c r="N240" s="51">
        <v>645</v>
      </c>
      <c r="P240" t="s">
        <v>927</v>
      </c>
    </row>
    <row r="241" spans="1:17" ht="19">
      <c r="A241" s="91" t="s">
        <v>928</v>
      </c>
      <c r="B241" s="8">
        <f>SUM(B242:B248)</f>
        <v>49</v>
      </c>
      <c r="C241" s="8">
        <f>SUM(C242:C248)</f>
        <v>114</v>
      </c>
      <c r="D241" s="126">
        <f>SUM(D242)</f>
        <v>45</v>
      </c>
      <c r="E241" s="126">
        <f>SUM(E242:E248)</f>
        <v>5</v>
      </c>
      <c r="F241" s="126">
        <f>SUM(F242:F248)</f>
        <v>350</v>
      </c>
      <c r="G241" s="123">
        <f>B241+C241/60</f>
        <v>50.9</v>
      </c>
      <c r="H241" s="8">
        <f>SUM(H242:H248)</f>
        <v>250</v>
      </c>
      <c r="I241" s="14">
        <f>SUM(I242:I248)</f>
        <v>2601.5</v>
      </c>
      <c r="J241" s="14">
        <f>SUM(J242:J248)</f>
        <v>2351.5</v>
      </c>
      <c r="K241" s="8">
        <f>SUM(K242:K248)</f>
        <v>139</v>
      </c>
      <c r="L241" s="9">
        <v>0</v>
      </c>
      <c r="M241" s="96">
        <f>J241</f>
        <v>2351.5</v>
      </c>
      <c r="N241" s="102">
        <f>SUM(N242:N248)</f>
        <v>2099</v>
      </c>
      <c r="O241" s="98">
        <f>2281-N241</f>
        <v>182</v>
      </c>
      <c r="P241" s="86"/>
      <c r="Q241" s="86"/>
    </row>
    <row r="242" spans="1:17">
      <c r="A242" s="6">
        <v>46132</v>
      </c>
      <c r="B242" s="4">
        <v>0</v>
      </c>
      <c r="C242" s="4">
        <v>0</v>
      </c>
      <c r="D242" s="4">
        <v>45</v>
      </c>
      <c r="E242" s="4">
        <v>0</v>
      </c>
      <c r="F242" s="4">
        <v>50</v>
      </c>
      <c r="G242" s="10">
        <f t="shared" ref="G242:G248" si="70">B242+C242/60</f>
        <v>0</v>
      </c>
      <c r="H242" s="4">
        <v>0</v>
      </c>
      <c r="I242" s="5">
        <f>G242*D242</f>
        <v>0</v>
      </c>
      <c r="J242" s="5">
        <f>I242-H242</f>
        <v>0</v>
      </c>
      <c r="K242">
        <v>0</v>
      </c>
      <c r="N242" s="51">
        <v>0</v>
      </c>
      <c r="O242" s="51"/>
    </row>
    <row r="243" spans="1:17">
      <c r="A243" s="6">
        <v>46133</v>
      </c>
      <c r="B243" s="4">
        <v>9</v>
      </c>
      <c r="C243" s="4">
        <v>59</v>
      </c>
      <c r="D243" s="4">
        <v>45</v>
      </c>
      <c r="E243" s="4">
        <v>1</v>
      </c>
      <c r="F243" s="4">
        <v>50</v>
      </c>
      <c r="G243" s="10">
        <f t="shared" si="70"/>
        <v>9.9833333333333325</v>
      </c>
      <c r="H243" s="4">
        <v>50</v>
      </c>
      <c r="I243" s="5">
        <f>G243*D243</f>
        <v>449.24999999999994</v>
      </c>
      <c r="J243" s="5">
        <f>I243-H243</f>
        <v>399.24999999999994</v>
      </c>
      <c r="K243">
        <v>24</v>
      </c>
      <c r="N243" s="51">
        <v>408</v>
      </c>
    </row>
    <row r="244" spans="1:17">
      <c r="A244" s="6">
        <v>46134</v>
      </c>
      <c r="B244" s="4">
        <v>10</v>
      </c>
      <c r="C244" s="4">
        <v>7</v>
      </c>
      <c r="D244" s="4">
        <v>45</v>
      </c>
      <c r="E244" s="4">
        <v>1</v>
      </c>
      <c r="F244" s="4">
        <v>50</v>
      </c>
      <c r="G244" s="10">
        <f t="shared" si="70"/>
        <v>10.116666666666667</v>
      </c>
      <c r="H244" s="4">
        <v>50</v>
      </c>
      <c r="I244" s="5">
        <f>G244*D244</f>
        <v>455.25</v>
      </c>
      <c r="J244" s="5">
        <f>I244-H244</f>
        <v>405.25</v>
      </c>
      <c r="K244">
        <v>26</v>
      </c>
      <c r="N244" s="51">
        <f>345</f>
        <v>345</v>
      </c>
    </row>
    <row r="245" spans="1:17">
      <c r="A245" s="6">
        <v>46135</v>
      </c>
      <c r="B245" s="4">
        <v>10</v>
      </c>
      <c r="C245" s="4">
        <v>9</v>
      </c>
      <c r="D245" s="4">
        <v>45</v>
      </c>
      <c r="E245" s="4">
        <v>1</v>
      </c>
      <c r="F245" s="4">
        <v>50</v>
      </c>
      <c r="G245" s="10">
        <f t="shared" si="70"/>
        <v>10.15</v>
      </c>
      <c r="H245" s="4">
        <v>50</v>
      </c>
      <c r="I245" s="5">
        <f>G245*D245</f>
        <v>456.75</v>
      </c>
      <c r="J245" s="5">
        <f>I245-H245</f>
        <v>406.75</v>
      </c>
      <c r="K245">
        <v>26</v>
      </c>
      <c r="N245" s="51">
        <v>341</v>
      </c>
      <c r="P245" t="s">
        <v>929</v>
      </c>
    </row>
    <row r="246" spans="1:17">
      <c r="A246" s="6">
        <v>46136</v>
      </c>
      <c r="B246" s="4">
        <v>10</v>
      </c>
      <c r="C246" s="4">
        <v>12</v>
      </c>
      <c r="D246" s="4">
        <v>55</v>
      </c>
      <c r="E246" s="4">
        <v>1</v>
      </c>
      <c r="F246" s="4">
        <v>50</v>
      </c>
      <c r="G246" s="10">
        <f t="shared" si="70"/>
        <v>10.199999999999999</v>
      </c>
      <c r="H246" s="4">
        <v>50</v>
      </c>
      <c r="I246" s="5">
        <f>G246*D246</f>
        <v>561</v>
      </c>
      <c r="J246" s="5">
        <f>I246-H246</f>
        <v>511</v>
      </c>
      <c r="K246">
        <v>29</v>
      </c>
      <c r="N246" s="51">
        <v>434</v>
      </c>
      <c r="P246" t="s">
        <v>930</v>
      </c>
    </row>
    <row r="247" spans="1:17">
      <c r="A247" s="6">
        <v>46137</v>
      </c>
      <c r="B247" s="4">
        <v>10</v>
      </c>
      <c r="C247" s="4">
        <v>27</v>
      </c>
      <c r="D247" s="4">
        <v>65</v>
      </c>
      <c r="E247" s="4">
        <v>1</v>
      </c>
      <c r="F247" s="4">
        <v>50</v>
      </c>
      <c r="G247" s="10">
        <f t="shared" si="70"/>
        <v>10.45</v>
      </c>
      <c r="H247" s="4">
        <v>50</v>
      </c>
      <c r="I247" s="5">
        <f t="shared" ref="I247:I248" si="71">G247*D247</f>
        <v>679.25</v>
      </c>
      <c r="J247" s="5">
        <f t="shared" ref="J247:J248" si="72">I247-H247</f>
        <v>629.25</v>
      </c>
      <c r="K247">
        <v>34</v>
      </c>
      <c r="N247" s="51">
        <v>571</v>
      </c>
    </row>
    <row r="248" spans="1:17">
      <c r="A248" s="6">
        <v>46138</v>
      </c>
      <c r="B248" s="4">
        <v>0</v>
      </c>
      <c r="C248" s="4">
        <v>0</v>
      </c>
      <c r="D248" s="4">
        <v>45</v>
      </c>
      <c r="E248" s="4">
        <v>0</v>
      </c>
      <c r="F248" s="4">
        <v>50</v>
      </c>
      <c r="G248" s="10">
        <f t="shared" si="70"/>
        <v>0</v>
      </c>
      <c r="H248" s="4">
        <v>0</v>
      </c>
      <c r="I248" s="5">
        <f t="shared" si="71"/>
        <v>0</v>
      </c>
      <c r="J248" s="5">
        <f t="shared" si="72"/>
        <v>0</v>
      </c>
      <c r="K248">
        <v>0</v>
      </c>
      <c r="N248" s="51">
        <v>0</v>
      </c>
    </row>
    <row r="249" spans="1:17" ht="19">
      <c r="A249" s="91" t="s">
        <v>931</v>
      </c>
      <c r="B249" s="8">
        <f>SUM(B250:B256)</f>
        <v>48</v>
      </c>
      <c r="C249" s="8">
        <f>SUM(C250:C256)</f>
        <v>141</v>
      </c>
      <c r="D249" s="126">
        <f>SUM(D250)</f>
        <v>65</v>
      </c>
      <c r="E249" s="126">
        <f>SUM(E250:E256)</f>
        <v>5</v>
      </c>
      <c r="F249" s="126">
        <f>SUM(F250:F256)</f>
        <v>350</v>
      </c>
      <c r="G249" s="123">
        <f>B249+C249/60</f>
        <v>50.35</v>
      </c>
      <c r="H249" s="8">
        <f>SUM(H250:H256)</f>
        <v>250</v>
      </c>
      <c r="I249" s="14">
        <f>SUM(I250:I256)</f>
        <v>2791.7500000000005</v>
      </c>
      <c r="J249" s="14">
        <f>SUM(J250:J256)</f>
        <v>2541.75</v>
      </c>
      <c r="K249" s="8">
        <f>SUM(K250:K256)</f>
        <v>139</v>
      </c>
      <c r="L249" s="9">
        <v>0</v>
      </c>
      <c r="M249" s="96">
        <f>J249</f>
        <v>2541.75</v>
      </c>
      <c r="N249" s="102">
        <f>SUM(N250:N256)</f>
        <v>3656</v>
      </c>
      <c r="O249" s="98">
        <f>3689-N249</f>
        <v>33</v>
      </c>
      <c r="P249" s="86"/>
      <c r="Q249" s="86"/>
    </row>
    <row r="250" spans="1:17">
      <c r="A250" s="6">
        <v>46132</v>
      </c>
      <c r="B250" s="4">
        <v>10</v>
      </c>
      <c r="C250" s="4">
        <v>19</v>
      </c>
      <c r="D250" s="4">
        <v>65</v>
      </c>
      <c r="E250" s="4">
        <v>1</v>
      </c>
      <c r="F250" s="4">
        <v>50</v>
      </c>
      <c r="G250" s="10">
        <f t="shared" ref="G250:G256" si="73">B250+C250/60</f>
        <v>10.316666666666666</v>
      </c>
      <c r="H250" s="4">
        <v>50</v>
      </c>
      <c r="I250" s="5">
        <f>G250*D250</f>
        <v>670.58333333333337</v>
      </c>
      <c r="J250" s="5">
        <f>I250-H250</f>
        <v>620.58333333333337</v>
      </c>
      <c r="K250">
        <v>33</v>
      </c>
      <c r="N250" s="51">
        <f>674+150</f>
        <v>824</v>
      </c>
      <c r="O250" s="51"/>
    </row>
    <row r="251" spans="1:17">
      <c r="A251" s="6">
        <v>46133</v>
      </c>
      <c r="B251" s="4">
        <v>0</v>
      </c>
      <c r="C251" s="4">
        <v>0</v>
      </c>
      <c r="D251" s="4">
        <v>45</v>
      </c>
      <c r="E251" s="4">
        <v>0</v>
      </c>
      <c r="F251" s="4">
        <v>50</v>
      </c>
      <c r="G251" s="10">
        <f t="shared" si="73"/>
        <v>0</v>
      </c>
      <c r="H251" s="4">
        <v>0</v>
      </c>
      <c r="I251" s="5">
        <f>G251*D251</f>
        <v>0</v>
      </c>
      <c r="J251" s="5">
        <f>I251-H251</f>
        <v>0</v>
      </c>
      <c r="K251">
        <v>0</v>
      </c>
      <c r="N251" s="51"/>
    </row>
    <row r="252" spans="1:17">
      <c r="A252" s="6">
        <v>46134</v>
      </c>
      <c r="B252" s="4">
        <v>10</v>
      </c>
      <c r="C252" s="4">
        <v>26</v>
      </c>
      <c r="D252" s="4">
        <v>55</v>
      </c>
      <c r="E252" s="4">
        <v>1</v>
      </c>
      <c r="F252" s="4">
        <v>50</v>
      </c>
      <c r="G252" s="10">
        <f t="shared" si="73"/>
        <v>10.433333333333334</v>
      </c>
      <c r="H252" s="4">
        <v>50</v>
      </c>
      <c r="I252" s="5">
        <f>G252*D252</f>
        <v>573.83333333333337</v>
      </c>
      <c r="J252" s="5">
        <f>I252-H252</f>
        <v>523.83333333333337</v>
      </c>
      <c r="K252">
        <v>28</v>
      </c>
      <c r="N252" s="51">
        <v>728</v>
      </c>
    </row>
    <row r="253" spans="1:17">
      <c r="A253" s="6">
        <v>46135</v>
      </c>
      <c r="B253" s="4">
        <v>8</v>
      </c>
      <c r="C253" s="4">
        <v>44</v>
      </c>
      <c r="D253" s="4">
        <v>45</v>
      </c>
      <c r="E253" s="4">
        <v>1</v>
      </c>
      <c r="F253" s="4">
        <v>50</v>
      </c>
      <c r="G253" s="10">
        <f t="shared" si="73"/>
        <v>8.7333333333333325</v>
      </c>
      <c r="H253" s="4">
        <v>50</v>
      </c>
      <c r="I253" s="5">
        <f>G253*D253</f>
        <v>392.99999999999994</v>
      </c>
      <c r="J253" s="5">
        <f>I253-H253</f>
        <v>342.99999999999994</v>
      </c>
      <c r="K253">
        <v>19</v>
      </c>
      <c r="N253" s="51">
        <f>514</f>
        <v>514</v>
      </c>
    </row>
    <row r="254" spans="1:17">
      <c r="A254" s="6">
        <v>46136</v>
      </c>
      <c r="B254" s="4">
        <v>10</v>
      </c>
      <c r="C254" s="4">
        <v>6</v>
      </c>
      <c r="D254" s="4">
        <v>45</v>
      </c>
      <c r="E254" s="4">
        <v>1</v>
      </c>
      <c r="F254" s="4">
        <v>50</v>
      </c>
      <c r="G254" s="10">
        <f t="shared" si="73"/>
        <v>10.1</v>
      </c>
      <c r="H254" s="4">
        <v>50</v>
      </c>
      <c r="I254" s="5">
        <f>G254*D254</f>
        <v>454.5</v>
      </c>
      <c r="J254" s="5">
        <f>I254-H254</f>
        <v>404.5</v>
      </c>
      <c r="K254">
        <v>26</v>
      </c>
      <c r="N254" s="51">
        <v>490</v>
      </c>
    </row>
    <row r="255" spans="1:17">
      <c r="A255" s="6">
        <v>46137</v>
      </c>
      <c r="B255" s="4">
        <v>10</v>
      </c>
      <c r="C255" s="4">
        <v>46</v>
      </c>
      <c r="D255" s="4">
        <v>65</v>
      </c>
      <c r="E255" s="4">
        <v>1</v>
      </c>
      <c r="F255" s="4">
        <v>50</v>
      </c>
      <c r="G255" s="10">
        <f t="shared" si="73"/>
        <v>10.766666666666667</v>
      </c>
      <c r="H255" s="4">
        <v>50</v>
      </c>
      <c r="I255" s="5">
        <f t="shared" ref="I255:I256" si="74">G255*D255</f>
        <v>699.83333333333337</v>
      </c>
      <c r="J255" s="5">
        <f t="shared" ref="J255:J256" si="75">I255-H255</f>
        <v>649.83333333333337</v>
      </c>
      <c r="K255">
        <v>33</v>
      </c>
      <c r="N255" s="51">
        <f>950+150</f>
        <v>1100</v>
      </c>
    </row>
    <row r="256" spans="1:17">
      <c r="A256" s="6">
        <v>46138</v>
      </c>
      <c r="B256" s="4">
        <v>0</v>
      </c>
      <c r="C256" s="4">
        <v>0</v>
      </c>
      <c r="D256" s="4">
        <v>45</v>
      </c>
      <c r="E256" s="4">
        <v>0</v>
      </c>
      <c r="F256" s="4">
        <v>50</v>
      </c>
      <c r="G256" s="10">
        <f t="shared" si="73"/>
        <v>0</v>
      </c>
      <c r="H256" s="4">
        <v>0</v>
      </c>
      <c r="I256" s="5">
        <f t="shared" si="74"/>
        <v>0</v>
      </c>
      <c r="J256" s="5">
        <f t="shared" si="75"/>
        <v>0</v>
      </c>
      <c r="K256">
        <v>0</v>
      </c>
      <c r="N256" s="51">
        <v>0</v>
      </c>
    </row>
    <row r="257" spans="1:17" ht="19">
      <c r="A257" s="91" t="s">
        <v>932</v>
      </c>
      <c r="B257" s="8">
        <f>SUM(B258:B264)</f>
        <v>59</v>
      </c>
      <c r="C257" s="8">
        <f>SUM(C258:C264)</f>
        <v>125</v>
      </c>
      <c r="D257" s="126">
        <f>SUM(D258)</f>
        <v>45</v>
      </c>
      <c r="E257" s="126">
        <f>SUM(E258:E264)</f>
        <v>6</v>
      </c>
      <c r="F257" s="126">
        <f>SUM(F258:F264)</f>
        <v>350</v>
      </c>
      <c r="G257" s="123">
        <f>B257+C257/60</f>
        <v>61.083333333333336</v>
      </c>
      <c r="H257" s="8">
        <f>SUM(H258:H264)</f>
        <v>300</v>
      </c>
      <c r="I257" s="14">
        <f>SUM(I258:I264)</f>
        <v>2748.75</v>
      </c>
      <c r="J257" s="14">
        <f>SUM(J258:J264)</f>
        <v>2448.75</v>
      </c>
      <c r="K257" s="8">
        <f>SUM(K258:K264)</f>
        <v>114</v>
      </c>
      <c r="L257" s="9">
        <v>0</v>
      </c>
      <c r="M257" s="96">
        <f>J257</f>
        <v>2448.75</v>
      </c>
      <c r="N257" s="102">
        <f>SUM(N258:N264)</f>
        <v>3114</v>
      </c>
      <c r="O257" s="98">
        <f>3160-N257</f>
        <v>46</v>
      </c>
      <c r="P257" s="86"/>
      <c r="Q257" s="86"/>
    </row>
    <row r="258" spans="1:17">
      <c r="A258" s="6">
        <v>46132</v>
      </c>
      <c r="B258" s="4">
        <v>9</v>
      </c>
      <c r="C258" s="4">
        <v>29</v>
      </c>
      <c r="D258" s="4">
        <v>45</v>
      </c>
      <c r="E258" s="4">
        <v>1</v>
      </c>
      <c r="F258" s="4">
        <v>50</v>
      </c>
      <c r="G258" s="10">
        <f t="shared" ref="G258:G262" si="76">B258+C258/60</f>
        <v>9.4833333333333325</v>
      </c>
      <c r="H258" s="4">
        <v>50</v>
      </c>
      <c r="I258" s="5">
        <f>G258*D258</f>
        <v>426.74999999999994</v>
      </c>
      <c r="J258" s="5">
        <f>I258-H258</f>
        <v>376.74999999999994</v>
      </c>
      <c r="K258">
        <v>17</v>
      </c>
      <c r="N258" s="51">
        <f>524+150</f>
        <v>674</v>
      </c>
      <c r="O258" s="51"/>
      <c r="P258" t="s">
        <v>933</v>
      </c>
    </row>
    <row r="259" spans="1:17">
      <c r="A259" s="6">
        <v>46133</v>
      </c>
      <c r="B259" s="4">
        <v>8</v>
      </c>
      <c r="C259" s="4">
        <v>31</v>
      </c>
      <c r="D259" s="4">
        <v>45</v>
      </c>
      <c r="E259" s="4">
        <v>1</v>
      </c>
      <c r="F259" s="4">
        <v>50</v>
      </c>
      <c r="G259" s="10">
        <f t="shared" si="76"/>
        <v>8.5166666666666675</v>
      </c>
      <c r="H259" s="4">
        <v>50</v>
      </c>
      <c r="I259" s="5">
        <f>G259*D259</f>
        <v>383.25000000000006</v>
      </c>
      <c r="J259" s="5">
        <f>I259-H259</f>
        <v>333.25000000000006</v>
      </c>
      <c r="K259">
        <v>20</v>
      </c>
      <c r="N259" s="51">
        <f>404</f>
        <v>404</v>
      </c>
      <c r="P259" t="s">
        <v>934</v>
      </c>
    </row>
    <row r="260" spans="1:17">
      <c r="A260" s="6">
        <v>46134</v>
      </c>
      <c r="B260" s="4">
        <v>10</v>
      </c>
      <c r="C260" s="4">
        <v>47</v>
      </c>
      <c r="D260" s="4">
        <v>45</v>
      </c>
      <c r="E260" s="4">
        <v>1</v>
      </c>
      <c r="F260" s="4">
        <v>50</v>
      </c>
      <c r="G260" s="10">
        <f t="shared" si="76"/>
        <v>10.783333333333333</v>
      </c>
      <c r="H260" s="4">
        <v>50</v>
      </c>
      <c r="I260" s="5">
        <f>G260*D260</f>
        <v>485.25</v>
      </c>
      <c r="J260" s="5">
        <f>I260-H260</f>
        <v>435.25</v>
      </c>
      <c r="K260">
        <v>15</v>
      </c>
      <c r="N260" s="51">
        <f>368</f>
        <v>368</v>
      </c>
      <c r="P260" t="s">
        <v>901</v>
      </c>
    </row>
    <row r="261" spans="1:17">
      <c r="A261" s="6">
        <v>46135</v>
      </c>
      <c r="B261" s="4">
        <v>10</v>
      </c>
      <c r="C261" s="4">
        <v>18</v>
      </c>
      <c r="D261" s="4">
        <v>45</v>
      </c>
      <c r="E261" s="4">
        <v>1</v>
      </c>
      <c r="F261" s="4">
        <v>50</v>
      </c>
      <c r="G261" s="10">
        <f t="shared" si="76"/>
        <v>10.3</v>
      </c>
      <c r="H261" s="4">
        <v>50</v>
      </c>
      <c r="I261" s="5">
        <f>G261*D261</f>
        <v>463.50000000000006</v>
      </c>
      <c r="J261" s="5">
        <f>I261-H261</f>
        <v>413.50000000000006</v>
      </c>
      <c r="K261">
        <v>20</v>
      </c>
      <c r="N261" s="51">
        <v>468</v>
      </c>
      <c r="P261" t="s">
        <v>935</v>
      </c>
    </row>
    <row r="262" spans="1:17">
      <c r="A262" s="6">
        <v>46136</v>
      </c>
      <c r="B262" s="4">
        <v>11</v>
      </c>
      <c r="C262" s="4">
        <v>0</v>
      </c>
      <c r="D262" s="4">
        <v>45</v>
      </c>
      <c r="E262" s="4">
        <v>1</v>
      </c>
      <c r="F262" s="4">
        <v>50</v>
      </c>
      <c r="G262" s="10">
        <f t="shared" si="76"/>
        <v>11</v>
      </c>
      <c r="H262" s="4">
        <v>50</v>
      </c>
      <c r="I262" s="5">
        <f>G262*D262</f>
        <v>495</v>
      </c>
      <c r="J262" s="5">
        <f>I262-H262</f>
        <v>445</v>
      </c>
      <c r="K262">
        <v>19</v>
      </c>
      <c r="N262" s="51">
        <f>333+100</f>
        <v>433</v>
      </c>
    </row>
    <row r="263" spans="1:17">
      <c r="A263" s="6">
        <v>46137</v>
      </c>
      <c r="B263" s="4">
        <v>0</v>
      </c>
      <c r="C263" s="4">
        <v>0</v>
      </c>
      <c r="D263" s="4">
        <v>45</v>
      </c>
      <c r="E263" s="4">
        <v>0</v>
      </c>
      <c r="F263" s="4">
        <v>50</v>
      </c>
      <c r="G263" s="10">
        <v>0</v>
      </c>
      <c r="H263" s="4">
        <v>0</v>
      </c>
      <c r="I263" s="5">
        <v>0</v>
      </c>
      <c r="J263" s="5">
        <v>0</v>
      </c>
      <c r="K263">
        <v>0</v>
      </c>
      <c r="N263" s="51">
        <v>0</v>
      </c>
    </row>
    <row r="264" spans="1:17">
      <c r="A264" s="6">
        <v>46138</v>
      </c>
      <c r="B264" s="4">
        <v>11</v>
      </c>
      <c r="C264" s="4">
        <v>0</v>
      </c>
      <c r="D264" s="4">
        <v>45</v>
      </c>
      <c r="E264" s="4">
        <v>1</v>
      </c>
      <c r="F264" s="4">
        <v>50</v>
      </c>
      <c r="G264" s="10">
        <f t="shared" ref="G264" si="77">B264+C264/60</f>
        <v>11</v>
      </c>
      <c r="H264" s="4">
        <v>50</v>
      </c>
      <c r="I264" s="5">
        <f>G264*D264</f>
        <v>495</v>
      </c>
      <c r="J264" s="5">
        <f>I264-H264</f>
        <v>445</v>
      </c>
      <c r="K264">
        <v>23</v>
      </c>
      <c r="N264" s="51">
        <f>617+150</f>
        <v>767</v>
      </c>
      <c r="P264" t="s">
        <v>550</v>
      </c>
    </row>
    <row r="265" spans="1:17" ht="19">
      <c r="A265" s="91" t="s">
        <v>936</v>
      </c>
      <c r="B265" s="8">
        <f>SUM(B266:B272)</f>
        <v>29</v>
      </c>
      <c r="C265" s="8">
        <f>SUM(C266:C272)</f>
        <v>226</v>
      </c>
      <c r="D265" s="8">
        <f>SUM(D266)</f>
        <v>45</v>
      </c>
      <c r="E265" s="8">
        <f>SUM(E266:E272)</f>
        <v>5</v>
      </c>
      <c r="F265" s="8">
        <f>SUM(F266:F271)</f>
        <v>300</v>
      </c>
      <c r="G265" s="93">
        <f t="shared" ref="G265:G272" si="78">B265+C265/60</f>
        <v>32.766666666666666</v>
      </c>
      <c r="H265" s="8">
        <f>SUM(H266:H272)</f>
        <v>250</v>
      </c>
      <c r="I265" s="9">
        <f>SUM(I266:I272)</f>
        <v>1474.5</v>
      </c>
      <c r="J265" s="14">
        <f>SUM(J266:J272)</f>
        <v>1224.5</v>
      </c>
      <c r="K265" s="8">
        <f>SUM(K266:K272)</f>
        <v>59</v>
      </c>
      <c r="L265" s="9">
        <v>0</v>
      </c>
      <c r="M265" s="96">
        <f>J265</f>
        <v>1224.5</v>
      </c>
      <c r="N265" s="102">
        <f>SUM(N266:N272)</f>
        <v>1351</v>
      </c>
      <c r="O265" s="98">
        <f>1385-N265</f>
        <v>34</v>
      </c>
      <c r="P265" s="86"/>
      <c r="Q265" s="86"/>
    </row>
    <row r="266" spans="1:17">
      <c r="A266" s="6">
        <v>46132</v>
      </c>
      <c r="B266" s="4">
        <v>0</v>
      </c>
      <c r="C266" s="4">
        <v>0</v>
      </c>
      <c r="D266" s="4">
        <v>45</v>
      </c>
      <c r="E266" s="4">
        <v>0</v>
      </c>
      <c r="F266" s="4">
        <v>50</v>
      </c>
      <c r="G266" s="10">
        <f t="shared" si="78"/>
        <v>0</v>
      </c>
      <c r="H266" s="4">
        <v>0</v>
      </c>
      <c r="I266" s="5">
        <f t="shared" ref="I266:I272" si="79">G266*D266</f>
        <v>0</v>
      </c>
      <c r="J266" s="5">
        <f t="shared" ref="J266:J272" si="80">I266-H266</f>
        <v>0</v>
      </c>
      <c r="K266">
        <v>0</v>
      </c>
      <c r="N266" s="51">
        <v>0</v>
      </c>
      <c r="O266" s="51"/>
    </row>
    <row r="267" spans="1:17">
      <c r="A267" s="6">
        <v>46133</v>
      </c>
      <c r="B267" s="4">
        <v>0</v>
      </c>
      <c r="C267" s="4">
        <v>0</v>
      </c>
      <c r="D267" s="4">
        <v>55</v>
      </c>
      <c r="E267" s="4">
        <v>0</v>
      </c>
      <c r="F267" s="4">
        <v>50</v>
      </c>
      <c r="G267" s="10">
        <f t="shared" si="78"/>
        <v>0</v>
      </c>
      <c r="H267" s="4">
        <v>0</v>
      </c>
      <c r="I267" s="5">
        <f t="shared" si="79"/>
        <v>0</v>
      </c>
      <c r="J267" s="5">
        <f t="shared" si="80"/>
        <v>0</v>
      </c>
      <c r="K267">
        <v>0</v>
      </c>
      <c r="N267" s="51">
        <v>0</v>
      </c>
    </row>
    <row r="268" spans="1:17">
      <c r="A268" s="6">
        <v>46134</v>
      </c>
      <c r="B268" s="4">
        <v>6</v>
      </c>
      <c r="C268" s="4">
        <v>28</v>
      </c>
      <c r="D268" s="4">
        <v>45</v>
      </c>
      <c r="E268" s="4">
        <v>1</v>
      </c>
      <c r="F268" s="4">
        <v>50</v>
      </c>
      <c r="G268" s="10">
        <f t="shared" si="78"/>
        <v>6.4666666666666668</v>
      </c>
      <c r="H268" s="4">
        <v>50</v>
      </c>
      <c r="I268" s="5">
        <f t="shared" si="79"/>
        <v>291</v>
      </c>
      <c r="J268" s="5">
        <f t="shared" si="80"/>
        <v>241</v>
      </c>
      <c r="K268">
        <v>6</v>
      </c>
      <c r="N268" s="83">
        <v>20</v>
      </c>
      <c r="Q268" t="s">
        <v>64</v>
      </c>
    </row>
    <row r="269" spans="1:17">
      <c r="A269" s="6">
        <v>46135</v>
      </c>
      <c r="B269" s="4">
        <v>9</v>
      </c>
      <c r="C269" s="4">
        <v>45</v>
      </c>
      <c r="D269" s="4">
        <v>45</v>
      </c>
      <c r="E269" s="4">
        <v>1</v>
      </c>
      <c r="F269" s="4">
        <v>50</v>
      </c>
      <c r="G269" s="10">
        <f t="shared" si="78"/>
        <v>9.75</v>
      </c>
      <c r="H269" s="4">
        <v>50</v>
      </c>
      <c r="I269" s="5">
        <f t="shared" si="79"/>
        <v>438.75</v>
      </c>
      <c r="J269" s="5">
        <f t="shared" si="80"/>
        <v>388.75</v>
      </c>
      <c r="K269">
        <v>10</v>
      </c>
      <c r="N269" s="51">
        <v>171</v>
      </c>
    </row>
    <row r="270" spans="1:17">
      <c r="A270" s="6">
        <v>46136</v>
      </c>
      <c r="B270" s="4">
        <v>7</v>
      </c>
      <c r="C270" s="4">
        <v>49</v>
      </c>
      <c r="D270" s="4">
        <v>45</v>
      </c>
      <c r="E270" s="4">
        <v>1</v>
      </c>
      <c r="F270" s="4">
        <v>50</v>
      </c>
      <c r="G270" s="10">
        <f t="shared" si="78"/>
        <v>7.8166666666666664</v>
      </c>
      <c r="H270" s="4">
        <v>50</v>
      </c>
      <c r="I270" s="5">
        <f t="shared" si="79"/>
        <v>351.75</v>
      </c>
      <c r="J270" s="5">
        <f t="shared" si="80"/>
        <v>301.75</v>
      </c>
      <c r="K270">
        <v>15</v>
      </c>
      <c r="N270" s="51">
        <v>550</v>
      </c>
    </row>
    <row r="271" spans="1:17">
      <c r="A271" s="6">
        <v>46137</v>
      </c>
      <c r="B271" s="4">
        <v>7</v>
      </c>
      <c r="C271" s="4">
        <v>50</v>
      </c>
      <c r="D271" s="4">
        <v>45</v>
      </c>
      <c r="E271" s="4">
        <v>1</v>
      </c>
      <c r="F271" s="4">
        <v>50</v>
      </c>
      <c r="G271" s="10">
        <f t="shared" si="78"/>
        <v>7.833333333333333</v>
      </c>
      <c r="H271" s="4">
        <v>50</v>
      </c>
      <c r="I271" s="5">
        <f t="shared" si="79"/>
        <v>352.5</v>
      </c>
      <c r="J271" s="5">
        <f t="shared" si="80"/>
        <v>302.5</v>
      </c>
      <c r="K271">
        <v>25</v>
      </c>
      <c r="N271" s="51">
        <v>450</v>
      </c>
    </row>
    <row r="272" spans="1:17">
      <c r="A272" s="6">
        <v>46138</v>
      </c>
      <c r="B272" s="4">
        <v>0</v>
      </c>
      <c r="C272" s="4">
        <v>54</v>
      </c>
      <c r="D272" s="4">
        <v>45</v>
      </c>
      <c r="E272" s="4">
        <v>1</v>
      </c>
      <c r="F272" s="4">
        <v>50</v>
      </c>
      <c r="G272" s="10">
        <f t="shared" si="78"/>
        <v>0.9</v>
      </c>
      <c r="H272" s="4">
        <v>50</v>
      </c>
      <c r="I272" s="5">
        <f t="shared" si="79"/>
        <v>40.5</v>
      </c>
      <c r="J272" s="5">
        <f t="shared" si="80"/>
        <v>-9.5</v>
      </c>
      <c r="K272">
        <v>3</v>
      </c>
      <c r="N272" s="51">
        <v>160</v>
      </c>
    </row>
    <row r="273" spans="1:17" ht="19">
      <c r="A273" s="91" t="s">
        <v>937</v>
      </c>
      <c r="B273" s="8">
        <f>SUM(B274:B280)</f>
        <v>43</v>
      </c>
      <c r="C273" s="173">
        <f>SUM(C274:C280)</f>
        <v>141</v>
      </c>
      <c r="D273" s="171">
        <f>SUM(D274)</f>
        <v>45</v>
      </c>
      <c r="E273" s="171">
        <f>SUM(E274:E279)</f>
        <v>4</v>
      </c>
      <c r="F273" s="171">
        <f>SUM(F274:F279)</f>
        <v>300</v>
      </c>
      <c r="G273" s="175">
        <f>B273+C273/60</f>
        <v>45.35</v>
      </c>
      <c r="H273" s="8">
        <f>SUM(H274:H280)</f>
        <v>328.6</v>
      </c>
      <c r="I273" s="14">
        <f>SUM(I274:I280)</f>
        <v>2040.75</v>
      </c>
      <c r="J273" s="14">
        <f>SUM(J274:J280)</f>
        <v>1712.15</v>
      </c>
      <c r="K273" s="8">
        <f>SUM(K274:K280)</f>
        <v>98</v>
      </c>
      <c r="L273" s="9">
        <v>0</v>
      </c>
      <c r="M273" s="96">
        <f>J273</f>
        <v>1712.15</v>
      </c>
      <c r="N273" s="102">
        <f>SUM(N274:N280)</f>
        <v>2490</v>
      </c>
      <c r="O273" s="98">
        <f>2414-N273</f>
        <v>-76</v>
      </c>
      <c r="P273" s="86"/>
      <c r="Q273" s="86"/>
    </row>
    <row r="274" spans="1:17">
      <c r="A274" s="6">
        <v>46132</v>
      </c>
      <c r="B274" s="4">
        <v>0</v>
      </c>
      <c r="C274" s="4">
        <v>0</v>
      </c>
      <c r="D274" s="141">
        <v>45</v>
      </c>
      <c r="E274" s="141">
        <v>0</v>
      </c>
      <c r="F274" s="141">
        <v>50</v>
      </c>
      <c r="G274" s="10">
        <f t="shared" ref="G274:G280" si="81">B274+C274/60</f>
        <v>0</v>
      </c>
      <c r="H274" s="4">
        <v>0</v>
      </c>
      <c r="I274" s="5">
        <f>G274*D274</f>
        <v>0</v>
      </c>
      <c r="J274" s="5">
        <f>I274-H274</f>
        <v>0</v>
      </c>
      <c r="K274">
        <v>0</v>
      </c>
      <c r="N274" s="51">
        <v>0</v>
      </c>
      <c r="O274" s="51"/>
    </row>
    <row r="275" spans="1:17">
      <c r="A275" s="6">
        <v>46133</v>
      </c>
      <c r="B275" s="4">
        <v>8</v>
      </c>
      <c r="C275" s="4">
        <v>55</v>
      </c>
      <c r="D275" s="4">
        <v>45</v>
      </c>
      <c r="E275" s="4">
        <v>1</v>
      </c>
      <c r="F275" s="4">
        <v>50</v>
      </c>
      <c r="G275" s="10">
        <f t="shared" si="81"/>
        <v>8.9166666666666661</v>
      </c>
      <c r="H275" s="4">
        <v>50</v>
      </c>
      <c r="I275" s="5">
        <f>G275*D275</f>
        <v>401.25</v>
      </c>
      <c r="J275" s="5">
        <f>I275-H275</f>
        <v>351.25</v>
      </c>
      <c r="K275">
        <v>19</v>
      </c>
      <c r="N275" s="51">
        <f>462+42</f>
        <v>504</v>
      </c>
      <c r="P275" t="s">
        <v>938</v>
      </c>
    </row>
    <row r="276" spans="1:17">
      <c r="A276" s="6">
        <v>46134</v>
      </c>
      <c r="B276" s="4">
        <v>9</v>
      </c>
      <c r="C276" s="4">
        <v>52</v>
      </c>
      <c r="D276" s="4">
        <v>45</v>
      </c>
      <c r="E276" s="4">
        <v>1</v>
      </c>
      <c r="F276" s="4">
        <v>50</v>
      </c>
      <c r="G276" s="10">
        <f t="shared" si="81"/>
        <v>9.8666666666666671</v>
      </c>
      <c r="H276" s="4">
        <f>50+78.6</f>
        <v>128.6</v>
      </c>
      <c r="I276" s="5">
        <f>G276*D276</f>
        <v>444</v>
      </c>
      <c r="J276" s="5">
        <f>I276-H276</f>
        <v>315.39999999999998</v>
      </c>
      <c r="K276">
        <v>15</v>
      </c>
      <c r="N276" s="51">
        <f>443</f>
        <v>443</v>
      </c>
      <c r="P276" t="s">
        <v>939</v>
      </c>
    </row>
    <row r="277" spans="1:17">
      <c r="A277" s="6">
        <v>46135</v>
      </c>
      <c r="B277" s="4">
        <v>10</v>
      </c>
      <c r="C277" s="4">
        <v>0</v>
      </c>
      <c r="D277" s="4">
        <v>45</v>
      </c>
      <c r="E277" s="4">
        <v>1</v>
      </c>
      <c r="F277" s="4">
        <v>50</v>
      </c>
      <c r="G277" s="10">
        <f t="shared" si="81"/>
        <v>10</v>
      </c>
      <c r="H277" s="4">
        <v>50</v>
      </c>
      <c r="I277" s="5">
        <f>G277*D277</f>
        <v>450</v>
      </c>
      <c r="J277" s="5">
        <f>I277-H277</f>
        <v>400</v>
      </c>
      <c r="K277">
        <v>18</v>
      </c>
      <c r="N277" s="51">
        <v>758</v>
      </c>
      <c r="P277" t="s">
        <v>940</v>
      </c>
    </row>
    <row r="278" spans="1:17">
      <c r="A278" s="6">
        <v>46136</v>
      </c>
      <c r="B278" s="4">
        <v>8</v>
      </c>
      <c r="C278" s="4">
        <v>30</v>
      </c>
      <c r="D278" s="4">
        <v>45</v>
      </c>
      <c r="E278" s="4">
        <v>1</v>
      </c>
      <c r="F278" s="4">
        <v>50</v>
      </c>
      <c r="G278" s="10">
        <f t="shared" si="81"/>
        <v>8.5</v>
      </c>
      <c r="H278" s="4">
        <v>50</v>
      </c>
      <c r="I278" s="5">
        <f>G278*D278</f>
        <v>382.5</v>
      </c>
      <c r="J278" s="5">
        <f>I278-H278</f>
        <v>332.5</v>
      </c>
      <c r="K278">
        <v>23</v>
      </c>
      <c r="N278" s="51">
        <f>455</f>
        <v>455</v>
      </c>
      <c r="P278" t="s">
        <v>941</v>
      </c>
    </row>
    <row r="279" spans="1:17">
      <c r="A279" s="6">
        <v>46137</v>
      </c>
      <c r="B279" s="4">
        <v>0</v>
      </c>
      <c r="C279" s="4">
        <v>0</v>
      </c>
      <c r="D279" s="4">
        <v>45</v>
      </c>
      <c r="E279" s="4">
        <v>0</v>
      </c>
      <c r="F279" s="4">
        <v>50</v>
      </c>
      <c r="G279" s="10">
        <f t="shared" si="81"/>
        <v>0</v>
      </c>
      <c r="H279" s="4">
        <v>0</v>
      </c>
      <c r="I279" s="5">
        <f t="shared" ref="I279:I280" si="82">G279*D279</f>
        <v>0</v>
      </c>
      <c r="J279" s="5">
        <f t="shared" ref="J279:J280" si="83">I279-H279</f>
        <v>0</v>
      </c>
      <c r="K279">
        <v>0</v>
      </c>
      <c r="N279" s="51"/>
    </row>
    <row r="280" spans="1:17">
      <c r="A280" s="6">
        <v>46138</v>
      </c>
      <c r="B280" s="4">
        <v>8</v>
      </c>
      <c r="C280" s="4">
        <v>4</v>
      </c>
      <c r="D280" s="7">
        <v>45</v>
      </c>
      <c r="E280" s="7">
        <v>1</v>
      </c>
      <c r="F280" s="7">
        <v>50</v>
      </c>
      <c r="G280" s="10">
        <f t="shared" si="81"/>
        <v>8.0666666666666664</v>
      </c>
      <c r="H280" s="4">
        <v>50</v>
      </c>
      <c r="I280" s="5">
        <f t="shared" si="82"/>
        <v>363</v>
      </c>
      <c r="J280" s="5">
        <f t="shared" si="83"/>
        <v>313</v>
      </c>
      <c r="K280">
        <v>23</v>
      </c>
      <c r="N280" s="51">
        <v>330</v>
      </c>
      <c r="P280" t="s">
        <v>942</v>
      </c>
    </row>
    <row r="281" spans="1:17" ht="19">
      <c r="A281" s="91" t="s">
        <v>943</v>
      </c>
      <c r="B281" s="8">
        <f>SUM(B282:B288)</f>
        <v>18</v>
      </c>
      <c r="C281" s="8">
        <f>SUM(C282:C288)</f>
        <v>42</v>
      </c>
      <c r="D281" s="126">
        <f>SUM(D282)</f>
        <v>45</v>
      </c>
      <c r="E281" s="126">
        <f>SUM(E282:E288)</f>
        <v>2</v>
      </c>
      <c r="F281" s="126">
        <f>SUM(F282:F288)</f>
        <v>350</v>
      </c>
      <c r="G281" s="123">
        <f>B281+C281/60</f>
        <v>18.7</v>
      </c>
      <c r="H281" s="8">
        <f>SUM(H282:H288)</f>
        <v>100</v>
      </c>
      <c r="I281" s="14">
        <f>SUM(I282:I288)</f>
        <v>841.5</v>
      </c>
      <c r="J281" s="14">
        <f>SUM(J282:J288)</f>
        <v>741.5</v>
      </c>
      <c r="K281" s="8">
        <f>SUM(K282:K288)</f>
        <v>46</v>
      </c>
      <c r="L281" s="9">
        <v>0</v>
      </c>
      <c r="M281" s="96">
        <f>J281</f>
        <v>741.5</v>
      </c>
      <c r="N281" s="102">
        <f>SUM(N282:N288)</f>
        <v>703</v>
      </c>
      <c r="O281" s="98">
        <f>938-N281</f>
        <v>235</v>
      </c>
      <c r="P281" s="86"/>
      <c r="Q281" s="86"/>
    </row>
    <row r="282" spans="1:17">
      <c r="A282" s="6">
        <v>46132</v>
      </c>
      <c r="B282" s="4">
        <v>9</v>
      </c>
      <c r="C282" s="4">
        <v>17</v>
      </c>
      <c r="D282" s="4">
        <v>45</v>
      </c>
      <c r="E282" s="4">
        <v>1</v>
      </c>
      <c r="F282" s="4">
        <v>50</v>
      </c>
      <c r="G282" s="10">
        <f t="shared" ref="G282:G286" si="84">B282+C282/60</f>
        <v>9.2833333333333332</v>
      </c>
      <c r="H282" s="4">
        <v>50</v>
      </c>
      <c r="I282" s="5">
        <f>G282*D282</f>
        <v>417.75</v>
      </c>
      <c r="J282" s="5">
        <f>I282-H282</f>
        <v>367.75</v>
      </c>
      <c r="K282">
        <v>23</v>
      </c>
      <c r="N282" s="51">
        <f>206</f>
        <v>206</v>
      </c>
      <c r="O282" s="51"/>
      <c r="P282" t="s">
        <v>944</v>
      </c>
    </row>
    <row r="283" spans="1:17">
      <c r="A283" s="6">
        <v>46133</v>
      </c>
      <c r="B283" s="4">
        <v>9</v>
      </c>
      <c r="C283" s="4">
        <v>25</v>
      </c>
      <c r="D283" s="4">
        <v>45</v>
      </c>
      <c r="E283" s="4">
        <v>1</v>
      </c>
      <c r="F283" s="4">
        <v>50</v>
      </c>
      <c r="G283" s="10">
        <f t="shared" si="84"/>
        <v>9.4166666666666661</v>
      </c>
      <c r="H283" s="4">
        <v>50</v>
      </c>
      <c r="I283" s="5">
        <f>G283*D283</f>
        <v>423.75</v>
      </c>
      <c r="J283" s="5">
        <f>I283-H283</f>
        <v>373.75</v>
      </c>
      <c r="K283">
        <v>23</v>
      </c>
      <c r="N283" s="51">
        <f>377</f>
        <v>377</v>
      </c>
      <c r="P283" t="s">
        <v>945</v>
      </c>
    </row>
    <row r="284" spans="1:17">
      <c r="A284" s="6">
        <v>46134</v>
      </c>
      <c r="B284" s="4">
        <v>0</v>
      </c>
      <c r="C284" s="4">
        <v>0</v>
      </c>
      <c r="D284" s="4">
        <v>45</v>
      </c>
      <c r="E284" s="4">
        <v>0</v>
      </c>
      <c r="F284" s="4">
        <v>50</v>
      </c>
      <c r="G284" s="10">
        <f t="shared" si="84"/>
        <v>0</v>
      </c>
      <c r="H284" s="4">
        <v>0</v>
      </c>
      <c r="I284" s="5">
        <f>G284*D284</f>
        <v>0</v>
      </c>
      <c r="J284" s="5">
        <f>I284-H284</f>
        <v>0</v>
      </c>
      <c r="K284">
        <v>0</v>
      </c>
      <c r="N284" s="51">
        <v>0</v>
      </c>
    </row>
    <row r="285" spans="1:17">
      <c r="A285" s="6">
        <v>46135</v>
      </c>
      <c r="B285" s="4">
        <v>0</v>
      </c>
      <c r="C285" s="4">
        <v>0</v>
      </c>
      <c r="D285" s="4">
        <v>45</v>
      </c>
      <c r="E285" s="4">
        <v>0</v>
      </c>
      <c r="F285" s="4">
        <v>50</v>
      </c>
      <c r="G285" s="10">
        <f t="shared" si="84"/>
        <v>0</v>
      </c>
      <c r="H285" s="4">
        <v>0</v>
      </c>
      <c r="I285" s="5">
        <f>G285*D285</f>
        <v>0</v>
      </c>
      <c r="J285" s="5">
        <f>I285-H285</f>
        <v>0</v>
      </c>
      <c r="K285">
        <v>0</v>
      </c>
      <c r="N285" s="51">
        <v>0</v>
      </c>
    </row>
    <row r="286" spans="1:17">
      <c r="A286" s="6">
        <v>46136</v>
      </c>
      <c r="B286" s="4">
        <v>0</v>
      </c>
      <c r="C286" s="4">
        <v>0</v>
      </c>
      <c r="D286" s="4">
        <v>45</v>
      </c>
      <c r="E286" s="4">
        <v>0</v>
      </c>
      <c r="F286" s="4">
        <v>50</v>
      </c>
      <c r="G286" s="10">
        <f t="shared" si="84"/>
        <v>0</v>
      </c>
      <c r="H286" s="4">
        <v>0</v>
      </c>
      <c r="I286" s="5">
        <f>G286*D286</f>
        <v>0</v>
      </c>
      <c r="J286" s="5">
        <f>I286-H286</f>
        <v>0</v>
      </c>
      <c r="K286">
        <v>0</v>
      </c>
      <c r="N286" s="51">
        <v>0</v>
      </c>
    </row>
    <row r="287" spans="1:17">
      <c r="A287" s="6">
        <v>46137</v>
      </c>
      <c r="B287" s="4">
        <v>0</v>
      </c>
      <c r="C287" s="4">
        <v>0</v>
      </c>
      <c r="D287" s="4">
        <v>45</v>
      </c>
      <c r="E287" s="4">
        <v>0</v>
      </c>
      <c r="F287" s="4">
        <v>50</v>
      </c>
      <c r="G287" s="10">
        <v>0</v>
      </c>
      <c r="H287" s="4">
        <v>0</v>
      </c>
      <c r="I287" s="5">
        <v>0</v>
      </c>
      <c r="J287" s="5">
        <v>0</v>
      </c>
      <c r="K287">
        <v>0</v>
      </c>
      <c r="N287" s="51">
        <v>0</v>
      </c>
    </row>
    <row r="288" spans="1:17">
      <c r="A288" s="6">
        <v>46138</v>
      </c>
      <c r="B288" s="4">
        <v>0</v>
      </c>
      <c r="C288" s="4">
        <v>0</v>
      </c>
      <c r="D288" s="4">
        <v>45</v>
      </c>
      <c r="E288" s="4">
        <v>0</v>
      </c>
      <c r="F288" s="4">
        <v>50</v>
      </c>
      <c r="G288" s="10">
        <f t="shared" ref="G288" si="85">B288+C288/60</f>
        <v>0</v>
      </c>
      <c r="H288" s="4">
        <v>0</v>
      </c>
      <c r="I288" s="5">
        <f>G288*D288</f>
        <v>0</v>
      </c>
      <c r="J288" s="5">
        <f>I288-H288</f>
        <v>0</v>
      </c>
      <c r="K288">
        <v>0</v>
      </c>
      <c r="N288" s="51">
        <v>120</v>
      </c>
      <c r="P288" t="s">
        <v>960</v>
      </c>
    </row>
    <row r="289" spans="1:17" ht="19">
      <c r="A289" s="91" t="s">
        <v>946</v>
      </c>
      <c r="B289" s="8">
        <f>SUM(B290:B296)</f>
        <v>60</v>
      </c>
      <c r="C289" s="8">
        <f>SUM(C290:C296)</f>
        <v>154</v>
      </c>
      <c r="D289" s="126">
        <f>SUM(D290)</f>
        <v>45</v>
      </c>
      <c r="E289" s="126">
        <f>SUM(E290:E296)</f>
        <v>6</v>
      </c>
      <c r="F289" s="126">
        <f>SUM(F290:F296)</f>
        <v>350</v>
      </c>
      <c r="G289" s="123">
        <f>B289+C289/60</f>
        <v>62.56666666666667</v>
      </c>
      <c r="H289" s="8">
        <f>SUM(H290:H296)</f>
        <v>300</v>
      </c>
      <c r="I289" s="14">
        <f>SUM(I290:I296)</f>
        <v>3894.5</v>
      </c>
      <c r="J289" s="14">
        <f>SUM(J290:J296)</f>
        <v>3594.5</v>
      </c>
      <c r="K289" s="8">
        <f>SUM(K290:K296)</f>
        <v>204</v>
      </c>
      <c r="L289" s="9">
        <v>0</v>
      </c>
      <c r="M289" s="96">
        <f>J289</f>
        <v>3594.5</v>
      </c>
      <c r="N289" s="102">
        <f>SUM(N290:N296)</f>
        <v>5241</v>
      </c>
      <c r="O289" s="98">
        <f>5246-N289</f>
        <v>5</v>
      </c>
      <c r="P289" s="86"/>
      <c r="Q289" s="86"/>
    </row>
    <row r="290" spans="1:17">
      <c r="A290" s="6">
        <v>46132</v>
      </c>
      <c r="B290" s="4">
        <v>0</v>
      </c>
      <c r="C290" s="4">
        <v>0</v>
      </c>
      <c r="D290" s="4">
        <v>45</v>
      </c>
      <c r="E290" s="4">
        <v>0</v>
      </c>
      <c r="F290" s="4">
        <v>50</v>
      </c>
      <c r="G290" s="10">
        <f t="shared" ref="G290:G296" si="86">B290+C290/60</f>
        <v>0</v>
      </c>
      <c r="H290" s="4">
        <v>0</v>
      </c>
      <c r="I290" s="5">
        <f>G290*D290</f>
        <v>0</v>
      </c>
      <c r="J290" s="5">
        <f>I290-H290</f>
        <v>0</v>
      </c>
      <c r="K290">
        <v>0</v>
      </c>
      <c r="N290" s="51">
        <v>0</v>
      </c>
      <c r="O290" s="51"/>
    </row>
    <row r="291" spans="1:17">
      <c r="A291" s="6">
        <v>46133</v>
      </c>
      <c r="B291" s="4">
        <v>8</v>
      </c>
      <c r="C291" s="4">
        <v>37</v>
      </c>
      <c r="D291" s="4">
        <v>45</v>
      </c>
      <c r="E291" s="4">
        <v>1</v>
      </c>
      <c r="F291" s="4">
        <v>50</v>
      </c>
      <c r="G291" s="10">
        <f t="shared" si="86"/>
        <v>8.6166666666666671</v>
      </c>
      <c r="H291" s="4">
        <v>50</v>
      </c>
      <c r="I291" s="5">
        <f>G291*D291</f>
        <v>387.75</v>
      </c>
      <c r="J291" s="5">
        <f>I291-H291</f>
        <v>337.75</v>
      </c>
      <c r="K291">
        <v>24</v>
      </c>
      <c r="N291" s="51">
        <f>423+150</f>
        <v>573</v>
      </c>
    </row>
    <row r="292" spans="1:17">
      <c r="A292" s="6">
        <v>46134</v>
      </c>
      <c r="B292" s="4">
        <v>11</v>
      </c>
      <c r="C292" s="4">
        <v>0</v>
      </c>
      <c r="D292" s="4">
        <v>65</v>
      </c>
      <c r="E292" s="4">
        <v>1</v>
      </c>
      <c r="F292" s="4">
        <v>50</v>
      </c>
      <c r="G292" s="10">
        <f t="shared" si="86"/>
        <v>11</v>
      </c>
      <c r="H292" s="4">
        <v>50</v>
      </c>
      <c r="I292" s="5">
        <f>G292*D292</f>
        <v>715</v>
      </c>
      <c r="J292" s="5">
        <f>I292-H292</f>
        <v>665</v>
      </c>
      <c r="K292">
        <v>32</v>
      </c>
      <c r="N292" s="51">
        <v>758</v>
      </c>
    </row>
    <row r="293" spans="1:17">
      <c r="A293" s="6">
        <v>46135</v>
      </c>
      <c r="B293" s="4">
        <v>10</v>
      </c>
      <c r="C293" s="4">
        <v>24</v>
      </c>
      <c r="D293" s="4">
        <v>65</v>
      </c>
      <c r="E293" s="4">
        <v>1</v>
      </c>
      <c r="F293" s="4">
        <v>50</v>
      </c>
      <c r="G293" s="10">
        <f t="shared" si="86"/>
        <v>10.4</v>
      </c>
      <c r="H293" s="4">
        <v>50</v>
      </c>
      <c r="I293" s="5">
        <f>G293*D293</f>
        <v>676</v>
      </c>
      <c r="J293" s="5">
        <f>I293-H293</f>
        <v>626</v>
      </c>
      <c r="K293">
        <v>32</v>
      </c>
      <c r="N293" s="51">
        <v>700</v>
      </c>
    </row>
    <row r="294" spans="1:17">
      <c r="A294" s="6">
        <v>46136</v>
      </c>
      <c r="B294" s="4">
        <v>10</v>
      </c>
      <c r="C294" s="4">
        <v>48</v>
      </c>
      <c r="D294" s="4">
        <v>65</v>
      </c>
      <c r="E294" s="4">
        <v>1</v>
      </c>
      <c r="F294" s="4">
        <v>50</v>
      </c>
      <c r="G294" s="10">
        <f t="shared" si="86"/>
        <v>10.8</v>
      </c>
      <c r="H294" s="4">
        <v>50</v>
      </c>
      <c r="I294" s="5">
        <f>G294*D294</f>
        <v>702</v>
      </c>
      <c r="J294" s="5">
        <f>I294-H294</f>
        <v>652</v>
      </c>
      <c r="K294">
        <v>32</v>
      </c>
      <c r="N294" s="51">
        <f>700+150</f>
        <v>850</v>
      </c>
    </row>
    <row r="295" spans="1:17">
      <c r="A295" s="6">
        <v>46137</v>
      </c>
      <c r="B295" s="4">
        <v>11</v>
      </c>
      <c r="C295" s="4">
        <v>0</v>
      </c>
      <c r="D295" s="4">
        <v>65</v>
      </c>
      <c r="E295" s="4">
        <v>1</v>
      </c>
      <c r="F295" s="4">
        <v>50</v>
      </c>
      <c r="G295" s="10">
        <f t="shared" si="86"/>
        <v>11</v>
      </c>
      <c r="H295" s="4">
        <v>50</v>
      </c>
      <c r="I295" s="5">
        <f t="shared" ref="I295:I296" si="87">G295*D295</f>
        <v>715</v>
      </c>
      <c r="J295" s="5">
        <f t="shared" ref="J295:J296" si="88">I295-H295</f>
        <v>665</v>
      </c>
      <c r="K295">
        <v>47</v>
      </c>
      <c r="N295" s="51">
        <v>1307</v>
      </c>
    </row>
    <row r="296" spans="1:17">
      <c r="A296" s="6">
        <v>46138</v>
      </c>
      <c r="B296" s="4">
        <v>10</v>
      </c>
      <c r="C296" s="4">
        <v>45</v>
      </c>
      <c r="D296" s="4">
        <v>65</v>
      </c>
      <c r="E296" s="4">
        <v>1</v>
      </c>
      <c r="F296" s="4">
        <v>50</v>
      </c>
      <c r="G296" s="10">
        <f t="shared" si="86"/>
        <v>10.75</v>
      </c>
      <c r="H296" s="4">
        <v>50</v>
      </c>
      <c r="I296" s="5">
        <f t="shared" si="87"/>
        <v>698.75</v>
      </c>
      <c r="J296" s="5">
        <f t="shared" si="88"/>
        <v>648.75</v>
      </c>
      <c r="K296">
        <v>37</v>
      </c>
      <c r="N296" s="51">
        <v>1053</v>
      </c>
    </row>
    <row r="297" spans="1:17" ht="19">
      <c r="A297" s="91" t="s">
        <v>560</v>
      </c>
      <c r="B297" s="8">
        <f>SUM(B298:B304)</f>
        <v>20</v>
      </c>
      <c r="C297" s="8">
        <f>SUM(C298:C304)</f>
        <v>4</v>
      </c>
      <c r="D297" s="8">
        <f>SUM(D298)</f>
        <v>65</v>
      </c>
      <c r="E297" s="8">
        <f>SUM(E298:E304)</f>
        <v>2</v>
      </c>
      <c r="F297" s="8">
        <f>SUM(F298:F304)</f>
        <v>350</v>
      </c>
      <c r="G297" s="93">
        <f t="shared" ref="G297:G336" si="89">B297+C297/60</f>
        <v>20.066666666666666</v>
      </c>
      <c r="H297" s="8">
        <f>SUM(H298:H304)</f>
        <v>100</v>
      </c>
      <c r="I297" s="9">
        <f>SUM(I298:I304)</f>
        <v>1103.6666666666665</v>
      </c>
      <c r="J297" s="9">
        <f t="shared" ref="J297:K297" si="90">SUM(J298:J304)</f>
        <v>1003.6666666666666</v>
      </c>
      <c r="K297" s="8">
        <f t="shared" si="90"/>
        <v>57</v>
      </c>
      <c r="L297" s="9">
        <v>0</v>
      </c>
      <c r="M297" s="96">
        <f>J297</f>
        <v>1003.6666666666666</v>
      </c>
      <c r="N297" s="102">
        <f>SUM(N298:N304)</f>
        <v>1140</v>
      </c>
      <c r="O297" s="98">
        <f>1335-N297</f>
        <v>195</v>
      </c>
      <c r="P297" s="86"/>
      <c r="Q297" s="86"/>
    </row>
    <row r="298" spans="1:17">
      <c r="A298" s="80" t="s">
        <v>820</v>
      </c>
      <c r="B298" s="4">
        <v>10</v>
      </c>
      <c r="C298" s="4">
        <v>2</v>
      </c>
      <c r="D298" s="4">
        <v>65</v>
      </c>
      <c r="E298" s="4">
        <v>1</v>
      </c>
      <c r="F298" s="4">
        <v>50</v>
      </c>
      <c r="G298" s="10">
        <f t="shared" si="89"/>
        <v>10.033333333333333</v>
      </c>
      <c r="H298" s="4">
        <v>50</v>
      </c>
      <c r="I298" s="5">
        <f t="shared" ref="I298:I328" si="91">G298*D298</f>
        <v>652.16666666666663</v>
      </c>
      <c r="J298" s="5">
        <f t="shared" ref="J298:J328" si="92">I298-H298</f>
        <v>602.16666666666663</v>
      </c>
      <c r="K298">
        <v>34</v>
      </c>
      <c r="N298" s="51">
        <v>630</v>
      </c>
      <c r="O298" s="51"/>
      <c r="P298" t="s">
        <v>947</v>
      </c>
    </row>
    <row r="299" spans="1:17">
      <c r="A299" s="80" t="s">
        <v>822</v>
      </c>
      <c r="B299" s="4">
        <v>10</v>
      </c>
      <c r="C299" s="4">
        <v>2</v>
      </c>
      <c r="D299" s="4">
        <v>45</v>
      </c>
      <c r="E299" s="4">
        <v>1</v>
      </c>
      <c r="F299" s="4">
        <v>50</v>
      </c>
      <c r="G299" s="10">
        <f t="shared" si="89"/>
        <v>10.033333333333333</v>
      </c>
      <c r="H299" s="4">
        <v>50</v>
      </c>
      <c r="I299" s="5">
        <f t="shared" si="91"/>
        <v>451.5</v>
      </c>
      <c r="J299" s="5">
        <f t="shared" si="92"/>
        <v>401.5</v>
      </c>
      <c r="K299">
        <v>23</v>
      </c>
      <c r="N299" s="51">
        <v>510</v>
      </c>
      <c r="P299" t="s">
        <v>948</v>
      </c>
    </row>
    <row r="300" spans="1:17">
      <c r="A300" s="80" t="s">
        <v>824</v>
      </c>
      <c r="B300" s="4">
        <v>0</v>
      </c>
      <c r="C300" s="4">
        <v>0</v>
      </c>
      <c r="D300" s="4">
        <v>45</v>
      </c>
      <c r="E300" s="4">
        <v>0</v>
      </c>
      <c r="F300" s="4">
        <v>50</v>
      </c>
      <c r="G300" s="10">
        <f t="shared" si="89"/>
        <v>0</v>
      </c>
      <c r="H300" s="4">
        <v>0</v>
      </c>
      <c r="I300" s="5">
        <f t="shared" si="91"/>
        <v>0</v>
      </c>
      <c r="J300" s="5">
        <f t="shared" si="92"/>
        <v>0</v>
      </c>
      <c r="K300">
        <v>0</v>
      </c>
      <c r="N300" s="51">
        <v>0</v>
      </c>
    </row>
    <row r="301" spans="1:17">
      <c r="A301" s="80" t="s">
        <v>826</v>
      </c>
      <c r="B301" s="4">
        <v>0</v>
      </c>
      <c r="C301" s="4">
        <v>0</v>
      </c>
      <c r="D301" s="4">
        <v>45</v>
      </c>
      <c r="E301" s="4">
        <v>0</v>
      </c>
      <c r="F301" s="4">
        <v>50</v>
      </c>
      <c r="G301" s="10">
        <f t="shared" si="89"/>
        <v>0</v>
      </c>
      <c r="H301" s="4">
        <v>0</v>
      </c>
      <c r="I301" s="5">
        <f t="shared" si="91"/>
        <v>0</v>
      </c>
      <c r="J301" s="5">
        <f t="shared" si="92"/>
        <v>0</v>
      </c>
      <c r="K301">
        <v>0</v>
      </c>
      <c r="N301" s="51">
        <v>0</v>
      </c>
    </row>
    <row r="302" spans="1:17">
      <c r="A302" s="80" t="s">
        <v>828</v>
      </c>
      <c r="B302" s="4">
        <v>0</v>
      </c>
      <c r="C302" s="4">
        <v>0</v>
      </c>
      <c r="D302" s="4">
        <v>45</v>
      </c>
      <c r="E302" s="4">
        <v>0</v>
      </c>
      <c r="F302" s="4">
        <v>50</v>
      </c>
      <c r="G302" s="10">
        <f t="shared" si="89"/>
        <v>0</v>
      </c>
      <c r="H302" s="4">
        <v>0</v>
      </c>
      <c r="I302" s="5">
        <f t="shared" si="91"/>
        <v>0</v>
      </c>
      <c r="J302" s="5">
        <f t="shared" si="92"/>
        <v>0</v>
      </c>
      <c r="K302">
        <v>0</v>
      </c>
      <c r="N302" s="51">
        <v>0</v>
      </c>
    </row>
    <row r="303" spans="1:17">
      <c r="A303" s="80" t="s">
        <v>830</v>
      </c>
      <c r="B303" s="4">
        <v>0</v>
      </c>
      <c r="C303" s="4">
        <v>0</v>
      </c>
      <c r="D303" s="4">
        <v>0</v>
      </c>
      <c r="E303" s="4">
        <v>0</v>
      </c>
      <c r="F303" s="4">
        <v>50</v>
      </c>
      <c r="G303" s="10">
        <v>0</v>
      </c>
      <c r="H303" s="4">
        <v>0</v>
      </c>
      <c r="I303" s="5">
        <f t="shared" si="91"/>
        <v>0</v>
      </c>
      <c r="J303" s="5">
        <f t="shared" si="92"/>
        <v>0</v>
      </c>
      <c r="N303" s="51"/>
    </row>
    <row r="304" spans="1:17">
      <c r="A304" s="80" t="s">
        <v>831</v>
      </c>
      <c r="B304" s="4">
        <v>0</v>
      </c>
      <c r="C304" s="4">
        <v>0</v>
      </c>
      <c r="D304" s="4">
        <v>0</v>
      </c>
      <c r="E304" s="4">
        <v>0</v>
      </c>
      <c r="F304" s="4">
        <v>50</v>
      </c>
      <c r="G304" s="10">
        <v>0</v>
      </c>
      <c r="H304" s="4">
        <v>0</v>
      </c>
      <c r="I304" s="5">
        <f t="shared" si="91"/>
        <v>0</v>
      </c>
      <c r="J304" s="5">
        <f t="shared" si="92"/>
        <v>0</v>
      </c>
      <c r="N304" s="51"/>
    </row>
    <row r="305" spans="1:17" ht="19">
      <c r="A305" s="91" t="s">
        <v>949</v>
      </c>
      <c r="B305" s="8">
        <f>SUM(B306:B311)</f>
        <v>31</v>
      </c>
      <c r="C305" s="8">
        <f>SUM(C306:C311)</f>
        <v>66</v>
      </c>
      <c r="D305" s="8">
        <f>SUM(D306)</f>
        <v>45</v>
      </c>
      <c r="E305" s="8">
        <f>SUM(E306:E311)</f>
        <v>6</v>
      </c>
      <c r="F305" s="8">
        <f>SUM(F306:F311)</f>
        <v>300</v>
      </c>
      <c r="G305" s="93">
        <f t="shared" si="89"/>
        <v>32.1</v>
      </c>
      <c r="H305" s="8">
        <f>SUM(H306:H312)</f>
        <v>200</v>
      </c>
      <c r="I305" s="9">
        <f>SUM(I306:I312)</f>
        <v>1919.25</v>
      </c>
      <c r="J305" s="9">
        <f>SUM(J306:J312)</f>
        <v>1719.25</v>
      </c>
      <c r="K305" s="8">
        <f>SUM(K306:K312)</f>
        <v>62</v>
      </c>
      <c r="L305" s="9">
        <v>0</v>
      </c>
      <c r="M305" s="96">
        <f>J305</f>
        <v>1719.25</v>
      </c>
      <c r="N305" s="102">
        <f>SUM(N306:N312)</f>
        <v>2111</v>
      </c>
      <c r="O305" s="98">
        <f>2079-N305</f>
        <v>-32</v>
      </c>
      <c r="P305" s="86"/>
      <c r="Q305" s="86"/>
    </row>
    <row r="306" spans="1:17">
      <c r="A306" s="6">
        <v>46132</v>
      </c>
      <c r="B306" s="4">
        <v>0</v>
      </c>
      <c r="C306" s="4">
        <v>0</v>
      </c>
      <c r="D306" s="4">
        <v>45</v>
      </c>
      <c r="E306" s="4">
        <v>1</v>
      </c>
      <c r="F306" s="4">
        <v>50</v>
      </c>
      <c r="G306" s="10">
        <f t="shared" si="89"/>
        <v>0</v>
      </c>
      <c r="H306" s="4">
        <v>0</v>
      </c>
      <c r="I306" s="5">
        <f t="shared" ref="I306:I312" si="93">G306*D306</f>
        <v>0</v>
      </c>
      <c r="J306" s="5">
        <f t="shared" ref="J306:J312" si="94">I306-H306</f>
        <v>0</v>
      </c>
      <c r="K306">
        <v>0</v>
      </c>
      <c r="N306" s="51">
        <v>0</v>
      </c>
      <c r="O306" s="51"/>
    </row>
    <row r="307" spans="1:17">
      <c r="A307" s="6">
        <v>46133</v>
      </c>
      <c r="B307" s="4">
        <v>0</v>
      </c>
      <c r="C307" s="4">
        <v>0</v>
      </c>
      <c r="D307" s="4">
        <v>55</v>
      </c>
      <c r="E307" s="4">
        <v>1</v>
      </c>
      <c r="F307" s="4">
        <v>50</v>
      </c>
      <c r="G307" s="10">
        <f t="shared" si="89"/>
        <v>0</v>
      </c>
      <c r="H307" s="4">
        <v>0</v>
      </c>
      <c r="I307" s="5">
        <f t="shared" si="93"/>
        <v>0</v>
      </c>
      <c r="J307" s="5">
        <f t="shared" si="94"/>
        <v>0</v>
      </c>
      <c r="K307">
        <v>0</v>
      </c>
      <c r="N307" s="51">
        <v>0</v>
      </c>
    </row>
    <row r="308" spans="1:17">
      <c r="A308" s="6">
        <v>46134</v>
      </c>
      <c r="B308" s="4">
        <v>0</v>
      </c>
      <c r="C308" s="4">
        <v>0</v>
      </c>
      <c r="D308" s="4">
        <v>45</v>
      </c>
      <c r="E308" s="4">
        <v>1</v>
      </c>
      <c r="F308" s="4">
        <v>50</v>
      </c>
      <c r="G308" s="10">
        <f t="shared" si="89"/>
        <v>0</v>
      </c>
      <c r="H308" s="4">
        <v>0</v>
      </c>
      <c r="I308" s="5">
        <f t="shared" si="93"/>
        <v>0</v>
      </c>
      <c r="J308" s="5">
        <f t="shared" si="94"/>
        <v>0</v>
      </c>
      <c r="K308">
        <v>0</v>
      </c>
      <c r="N308" s="83">
        <v>0</v>
      </c>
      <c r="Q308" t="s">
        <v>64</v>
      </c>
    </row>
    <row r="309" spans="1:17">
      <c r="A309" s="6">
        <v>46135</v>
      </c>
      <c r="B309" s="4">
        <v>11</v>
      </c>
      <c r="C309" s="4">
        <v>0</v>
      </c>
      <c r="D309" s="4">
        <v>45</v>
      </c>
      <c r="E309" s="4">
        <v>1</v>
      </c>
      <c r="F309" s="4">
        <v>50</v>
      </c>
      <c r="G309" s="10">
        <f t="shared" si="89"/>
        <v>11</v>
      </c>
      <c r="H309" s="4">
        <v>50</v>
      </c>
      <c r="I309" s="5">
        <f t="shared" si="93"/>
        <v>495</v>
      </c>
      <c r="J309" s="5">
        <f t="shared" si="94"/>
        <v>445</v>
      </c>
      <c r="K309">
        <v>7</v>
      </c>
      <c r="N309" s="51">
        <v>120</v>
      </c>
    </row>
    <row r="310" spans="1:17">
      <c r="A310" s="6">
        <v>46136</v>
      </c>
      <c r="B310" s="4">
        <v>10</v>
      </c>
      <c r="C310" s="4">
        <v>31</v>
      </c>
      <c r="D310" s="4">
        <v>45</v>
      </c>
      <c r="E310" s="4">
        <v>1</v>
      </c>
      <c r="F310" s="4">
        <v>50</v>
      </c>
      <c r="G310" s="10">
        <f t="shared" si="89"/>
        <v>10.516666666666667</v>
      </c>
      <c r="H310" s="4">
        <v>50</v>
      </c>
      <c r="I310" s="5">
        <f t="shared" si="93"/>
        <v>473.25000000000006</v>
      </c>
      <c r="J310" s="5">
        <f t="shared" si="94"/>
        <v>423.25000000000006</v>
      </c>
      <c r="K310">
        <v>17</v>
      </c>
      <c r="N310" s="51">
        <v>535</v>
      </c>
    </row>
    <row r="311" spans="1:17">
      <c r="A311" s="6">
        <v>46137</v>
      </c>
      <c r="B311" s="4">
        <v>10</v>
      </c>
      <c r="C311" s="4">
        <v>35</v>
      </c>
      <c r="D311" s="4">
        <v>45</v>
      </c>
      <c r="E311" s="4">
        <v>1</v>
      </c>
      <c r="F311" s="4">
        <v>50</v>
      </c>
      <c r="G311" s="10">
        <f t="shared" si="89"/>
        <v>10.583333333333334</v>
      </c>
      <c r="H311" s="4">
        <v>50</v>
      </c>
      <c r="I311" s="5">
        <f t="shared" si="93"/>
        <v>476.25</v>
      </c>
      <c r="J311" s="5">
        <f t="shared" si="94"/>
        <v>426.25</v>
      </c>
      <c r="K311">
        <v>21</v>
      </c>
      <c r="N311" s="51">
        <v>850</v>
      </c>
    </row>
    <row r="312" spans="1:17">
      <c r="A312" s="6">
        <v>46138</v>
      </c>
      <c r="B312" s="4">
        <v>10</v>
      </c>
      <c r="C312" s="4">
        <v>33</v>
      </c>
      <c r="D312" s="4">
        <v>45</v>
      </c>
      <c r="E312" s="4">
        <v>1</v>
      </c>
      <c r="F312" s="4">
        <v>50</v>
      </c>
      <c r="G312" s="10">
        <f t="shared" si="89"/>
        <v>10.55</v>
      </c>
      <c r="H312" s="4">
        <v>50</v>
      </c>
      <c r="I312" s="5">
        <f t="shared" si="93"/>
        <v>474.75000000000006</v>
      </c>
      <c r="J312" s="5">
        <f t="shared" si="94"/>
        <v>424.75000000000006</v>
      </c>
      <c r="K312">
        <v>17</v>
      </c>
      <c r="N312" s="51">
        <v>606</v>
      </c>
    </row>
    <row r="313" spans="1:17" ht="19">
      <c r="A313" s="178" t="s">
        <v>950</v>
      </c>
      <c r="B313" s="8">
        <f>SUM(B314:B320)</f>
        <v>63</v>
      </c>
      <c r="C313" s="8">
        <f>SUM(C314:C320)</f>
        <v>225</v>
      </c>
      <c r="D313" s="126">
        <f>SUM(D314)</f>
        <v>55</v>
      </c>
      <c r="E313" s="126">
        <f>SUM(E314:E320)</f>
        <v>6</v>
      </c>
      <c r="F313" s="126">
        <f>SUM(F314:F320)</f>
        <v>350</v>
      </c>
      <c r="G313" s="123">
        <f>B313+C313/60</f>
        <v>66.75</v>
      </c>
      <c r="H313" s="8">
        <f>SUM(H314:H320)</f>
        <v>350</v>
      </c>
      <c r="I313" s="14">
        <f>SUM(I314:I320)</f>
        <v>3111.25</v>
      </c>
      <c r="J313" s="14">
        <f>SUM(J314:J320)</f>
        <v>2761.25</v>
      </c>
      <c r="K313" s="8">
        <f>SUM(K314:K320)</f>
        <v>157</v>
      </c>
      <c r="L313" s="9">
        <v>0</v>
      </c>
      <c r="M313" s="96">
        <f>J313</f>
        <v>2761.25</v>
      </c>
      <c r="N313" s="102">
        <f>SUM(N314:N320)</f>
        <v>4213</v>
      </c>
      <c r="O313" s="98">
        <f>4248-N313</f>
        <v>35</v>
      </c>
      <c r="P313" s="86"/>
      <c r="Q313" s="86"/>
    </row>
    <row r="314" spans="1:17">
      <c r="A314" s="6">
        <v>46132</v>
      </c>
      <c r="B314" s="4">
        <v>10</v>
      </c>
      <c r="C314" s="4">
        <v>45</v>
      </c>
      <c r="D314" s="4">
        <v>55</v>
      </c>
      <c r="E314" s="4">
        <v>1</v>
      </c>
      <c r="F314" s="4">
        <v>50</v>
      </c>
      <c r="G314" s="10">
        <f t="shared" ref="G314:G320" si="95">B314+C314/60</f>
        <v>10.75</v>
      </c>
      <c r="H314" s="4">
        <v>50</v>
      </c>
      <c r="I314" s="5">
        <f t="shared" ref="I314:I320" si="96">G314*D314</f>
        <v>591.25</v>
      </c>
      <c r="J314" s="5">
        <f t="shared" ref="J314:J320" si="97">I314-H314</f>
        <v>541.25</v>
      </c>
      <c r="K314">
        <v>27</v>
      </c>
      <c r="N314" s="51">
        <f>566</f>
        <v>566</v>
      </c>
      <c r="O314" s="51"/>
    </row>
    <row r="315" spans="1:17">
      <c r="A315" s="6">
        <v>46133</v>
      </c>
      <c r="B315" s="4">
        <v>9</v>
      </c>
      <c r="C315" s="4">
        <v>38</v>
      </c>
      <c r="D315" s="4">
        <v>45</v>
      </c>
      <c r="E315" s="4">
        <v>1</v>
      </c>
      <c r="F315" s="4">
        <v>50</v>
      </c>
      <c r="G315" s="10">
        <f t="shared" si="95"/>
        <v>9.6333333333333329</v>
      </c>
      <c r="H315" s="4">
        <v>50</v>
      </c>
      <c r="I315" s="5">
        <f t="shared" si="96"/>
        <v>433.5</v>
      </c>
      <c r="J315" s="5">
        <f t="shared" si="97"/>
        <v>383.5</v>
      </c>
      <c r="K315">
        <v>21</v>
      </c>
      <c r="N315" s="51">
        <f>614+150</f>
        <v>764</v>
      </c>
      <c r="P315" t="s">
        <v>951</v>
      </c>
    </row>
    <row r="316" spans="1:17">
      <c r="A316" s="6">
        <v>46134</v>
      </c>
      <c r="B316" s="4">
        <v>8</v>
      </c>
      <c r="C316" s="4">
        <v>25</v>
      </c>
      <c r="D316" s="4">
        <v>45</v>
      </c>
      <c r="E316" s="4">
        <v>1</v>
      </c>
      <c r="F316" s="4">
        <v>50</v>
      </c>
      <c r="G316" s="10">
        <f t="shared" si="95"/>
        <v>8.4166666666666661</v>
      </c>
      <c r="H316" s="4">
        <v>50</v>
      </c>
      <c r="I316" s="5">
        <f t="shared" si="96"/>
        <v>378.75</v>
      </c>
      <c r="J316" s="5">
        <f t="shared" si="97"/>
        <v>328.75</v>
      </c>
      <c r="K316">
        <v>19</v>
      </c>
      <c r="N316" s="51">
        <f>464</f>
        <v>464</v>
      </c>
      <c r="P316" t="s">
        <v>952</v>
      </c>
    </row>
    <row r="317" spans="1:17">
      <c r="A317" s="6">
        <v>46135</v>
      </c>
      <c r="B317" s="4">
        <v>9</v>
      </c>
      <c r="C317" s="4">
        <v>8</v>
      </c>
      <c r="D317" s="4">
        <v>45</v>
      </c>
      <c r="E317" s="4">
        <v>1</v>
      </c>
      <c r="F317" s="4">
        <v>50</v>
      </c>
      <c r="G317" s="10">
        <f t="shared" si="95"/>
        <v>9.1333333333333329</v>
      </c>
      <c r="H317" s="4">
        <v>50</v>
      </c>
      <c r="I317" s="5">
        <f t="shared" si="96"/>
        <v>411</v>
      </c>
      <c r="J317" s="5">
        <f t="shared" si="97"/>
        <v>361</v>
      </c>
      <c r="K317">
        <v>23</v>
      </c>
      <c r="N317" s="51">
        <v>440</v>
      </c>
    </row>
    <row r="318" spans="1:17">
      <c r="A318" s="6">
        <v>46136</v>
      </c>
      <c r="B318" s="4">
        <v>9</v>
      </c>
      <c r="C318" s="4">
        <v>23</v>
      </c>
      <c r="D318" s="4">
        <v>45</v>
      </c>
      <c r="E318" s="4">
        <v>1</v>
      </c>
      <c r="F318" s="4">
        <v>50</v>
      </c>
      <c r="G318" s="10">
        <f t="shared" si="95"/>
        <v>9.3833333333333329</v>
      </c>
      <c r="H318" s="4">
        <v>50</v>
      </c>
      <c r="I318" s="5">
        <f t="shared" si="96"/>
        <v>422.25</v>
      </c>
      <c r="J318" s="5">
        <f t="shared" si="97"/>
        <v>372.25</v>
      </c>
      <c r="K318">
        <v>22</v>
      </c>
      <c r="N318" s="51">
        <v>410</v>
      </c>
    </row>
    <row r="319" spans="1:17">
      <c r="A319" s="6">
        <v>46137</v>
      </c>
      <c r="B319" s="4">
        <v>8</v>
      </c>
      <c r="C319" s="4">
        <v>43</v>
      </c>
      <c r="D319" s="4">
        <v>45</v>
      </c>
      <c r="E319" s="4">
        <v>1</v>
      </c>
      <c r="F319" s="4">
        <v>50</v>
      </c>
      <c r="G319" s="10">
        <f t="shared" si="95"/>
        <v>8.7166666666666668</v>
      </c>
      <c r="H319" s="4">
        <v>50</v>
      </c>
      <c r="I319" s="5">
        <f t="shared" si="96"/>
        <v>392.25</v>
      </c>
      <c r="J319" s="5">
        <f t="shared" si="97"/>
        <v>342.25</v>
      </c>
      <c r="K319">
        <v>22</v>
      </c>
      <c r="N319" s="51">
        <v>649</v>
      </c>
    </row>
    <row r="320" spans="1:17">
      <c r="A320" s="6">
        <v>46138</v>
      </c>
      <c r="B320" s="4">
        <v>10</v>
      </c>
      <c r="C320" s="4">
        <v>43</v>
      </c>
      <c r="D320" s="4">
        <v>45</v>
      </c>
      <c r="E320" s="4">
        <v>0</v>
      </c>
      <c r="F320" s="4">
        <v>50</v>
      </c>
      <c r="G320" s="10">
        <f t="shared" si="95"/>
        <v>10.716666666666667</v>
      </c>
      <c r="H320" s="4">
        <v>50</v>
      </c>
      <c r="I320" s="5">
        <f t="shared" si="96"/>
        <v>482.25</v>
      </c>
      <c r="J320" s="5">
        <f t="shared" si="97"/>
        <v>432.25</v>
      </c>
      <c r="K320">
        <v>23</v>
      </c>
      <c r="N320" s="51">
        <v>920</v>
      </c>
    </row>
    <row r="321" spans="1:17" ht="19">
      <c r="A321" s="91" t="s">
        <v>953</v>
      </c>
      <c r="B321" s="8">
        <f>SUM(B322:B328)</f>
        <v>40</v>
      </c>
      <c r="C321" s="8">
        <f>SUM(C322:C328)</f>
        <v>112</v>
      </c>
      <c r="D321" s="8">
        <f>SUM(D322)</f>
        <v>65</v>
      </c>
      <c r="E321" s="8">
        <f>SUM(E322:E328)</f>
        <v>5</v>
      </c>
      <c r="F321" s="8">
        <f>SUM(F322:F328)</f>
        <v>200</v>
      </c>
      <c r="G321" s="93">
        <f t="shared" ref="G321:G327" si="98">B321+C321/60</f>
        <v>41.866666666666667</v>
      </c>
      <c r="H321" s="8">
        <f>SUM(H322:H328)</f>
        <v>200</v>
      </c>
      <c r="I321" s="9">
        <f>SUM(I322:I328)</f>
        <v>2100.3333333333335</v>
      </c>
      <c r="J321" s="9">
        <f t="shared" ref="J321:K321" si="99">SUM(J322:J328)</f>
        <v>1900.3333333333335</v>
      </c>
      <c r="K321" s="8">
        <f t="shared" si="99"/>
        <v>107</v>
      </c>
      <c r="L321" s="9">
        <v>0</v>
      </c>
      <c r="M321" s="96">
        <f>J321</f>
        <v>1900.3333333333335</v>
      </c>
      <c r="N321" s="102">
        <f>SUM(N322:N328)</f>
        <v>2060</v>
      </c>
      <c r="O321" s="98">
        <f>2132-N321</f>
        <v>72</v>
      </c>
      <c r="P321" s="86"/>
      <c r="Q321" s="86"/>
    </row>
    <row r="322" spans="1:17">
      <c r="A322" s="80" t="s">
        <v>820</v>
      </c>
      <c r="B322" s="4">
        <v>0</v>
      </c>
      <c r="C322" s="4">
        <v>0</v>
      </c>
      <c r="D322" s="4">
        <v>65</v>
      </c>
      <c r="E322" s="4">
        <v>1</v>
      </c>
      <c r="F322" s="4">
        <v>0</v>
      </c>
      <c r="G322" s="10">
        <f t="shared" si="98"/>
        <v>0</v>
      </c>
      <c r="H322" s="4">
        <v>0</v>
      </c>
      <c r="I322" s="5">
        <f t="shared" ref="I322:I327" si="100">G322*D322</f>
        <v>0</v>
      </c>
      <c r="J322" s="5">
        <f t="shared" ref="J322:J327" si="101">I322-H322</f>
        <v>0</v>
      </c>
      <c r="K322">
        <v>0</v>
      </c>
      <c r="N322" s="51">
        <v>0</v>
      </c>
      <c r="O322" s="51"/>
    </row>
    <row r="323" spans="1:17">
      <c r="A323" s="80" t="s">
        <v>822</v>
      </c>
      <c r="B323" s="4">
        <v>11</v>
      </c>
      <c r="C323" s="4">
        <v>0</v>
      </c>
      <c r="D323" s="4">
        <v>45</v>
      </c>
      <c r="E323" s="4">
        <v>1</v>
      </c>
      <c r="F323" s="4">
        <v>50</v>
      </c>
      <c r="G323" s="10">
        <f t="shared" si="98"/>
        <v>11</v>
      </c>
      <c r="H323" s="4">
        <v>50</v>
      </c>
      <c r="I323" s="5">
        <f t="shared" si="100"/>
        <v>495</v>
      </c>
      <c r="J323" s="5">
        <f t="shared" si="101"/>
        <v>445</v>
      </c>
      <c r="K323">
        <v>25</v>
      </c>
      <c r="N323" s="51">
        <f>220+150</f>
        <v>370</v>
      </c>
      <c r="P323" t="s">
        <v>954</v>
      </c>
    </row>
    <row r="324" spans="1:17">
      <c r="A324" s="80" t="s">
        <v>824</v>
      </c>
      <c r="B324" s="4">
        <v>10</v>
      </c>
      <c r="C324" s="4">
        <v>11</v>
      </c>
      <c r="D324" s="4">
        <v>45</v>
      </c>
      <c r="E324" s="4">
        <v>1</v>
      </c>
      <c r="F324" s="4">
        <v>50</v>
      </c>
      <c r="G324" s="10">
        <f t="shared" si="98"/>
        <v>10.183333333333334</v>
      </c>
      <c r="H324" s="4">
        <v>50</v>
      </c>
      <c r="I324" s="5">
        <f t="shared" si="100"/>
        <v>458.25</v>
      </c>
      <c r="J324" s="5">
        <f t="shared" si="101"/>
        <v>408.25</v>
      </c>
      <c r="K324">
        <v>24</v>
      </c>
      <c r="N324" s="51">
        <f>509</f>
        <v>509</v>
      </c>
      <c r="P324" t="s">
        <v>955</v>
      </c>
    </row>
    <row r="325" spans="1:17">
      <c r="A325" s="80" t="s">
        <v>826</v>
      </c>
      <c r="B325" s="4">
        <v>10</v>
      </c>
      <c r="C325" s="4">
        <v>49</v>
      </c>
      <c r="D325" s="4">
        <v>65</v>
      </c>
      <c r="E325" s="4">
        <v>1</v>
      </c>
      <c r="F325" s="4">
        <v>50</v>
      </c>
      <c r="G325" s="10">
        <f t="shared" si="98"/>
        <v>10.816666666666666</v>
      </c>
      <c r="H325" s="4">
        <v>50</v>
      </c>
      <c r="I325" s="5">
        <f t="shared" si="100"/>
        <v>703.08333333333337</v>
      </c>
      <c r="J325" s="5">
        <f t="shared" si="101"/>
        <v>653.08333333333337</v>
      </c>
      <c r="K325">
        <v>33</v>
      </c>
      <c r="N325" s="51">
        <v>521</v>
      </c>
      <c r="P325" t="s">
        <v>956</v>
      </c>
    </row>
    <row r="326" spans="1:17">
      <c r="A326" s="80" t="s">
        <v>828</v>
      </c>
      <c r="B326" s="4">
        <v>9</v>
      </c>
      <c r="C326" s="4">
        <v>52</v>
      </c>
      <c r="D326" s="4">
        <v>45</v>
      </c>
      <c r="E326" s="4">
        <v>1</v>
      </c>
      <c r="F326" s="4">
        <v>50</v>
      </c>
      <c r="G326" s="10">
        <f t="shared" si="98"/>
        <v>9.8666666666666671</v>
      </c>
      <c r="H326" s="4">
        <v>50</v>
      </c>
      <c r="I326" s="5">
        <f t="shared" si="100"/>
        <v>444</v>
      </c>
      <c r="J326" s="5">
        <f t="shared" si="101"/>
        <v>394</v>
      </c>
      <c r="K326">
        <v>25</v>
      </c>
      <c r="N326" s="51">
        <f>510+150</f>
        <v>660</v>
      </c>
      <c r="P326" t="s">
        <v>957</v>
      </c>
    </row>
    <row r="327" spans="1:17">
      <c r="A327" s="80" t="s">
        <v>830</v>
      </c>
      <c r="B327" s="4">
        <v>0</v>
      </c>
      <c r="C327" s="4">
        <v>0</v>
      </c>
      <c r="D327" s="4">
        <v>45</v>
      </c>
      <c r="E327" s="4">
        <v>0</v>
      </c>
      <c r="F327" s="4">
        <v>0</v>
      </c>
      <c r="G327" s="10">
        <f t="shared" si="98"/>
        <v>0</v>
      </c>
      <c r="H327" s="4">
        <v>0</v>
      </c>
      <c r="I327" s="5">
        <f t="shared" si="100"/>
        <v>0</v>
      </c>
      <c r="J327" s="5">
        <f t="shared" si="101"/>
        <v>0</v>
      </c>
      <c r="K327">
        <v>0</v>
      </c>
      <c r="N327" s="51">
        <v>0</v>
      </c>
    </row>
    <row r="328" spans="1:17">
      <c r="A328" s="80" t="s">
        <v>831</v>
      </c>
      <c r="B328" s="4">
        <v>0</v>
      </c>
      <c r="C328" s="4">
        <v>0</v>
      </c>
      <c r="D328" s="4">
        <v>45</v>
      </c>
      <c r="E328" s="4">
        <v>0</v>
      </c>
      <c r="F328" s="4">
        <v>0</v>
      </c>
      <c r="G328" s="10">
        <f t="shared" si="89"/>
        <v>0</v>
      </c>
      <c r="H328" s="4">
        <v>0</v>
      </c>
      <c r="I328" s="5">
        <f t="shared" si="91"/>
        <v>0</v>
      </c>
      <c r="J328" s="5">
        <f t="shared" si="92"/>
        <v>0</v>
      </c>
      <c r="K328">
        <v>0</v>
      </c>
      <c r="N328" s="51">
        <v>0</v>
      </c>
    </row>
    <row r="329" spans="1:17" ht="19">
      <c r="A329" s="91" t="s">
        <v>958</v>
      </c>
      <c r="B329" s="8">
        <f>SUM(B330:B336)</f>
        <v>5</v>
      </c>
      <c r="C329" s="8">
        <f>SUM(C330:C336)</f>
        <v>8</v>
      </c>
      <c r="D329" s="8">
        <f>SUM(D330)</f>
        <v>45</v>
      </c>
      <c r="E329" s="8">
        <f>SUM(E330:E336)</f>
        <v>6</v>
      </c>
      <c r="F329" s="8">
        <f>SUM(F330:F336)</f>
        <v>350</v>
      </c>
      <c r="G329" s="93">
        <f t="shared" si="89"/>
        <v>5.1333333333333337</v>
      </c>
      <c r="H329" s="8">
        <f>SUM(H330:H336)</f>
        <v>50</v>
      </c>
      <c r="I329" s="9">
        <f>SUM(I330:I336)</f>
        <v>231.00000000000003</v>
      </c>
      <c r="J329" s="14">
        <f>SUM(J330:J336)</f>
        <v>181.00000000000003</v>
      </c>
      <c r="K329" s="8">
        <f>SUM(K330:K336)</f>
        <v>13</v>
      </c>
      <c r="L329" s="9">
        <v>0</v>
      </c>
      <c r="M329" s="96">
        <f>J329</f>
        <v>181.00000000000003</v>
      </c>
      <c r="N329" s="102">
        <f>SUM(N330:N336)</f>
        <v>412</v>
      </c>
      <c r="O329" s="98">
        <f>410-N329</f>
        <v>-2</v>
      </c>
      <c r="P329" s="86"/>
      <c r="Q329" s="86"/>
    </row>
    <row r="330" spans="1:17">
      <c r="A330" s="6">
        <v>46132</v>
      </c>
      <c r="B330" s="4">
        <v>0</v>
      </c>
      <c r="C330" s="4">
        <v>0</v>
      </c>
      <c r="D330" s="4">
        <v>45</v>
      </c>
      <c r="E330" s="4">
        <v>0</v>
      </c>
      <c r="F330" s="4">
        <v>50</v>
      </c>
      <c r="G330" s="10">
        <f t="shared" si="89"/>
        <v>0</v>
      </c>
      <c r="H330" s="4">
        <v>0</v>
      </c>
      <c r="I330" s="5">
        <f t="shared" ref="I330:I336" si="102">G330*D330</f>
        <v>0</v>
      </c>
      <c r="J330" s="5">
        <f t="shared" ref="J330:J336" si="103">I330-H330</f>
        <v>0</v>
      </c>
      <c r="K330">
        <v>0</v>
      </c>
      <c r="N330" s="51">
        <v>0</v>
      </c>
      <c r="O330" s="51"/>
    </row>
    <row r="331" spans="1:17">
      <c r="A331" s="6">
        <v>46133</v>
      </c>
      <c r="B331" s="4">
        <v>5</v>
      </c>
      <c r="C331" s="4">
        <v>8</v>
      </c>
      <c r="D331" s="4">
        <v>45</v>
      </c>
      <c r="E331" s="4">
        <v>1</v>
      </c>
      <c r="F331" s="4">
        <v>50</v>
      </c>
      <c r="G331" s="10">
        <f t="shared" si="89"/>
        <v>5.1333333333333337</v>
      </c>
      <c r="H331" s="4">
        <v>50</v>
      </c>
      <c r="I331" s="5">
        <f t="shared" si="102"/>
        <v>231.00000000000003</v>
      </c>
      <c r="J331" s="5">
        <f t="shared" si="103"/>
        <v>181.00000000000003</v>
      </c>
      <c r="K331">
        <v>13</v>
      </c>
      <c r="N331" s="51">
        <f>151</f>
        <v>151</v>
      </c>
      <c r="P331" t="s">
        <v>959</v>
      </c>
    </row>
    <row r="332" spans="1:17">
      <c r="A332" s="6">
        <v>46134</v>
      </c>
      <c r="B332" s="4">
        <v>0</v>
      </c>
      <c r="C332" s="4">
        <v>0</v>
      </c>
      <c r="D332" s="4">
        <v>45</v>
      </c>
      <c r="E332" s="4">
        <v>1</v>
      </c>
      <c r="F332" s="4">
        <v>50</v>
      </c>
      <c r="G332" s="10">
        <f t="shared" si="89"/>
        <v>0</v>
      </c>
      <c r="H332" s="4">
        <v>0</v>
      </c>
      <c r="I332" s="5">
        <f t="shared" si="102"/>
        <v>0</v>
      </c>
      <c r="J332" s="5">
        <f t="shared" si="103"/>
        <v>0</v>
      </c>
      <c r="K332">
        <v>0</v>
      </c>
      <c r="N332" s="51">
        <f>261</f>
        <v>261</v>
      </c>
      <c r="Q332" t="s">
        <v>64</v>
      </c>
    </row>
    <row r="333" spans="1:17">
      <c r="A333" s="6">
        <v>46135</v>
      </c>
      <c r="B333" s="4">
        <v>0</v>
      </c>
      <c r="C333" s="4">
        <v>0</v>
      </c>
      <c r="D333" s="4">
        <v>45</v>
      </c>
      <c r="E333" s="4">
        <v>1</v>
      </c>
      <c r="F333" s="4">
        <v>50</v>
      </c>
      <c r="G333" s="10">
        <f t="shared" si="89"/>
        <v>0</v>
      </c>
      <c r="H333" s="4">
        <v>0</v>
      </c>
      <c r="I333" s="5">
        <f t="shared" si="102"/>
        <v>0</v>
      </c>
      <c r="J333" s="5">
        <f t="shared" si="103"/>
        <v>0</v>
      </c>
      <c r="K333">
        <v>0</v>
      </c>
      <c r="N333" s="51">
        <v>0</v>
      </c>
    </row>
    <row r="334" spans="1:17">
      <c r="A334" s="6">
        <v>46136</v>
      </c>
      <c r="B334" s="4">
        <v>0</v>
      </c>
      <c r="C334" s="4">
        <v>0</v>
      </c>
      <c r="D334" s="4">
        <v>45</v>
      </c>
      <c r="E334" s="4">
        <v>1</v>
      </c>
      <c r="F334" s="4">
        <v>50</v>
      </c>
      <c r="G334" s="10">
        <f t="shared" si="89"/>
        <v>0</v>
      </c>
      <c r="H334" s="4">
        <v>0</v>
      </c>
      <c r="I334" s="5">
        <f t="shared" si="102"/>
        <v>0</v>
      </c>
      <c r="J334" s="5">
        <f t="shared" si="103"/>
        <v>0</v>
      </c>
      <c r="K334">
        <v>0</v>
      </c>
      <c r="N334" s="51">
        <v>0</v>
      </c>
    </row>
    <row r="335" spans="1:17">
      <c r="A335" s="6">
        <v>46137</v>
      </c>
      <c r="B335" s="4">
        <v>0</v>
      </c>
      <c r="C335" s="4">
        <v>0</v>
      </c>
      <c r="D335" s="4">
        <v>45</v>
      </c>
      <c r="E335" s="4">
        <v>1</v>
      </c>
      <c r="F335" s="4">
        <v>50</v>
      </c>
      <c r="G335" s="10">
        <f t="shared" si="89"/>
        <v>0</v>
      </c>
      <c r="H335" s="4">
        <v>0</v>
      </c>
      <c r="I335" s="5">
        <f t="shared" si="102"/>
        <v>0</v>
      </c>
      <c r="J335" s="5">
        <f t="shared" si="103"/>
        <v>0</v>
      </c>
      <c r="K335">
        <v>0</v>
      </c>
      <c r="N335" s="51">
        <v>0</v>
      </c>
    </row>
    <row r="336" spans="1:17">
      <c r="A336" s="6">
        <v>46138</v>
      </c>
      <c r="B336" s="4">
        <v>0</v>
      </c>
      <c r="C336" s="4">
        <v>0</v>
      </c>
      <c r="D336" s="4">
        <v>45</v>
      </c>
      <c r="E336" s="4">
        <v>1</v>
      </c>
      <c r="F336" s="4">
        <v>50</v>
      </c>
      <c r="G336" s="10">
        <f t="shared" si="89"/>
        <v>0</v>
      </c>
      <c r="H336" s="4">
        <v>0</v>
      </c>
      <c r="I336" s="5">
        <f t="shared" si="102"/>
        <v>0</v>
      </c>
      <c r="J336" s="5">
        <f t="shared" si="103"/>
        <v>0</v>
      </c>
      <c r="K336">
        <v>0</v>
      </c>
      <c r="N336" s="51">
        <v>0</v>
      </c>
    </row>
    <row r="337" spans="1:15">
      <c r="A337" s="80"/>
      <c r="G337" s="133"/>
      <c r="H337" s="131"/>
      <c r="I337" s="132"/>
      <c r="J337" s="132"/>
      <c r="N337" s="51"/>
    </row>
    <row r="338" spans="1:15" ht="21">
      <c r="A338" t="s">
        <v>17</v>
      </c>
      <c r="H338" s="121">
        <f t="shared" ref="H338:O338" si="104">H3+H11+H19+H27+H35+H43+H51+H59+H67+H75+H83+H91+H99+H107+H115+H123+H131+H139+H147+H155+H163+H171+H178+H186+H194+H202+H210+H218+H226+H233+H241+H249+H257+H265+H273+H281+H289+H297+H305+H313+H321+H329</f>
        <v>9074.7999999999993</v>
      </c>
      <c r="I338" s="121">
        <f t="shared" si="104"/>
        <v>85737.583333333343</v>
      </c>
      <c r="J338" s="121">
        <f t="shared" si="104"/>
        <v>76662.783333333326</v>
      </c>
      <c r="K338" s="122">
        <f t="shared" si="104"/>
        <v>4427</v>
      </c>
      <c r="L338" s="121">
        <f t="shared" si="104"/>
        <v>300</v>
      </c>
      <c r="M338" s="121">
        <f t="shared" si="104"/>
        <v>76962.783333333326</v>
      </c>
      <c r="N338" s="121">
        <f t="shared" si="104"/>
        <v>101545.5</v>
      </c>
      <c r="O338" s="121">
        <f t="shared" si="104"/>
        <v>-1217.5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3502-58AE-497F-9C62-7C201AC91498}">
  <dimension ref="A1:S330"/>
  <sheetViews>
    <sheetView workbookViewId="0">
      <pane xSplit="1" ySplit="1" topLeftCell="B39" activePane="bottomRight" state="frozen"/>
      <selection pane="topRight" activeCell="B1" sqref="B1"/>
      <selection pane="bottomLeft" activeCell="A2" sqref="A2"/>
      <selection pane="bottomRight" activeCell="L301" sqref="L301"/>
    </sheetView>
  </sheetViews>
  <sheetFormatPr baseColWidth="10" defaultColWidth="8.83203125" defaultRowHeight="15"/>
  <cols>
    <col min="1" max="1" width="23.6640625" customWidth="1"/>
    <col min="2" max="2" width="11.33203125" customWidth="1"/>
    <col min="3" max="3" width="13.5" customWidth="1"/>
    <col min="4" max="4" width="17.33203125" customWidth="1"/>
    <col min="5" max="5" width="11.33203125" customWidth="1"/>
    <col min="6" max="6" width="16.6640625" customWidth="1"/>
    <col min="7" max="7" width="15" customWidth="1"/>
    <col min="8" max="8" width="15.33203125" customWidth="1"/>
    <col min="9" max="9" width="20.33203125" bestFit="1" customWidth="1"/>
    <col min="10" max="10" width="18" customWidth="1"/>
    <col min="11" max="11" width="12.6640625" customWidth="1"/>
    <col min="12" max="12" width="18" customWidth="1"/>
    <col min="13" max="13" width="22.5" customWidth="1"/>
    <col min="14" max="14" width="21.33203125" customWidth="1"/>
    <col min="15" max="15" width="24.6640625" customWidth="1"/>
  </cols>
  <sheetData>
    <row r="1" spans="1:17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7" ht="20" thickBot="1">
      <c r="A2" s="15"/>
      <c r="B2" s="177"/>
      <c r="C2" s="15"/>
      <c r="D2" s="15"/>
      <c r="E2" s="15"/>
      <c r="F2" s="15"/>
      <c r="G2" s="15"/>
      <c r="H2" s="15"/>
      <c r="I2" s="15"/>
      <c r="J2" s="15"/>
      <c r="K2" s="15"/>
    </row>
    <row r="3" spans="1:17" ht="20" thickBot="1">
      <c r="A3" s="91" t="s">
        <v>453</v>
      </c>
      <c r="B3" s="8">
        <f>SUM(B4:B9)</f>
        <v>38</v>
      </c>
      <c r="C3" s="8">
        <f>SUM(C4:C8)</f>
        <v>205</v>
      </c>
      <c r="D3" s="8">
        <f>SUM(D4)</f>
        <v>65</v>
      </c>
      <c r="E3" s="8">
        <f>SUM(E4:E9)</f>
        <v>5</v>
      </c>
      <c r="F3" s="8">
        <f>SUM(F4:F9)</f>
        <v>300</v>
      </c>
      <c r="G3" s="93">
        <f>B3+C3/60</f>
        <v>41.416666666666664</v>
      </c>
      <c r="H3" s="8">
        <f>SUM(H4:H9)</f>
        <v>250</v>
      </c>
      <c r="I3" s="9">
        <f>SUM(I4:I9)</f>
        <v>2284.5833333333335</v>
      </c>
      <c r="J3" s="14">
        <f>SUM(J4:J9)</f>
        <v>2034.5833333333335</v>
      </c>
      <c r="K3" s="8">
        <f>SUM(K4:K9)</f>
        <v>152</v>
      </c>
      <c r="L3" s="9">
        <v>0</v>
      </c>
      <c r="M3" s="96">
        <f>J3+L3</f>
        <v>2034.5833333333335</v>
      </c>
      <c r="N3" s="97">
        <f>SUM(N4:N9)</f>
        <v>3374</v>
      </c>
      <c r="O3" s="98">
        <f>3824-N3</f>
        <v>450</v>
      </c>
      <c r="P3" s="86"/>
      <c r="Q3" s="86"/>
    </row>
    <row r="4" spans="1:17">
      <c r="A4" s="80" t="s">
        <v>961</v>
      </c>
      <c r="B4" s="4">
        <v>8</v>
      </c>
      <c r="C4" s="4">
        <v>48</v>
      </c>
      <c r="D4" s="4">
        <v>65</v>
      </c>
      <c r="E4" s="4">
        <v>1</v>
      </c>
      <c r="F4" s="4">
        <v>50</v>
      </c>
      <c r="G4" s="10">
        <f>B4+C4/60</f>
        <v>8.8000000000000007</v>
      </c>
      <c r="H4" s="4">
        <v>50</v>
      </c>
      <c r="I4" s="5">
        <f>G4*D4</f>
        <v>572</v>
      </c>
      <c r="J4" s="5">
        <f>I4-H4</f>
        <v>522</v>
      </c>
      <c r="K4">
        <v>37</v>
      </c>
      <c r="N4" s="51">
        <v>609</v>
      </c>
      <c r="P4" t="s">
        <v>962</v>
      </c>
    </row>
    <row r="5" spans="1:17">
      <c r="A5" s="80" t="s">
        <v>963</v>
      </c>
      <c r="B5" s="4">
        <v>10</v>
      </c>
      <c r="C5" s="4">
        <v>9</v>
      </c>
      <c r="D5" s="4">
        <v>45</v>
      </c>
      <c r="E5" s="4">
        <v>1</v>
      </c>
      <c r="F5" s="4">
        <v>50</v>
      </c>
      <c r="G5" s="10">
        <f>B5+C5/60</f>
        <v>10.15</v>
      </c>
      <c r="H5" s="4">
        <v>50</v>
      </c>
      <c r="I5" s="5">
        <f>G5*D5</f>
        <v>456.75</v>
      </c>
      <c r="J5" s="5">
        <f>I5-H5</f>
        <v>406.75</v>
      </c>
      <c r="K5">
        <v>25</v>
      </c>
      <c r="N5" s="51">
        <v>454</v>
      </c>
      <c r="P5" t="s">
        <v>964</v>
      </c>
    </row>
    <row r="6" spans="1:17">
      <c r="A6" s="80" t="s">
        <v>965</v>
      </c>
      <c r="B6" s="4">
        <v>8</v>
      </c>
      <c r="C6" s="4">
        <v>35</v>
      </c>
      <c r="D6" s="4">
        <v>55</v>
      </c>
      <c r="E6" s="4">
        <v>1</v>
      </c>
      <c r="F6" s="4">
        <v>50</v>
      </c>
      <c r="G6" s="10">
        <f>B6+C6/60</f>
        <v>8.5833333333333339</v>
      </c>
      <c r="H6" s="4">
        <v>50</v>
      </c>
      <c r="I6" s="5">
        <f>G6*D6</f>
        <v>472.08333333333337</v>
      </c>
      <c r="J6" s="5">
        <f>I6-H6</f>
        <v>422.08333333333337</v>
      </c>
      <c r="K6">
        <v>30</v>
      </c>
      <c r="N6" s="51">
        <v>546</v>
      </c>
      <c r="P6" t="s">
        <v>966</v>
      </c>
    </row>
    <row r="7" spans="1:17">
      <c r="A7" s="80" t="s">
        <v>967</v>
      </c>
      <c r="B7" s="4">
        <v>7</v>
      </c>
      <c r="C7" s="4">
        <v>57</v>
      </c>
      <c r="D7" s="4">
        <v>65</v>
      </c>
      <c r="E7" s="4">
        <v>1</v>
      </c>
      <c r="F7" s="4">
        <v>50</v>
      </c>
      <c r="G7" s="10">
        <f>B7+C7/60</f>
        <v>7.95</v>
      </c>
      <c r="H7" s="4">
        <v>50</v>
      </c>
      <c r="I7" s="5">
        <f t="shared" ref="I7:I9" si="0">G7*D7</f>
        <v>516.75</v>
      </c>
      <c r="J7" s="5">
        <f t="shared" ref="J7:J9" si="1">I7-H7</f>
        <v>466.75</v>
      </c>
      <c r="K7">
        <v>36</v>
      </c>
      <c r="N7" s="51">
        <v>735</v>
      </c>
      <c r="P7" t="s">
        <v>968</v>
      </c>
    </row>
    <row r="8" spans="1:17">
      <c r="A8" s="80" t="s">
        <v>969</v>
      </c>
      <c r="B8" s="4">
        <v>5</v>
      </c>
      <c r="C8" s="4">
        <v>56</v>
      </c>
      <c r="D8" s="4">
        <v>45</v>
      </c>
      <c r="E8" s="4">
        <v>1</v>
      </c>
      <c r="F8" s="4">
        <v>50</v>
      </c>
      <c r="G8" s="10">
        <f t="shared" ref="G8:G39" si="2">B8+C8/60</f>
        <v>5.9333333333333336</v>
      </c>
      <c r="H8" s="4">
        <v>50</v>
      </c>
      <c r="I8" s="5">
        <f t="shared" si="0"/>
        <v>267</v>
      </c>
      <c r="J8" s="5">
        <f t="shared" si="1"/>
        <v>217</v>
      </c>
      <c r="K8">
        <v>24</v>
      </c>
      <c r="N8" s="51">
        <v>691</v>
      </c>
      <c r="P8" t="s">
        <v>970</v>
      </c>
    </row>
    <row r="9" spans="1:17">
      <c r="A9" s="80" t="s">
        <v>971</v>
      </c>
      <c r="B9" s="4">
        <v>0</v>
      </c>
      <c r="C9" s="4">
        <v>0</v>
      </c>
      <c r="D9" s="4">
        <v>45</v>
      </c>
      <c r="E9" s="4">
        <v>0</v>
      </c>
      <c r="F9" s="4">
        <v>50</v>
      </c>
      <c r="G9" s="10">
        <f t="shared" si="2"/>
        <v>0</v>
      </c>
      <c r="H9" s="4">
        <v>0</v>
      </c>
      <c r="I9" s="5">
        <f t="shared" si="0"/>
        <v>0</v>
      </c>
      <c r="J9" s="5">
        <f t="shared" si="1"/>
        <v>0</v>
      </c>
      <c r="K9">
        <v>0</v>
      </c>
      <c r="N9" s="51">
        <v>339</v>
      </c>
    </row>
    <row r="10" spans="1:17" ht="20" thickBot="1">
      <c r="A10" s="91" t="s">
        <v>463</v>
      </c>
      <c r="B10" s="92">
        <f>SUM(B11:B16)</f>
        <v>53</v>
      </c>
      <c r="C10" s="92">
        <f>SUM(C11:C16)</f>
        <v>65</v>
      </c>
      <c r="D10" s="92">
        <f>SUM(D11)</f>
        <v>65</v>
      </c>
      <c r="E10" s="92">
        <f>SUM(E11:E17)</f>
        <v>6</v>
      </c>
      <c r="F10" s="92">
        <f>SUM(F11:F16)</f>
        <v>300</v>
      </c>
      <c r="G10" s="93">
        <f t="shared" si="2"/>
        <v>54.083333333333336</v>
      </c>
      <c r="H10" s="92">
        <f>SUM(H11:H16)</f>
        <v>250</v>
      </c>
      <c r="I10" s="94">
        <f>SUM(I11:I17)</f>
        <v>4120.416666666667</v>
      </c>
      <c r="J10" s="95">
        <f>SUM(J11:J17)</f>
        <v>3820.416666666667</v>
      </c>
      <c r="K10" s="8">
        <f>SUM(K11:K17)</f>
        <v>206</v>
      </c>
      <c r="L10" s="9">
        <v>0</v>
      </c>
      <c r="M10" s="96">
        <f>J10+L10</f>
        <v>3820.416666666667</v>
      </c>
      <c r="N10" s="97">
        <f>SUM(N11:N17)</f>
        <v>4734</v>
      </c>
      <c r="O10" s="98">
        <f>4734-N10</f>
        <v>0</v>
      </c>
      <c r="P10" s="86"/>
      <c r="Q10" s="86"/>
    </row>
    <row r="11" spans="1:17">
      <c r="A11" s="6">
        <v>46139</v>
      </c>
      <c r="B11" s="4">
        <v>10</v>
      </c>
      <c r="C11" s="4">
        <v>31</v>
      </c>
      <c r="D11" s="4">
        <v>65</v>
      </c>
      <c r="E11" s="4">
        <v>1</v>
      </c>
      <c r="F11" s="4">
        <v>50</v>
      </c>
      <c r="G11" s="10">
        <f t="shared" si="2"/>
        <v>10.516666666666667</v>
      </c>
      <c r="H11" s="4">
        <v>50</v>
      </c>
      <c r="I11" s="5">
        <f t="shared" ref="I11:I17" si="3">G11*D11</f>
        <v>683.58333333333337</v>
      </c>
      <c r="J11" s="5">
        <f t="shared" ref="J11:J17" si="4">I11-H11</f>
        <v>633.58333333333337</v>
      </c>
      <c r="K11">
        <v>35</v>
      </c>
      <c r="M11" t="s">
        <v>26</v>
      </c>
      <c r="N11" s="83">
        <v>831</v>
      </c>
    </row>
    <row r="12" spans="1:17">
      <c r="A12" s="80" t="s">
        <v>963</v>
      </c>
      <c r="B12" s="4">
        <v>11</v>
      </c>
      <c r="C12" s="4">
        <v>0</v>
      </c>
      <c r="D12" s="4">
        <v>55</v>
      </c>
      <c r="E12" s="4">
        <v>1</v>
      </c>
      <c r="F12" s="4">
        <v>50</v>
      </c>
      <c r="G12" s="10">
        <f t="shared" si="2"/>
        <v>11</v>
      </c>
      <c r="H12" s="4">
        <v>50</v>
      </c>
      <c r="I12" s="5">
        <f t="shared" si="3"/>
        <v>605</v>
      </c>
      <c r="J12" s="5">
        <f t="shared" si="4"/>
        <v>555</v>
      </c>
      <c r="K12">
        <v>30</v>
      </c>
      <c r="N12" s="83">
        <v>608</v>
      </c>
    </row>
    <row r="13" spans="1:17">
      <c r="A13" s="80" t="s">
        <v>965</v>
      </c>
      <c r="B13" s="4">
        <v>0</v>
      </c>
      <c r="C13" s="4">
        <v>0</v>
      </c>
      <c r="D13" s="4">
        <v>45</v>
      </c>
      <c r="E13" s="4">
        <v>0</v>
      </c>
      <c r="F13" s="4">
        <v>50</v>
      </c>
      <c r="G13" s="10">
        <f t="shared" si="2"/>
        <v>0</v>
      </c>
      <c r="H13" s="4">
        <v>0</v>
      </c>
      <c r="I13" s="5">
        <f t="shared" si="3"/>
        <v>0</v>
      </c>
      <c r="J13" s="5">
        <f t="shared" si="4"/>
        <v>0</v>
      </c>
      <c r="K13">
        <v>0</v>
      </c>
      <c r="N13" s="83">
        <v>0</v>
      </c>
    </row>
    <row r="14" spans="1:17">
      <c r="A14" s="80" t="s">
        <v>967</v>
      </c>
      <c r="B14" s="4">
        <v>10</v>
      </c>
      <c r="C14" s="4">
        <v>34</v>
      </c>
      <c r="D14" s="4">
        <v>65</v>
      </c>
      <c r="E14" s="4">
        <v>1</v>
      </c>
      <c r="F14" s="4">
        <v>50</v>
      </c>
      <c r="G14" s="10">
        <f t="shared" si="2"/>
        <v>10.566666666666666</v>
      </c>
      <c r="H14" s="4">
        <v>50</v>
      </c>
      <c r="I14" s="5">
        <f t="shared" si="3"/>
        <v>686.83333333333337</v>
      </c>
      <c r="J14" s="5">
        <f t="shared" si="4"/>
        <v>636.83333333333337</v>
      </c>
      <c r="K14">
        <v>35</v>
      </c>
      <c r="N14" s="83">
        <v>400</v>
      </c>
      <c r="P14" t="s">
        <v>972</v>
      </c>
    </row>
    <row r="15" spans="1:17">
      <c r="A15" s="80" t="s">
        <v>969</v>
      </c>
      <c r="B15" s="4">
        <v>11</v>
      </c>
      <c r="C15" s="4">
        <v>0</v>
      </c>
      <c r="D15" s="4">
        <v>65</v>
      </c>
      <c r="E15" s="4">
        <v>1</v>
      </c>
      <c r="F15" s="4">
        <v>50</v>
      </c>
      <c r="G15" s="10">
        <f t="shared" si="2"/>
        <v>11</v>
      </c>
      <c r="H15" s="4">
        <v>50</v>
      </c>
      <c r="I15" s="5">
        <f t="shared" si="3"/>
        <v>715</v>
      </c>
      <c r="J15" s="5">
        <f t="shared" si="4"/>
        <v>665</v>
      </c>
      <c r="K15">
        <v>36</v>
      </c>
      <c r="N15" s="83">
        <v>643</v>
      </c>
    </row>
    <row r="16" spans="1:17">
      <c r="A16" s="80" t="s">
        <v>971</v>
      </c>
      <c r="B16" s="4">
        <v>11</v>
      </c>
      <c r="C16" s="4">
        <v>0</v>
      </c>
      <c r="D16" s="4">
        <v>65</v>
      </c>
      <c r="E16" s="4">
        <v>1</v>
      </c>
      <c r="F16" s="4">
        <v>50</v>
      </c>
      <c r="G16" s="10">
        <f t="shared" si="2"/>
        <v>11</v>
      </c>
      <c r="H16" s="4">
        <v>50</v>
      </c>
      <c r="I16" s="5">
        <f t="shared" si="3"/>
        <v>715</v>
      </c>
      <c r="J16" s="5">
        <f t="shared" si="4"/>
        <v>665</v>
      </c>
      <c r="K16">
        <v>33</v>
      </c>
      <c r="N16" s="83">
        <v>966</v>
      </c>
    </row>
    <row r="17" spans="1:17">
      <c r="A17" s="80" t="s">
        <v>973</v>
      </c>
      <c r="B17" s="4">
        <v>11</v>
      </c>
      <c r="C17" s="4">
        <v>0</v>
      </c>
      <c r="D17" s="4">
        <v>65</v>
      </c>
      <c r="E17" s="4">
        <v>1</v>
      </c>
      <c r="F17" s="4">
        <v>50</v>
      </c>
      <c r="G17" s="10">
        <f t="shared" si="2"/>
        <v>11</v>
      </c>
      <c r="H17" s="4">
        <v>50</v>
      </c>
      <c r="I17" s="5">
        <f t="shared" si="3"/>
        <v>715</v>
      </c>
      <c r="J17" s="5">
        <f t="shared" si="4"/>
        <v>665</v>
      </c>
      <c r="K17">
        <v>37</v>
      </c>
      <c r="N17" s="83">
        <v>1286</v>
      </c>
    </row>
    <row r="18" spans="1:17" ht="19">
      <c r="A18" s="91" t="s">
        <v>465</v>
      </c>
      <c r="B18" s="8">
        <f>SUM(B19:B24)</f>
        <v>63</v>
      </c>
      <c r="C18" s="8">
        <f>SUM(C19:C24)</f>
        <v>142</v>
      </c>
      <c r="D18" s="8">
        <f>SUM(D19)</f>
        <v>65</v>
      </c>
      <c r="E18" s="8">
        <f>SUM(E19:E24)</f>
        <v>6</v>
      </c>
      <c r="F18" s="8">
        <f>SUM(F19:F24)</f>
        <v>300</v>
      </c>
      <c r="G18" s="93">
        <f t="shared" si="2"/>
        <v>65.36666666666666</v>
      </c>
      <c r="H18" s="8">
        <f>SUM(H19:H24)</f>
        <v>300</v>
      </c>
      <c r="I18" s="9">
        <f>SUM(I19:I24)</f>
        <v>4138.8333333333339</v>
      </c>
      <c r="J18" s="14">
        <f>SUM(J19:J24)</f>
        <v>3838.8333333333335</v>
      </c>
      <c r="K18" s="8">
        <f>SUM(K19:K24)</f>
        <v>203</v>
      </c>
      <c r="L18" s="9">
        <v>0</v>
      </c>
      <c r="M18" s="96">
        <f>J18+L18</f>
        <v>3838.8333333333335</v>
      </c>
      <c r="N18" s="99">
        <f>SUM(N19:N24)</f>
        <v>5306</v>
      </c>
      <c r="O18" s="98">
        <f>5306-N18</f>
        <v>0</v>
      </c>
      <c r="P18" s="86"/>
      <c r="Q18" s="86"/>
    </row>
    <row r="19" spans="1:17">
      <c r="A19" s="80">
        <v>46140</v>
      </c>
      <c r="B19" s="4">
        <v>10</v>
      </c>
      <c r="C19" s="4">
        <v>49</v>
      </c>
      <c r="D19" s="4">
        <v>65</v>
      </c>
      <c r="E19" s="4">
        <v>1</v>
      </c>
      <c r="F19" s="4">
        <v>50</v>
      </c>
      <c r="G19" s="10">
        <f t="shared" si="2"/>
        <v>10.816666666666666</v>
      </c>
      <c r="H19" s="4">
        <v>50</v>
      </c>
      <c r="I19" s="5">
        <f t="shared" ref="I19:I24" si="5">G19*D19</f>
        <v>703.08333333333337</v>
      </c>
      <c r="J19" s="5">
        <f t="shared" ref="J19:J24" si="6">I19-H19</f>
        <v>653.08333333333337</v>
      </c>
      <c r="K19">
        <v>35</v>
      </c>
      <c r="N19" s="51">
        <v>635</v>
      </c>
    </row>
    <row r="20" spans="1:17">
      <c r="A20" s="80">
        <v>46141</v>
      </c>
      <c r="B20" s="4">
        <v>11</v>
      </c>
      <c r="C20" s="4">
        <v>0</v>
      </c>
      <c r="D20" s="4">
        <v>55</v>
      </c>
      <c r="E20" s="4">
        <v>1</v>
      </c>
      <c r="F20" s="4">
        <v>50</v>
      </c>
      <c r="G20" s="10">
        <f t="shared" si="2"/>
        <v>11</v>
      </c>
      <c r="H20" s="4">
        <v>50</v>
      </c>
      <c r="I20" s="5">
        <f t="shared" si="5"/>
        <v>605</v>
      </c>
      <c r="J20" s="5">
        <f t="shared" si="6"/>
        <v>555</v>
      </c>
      <c r="K20">
        <v>29</v>
      </c>
      <c r="N20" s="83">
        <v>550</v>
      </c>
    </row>
    <row r="21" spans="1:17">
      <c r="A21" s="80">
        <v>46142</v>
      </c>
      <c r="B21" s="4">
        <v>11</v>
      </c>
      <c r="C21" s="4">
        <v>0</v>
      </c>
      <c r="D21" s="4">
        <v>65</v>
      </c>
      <c r="E21" s="4">
        <v>1</v>
      </c>
      <c r="F21" s="4">
        <v>50</v>
      </c>
      <c r="G21" s="10">
        <f t="shared" si="2"/>
        <v>11</v>
      </c>
      <c r="H21" s="4">
        <v>50</v>
      </c>
      <c r="I21" s="5">
        <f t="shared" si="5"/>
        <v>715</v>
      </c>
      <c r="J21" s="5">
        <f t="shared" si="6"/>
        <v>665</v>
      </c>
      <c r="K21">
        <v>33</v>
      </c>
      <c r="N21" s="83">
        <v>796</v>
      </c>
    </row>
    <row r="22" spans="1:17">
      <c r="A22" s="80">
        <v>46143</v>
      </c>
      <c r="B22" s="4">
        <v>11</v>
      </c>
      <c r="C22" s="4">
        <v>0</v>
      </c>
      <c r="D22" s="4">
        <v>65</v>
      </c>
      <c r="E22" s="4">
        <v>1</v>
      </c>
      <c r="F22" s="4">
        <v>50</v>
      </c>
      <c r="G22" s="10">
        <f t="shared" si="2"/>
        <v>11</v>
      </c>
      <c r="H22" s="4">
        <v>50</v>
      </c>
      <c r="I22" s="5">
        <f t="shared" si="5"/>
        <v>715</v>
      </c>
      <c r="J22" s="5">
        <f t="shared" si="6"/>
        <v>665</v>
      </c>
      <c r="K22">
        <v>32</v>
      </c>
      <c r="N22" s="51">
        <v>910</v>
      </c>
    </row>
    <row r="23" spans="1:17">
      <c r="A23" s="80">
        <v>46144</v>
      </c>
      <c r="B23" s="4">
        <v>10</v>
      </c>
      <c r="C23" s="4">
        <v>48</v>
      </c>
      <c r="D23" s="4">
        <v>65</v>
      </c>
      <c r="E23" s="4">
        <v>1</v>
      </c>
      <c r="F23" s="4">
        <v>50</v>
      </c>
      <c r="G23" s="10">
        <f t="shared" si="2"/>
        <v>10.8</v>
      </c>
      <c r="H23" s="4">
        <v>50</v>
      </c>
      <c r="I23" s="5">
        <f t="shared" si="5"/>
        <v>702</v>
      </c>
      <c r="J23" s="5">
        <f t="shared" si="6"/>
        <v>652</v>
      </c>
      <c r="K23">
        <v>37</v>
      </c>
      <c r="N23" s="51">
        <v>770</v>
      </c>
      <c r="P23" t="s">
        <v>974</v>
      </c>
    </row>
    <row r="24" spans="1:17">
      <c r="A24" s="80">
        <v>46145</v>
      </c>
      <c r="B24" s="4">
        <v>10</v>
      </c>
      <c r="C24" s="4">
        <v>45</v>
      </c>
      <c r="D24" s="4">
        <v>65</v>
      </c>
      <c r="E24" s="4">
        <v>1</v>
      </c>
      <c r="F24" s="4">
        <v>50</v>
      </c>
      <c r="G24" s="10">
        <f t="shared" si="2"/>
        <v>10.75</v>
      </c>
      <c r="H24" s="4">
        <v>50</v>
      </c>
      <c r="I24" s="5">
        <f t="shared" si="5"/>
        <v>698.75</v>
      </c>
      <c r="J24" s="5">
        <f t="shared" si="6"/>
        <v>648.75</v>
      </c>
      <c r="K24">
        <v>37</v>
      </c>
      <c r="N24" s="51">
        <v>1645</v>
      </c>
      <c r="P24" t="s">
        <v>975</v>
      </c>
    </row>
    <row r="25" spans="1:17" ht="19">
      <c r="A25" s="91" t="s">
        <v>468</v>
      </c>
      <c r="B25" s="8">
        <f>SUM(B26:B31)</f>
        <v>33</v>
      </c>
      <c r="C25" s="8">
        <f>SUM(C26:C31)</f>
        <v>130</v>
      </c>
      <c r="D25" s="8">
        <f>SUM(D26)</f>
        <v>45</v>
      </c>
      <c r="E25" s="8">
        <f>SUM(E26:E32)</f>
        <v>5</v>
      </c>
      <c r="F25" s="8">
        <f>SUM(F26:F31)</f>
        <v>300</v>
      </c>
      <c r="G25" s="93">
        <f t="shared" si="2"/>
        <v>35.166666666666664</v>
      </c>
      <c r="H25" s="8">
        <f>SUM(H26:H31)</f>
        <v>200</v>
      </c>
      <c r="I25" s="9">
        <f>SUM(I26:I31)</f>
        <v>2218.1666666666665</v>
      </c>
      <c r="J25" s="9">
        <f>SUM(J26:J31)</f>
        <v>2018.1666666666665</v>
      </c>
      <c r="K25" s="8">
        <f>SUM(K26:K31)</f>
        <v>158</v>
      </c>
      <c r="L25" s="9">
        <v>0</v>
      </c>
      <c r="M25" s="96">
        <f>J25+L25</f>
        <v>2018.1666666666665</v>
      </c>
      <c r="N25" s="99">
        <f>SUM(N26:N32)</f>
        <v>5397</v>
      </c>
      <c r="O25" s="98">
        <f>5397-N25</f>
        <v>0</v>
      </c>
      <c r="P25" s="86"/>
      <c r="Q25" s="86"/>
    </row>
    <row r="26" spans="1:17">
      <c r="A26" s="80" t="s">
        <v>961</v>
      </c>
      <c r="B26" s="4">
        <v>0</v>
      </c>
      <c r="C26" s="4">
        <v>0</v>
      </c>
      <c r="D26" s="4">
        <v>45</v>
      </c>
      <c r="E26" s="4">
        <v>0</v>
      </c>
      <c r="F26" s="4">
        <v>50</v>
      </c>
      <c r="G26" s="10">
        <f t="shared" si="2"/>
        <v>0</v>
      </c>
      <c r="H26" s="4">
        <v>0</v>
      </c>
      <c r="I26" s="5">
        <f t="shared" ref="I26:I32" si="7">G26*D26</f>
        <v>0</v>
      </c>
      <c r="J26" s="5">
        <f t="shared" ref="J26:J32" si="8">I26-H26</f>
        <v>0</v>
      </c>
      <c r="K26">
        <v>0</v>
      </c>
      <c r="N26" s="51">
        <v>0</v>
      </c>
    </row>
    <row r="27" spans="1:17">
      <c r="A27" s="80" t="s">
        <v>963</v>
      </c>
      <c r="B27" s="4">
        <v>0</v>
      </c>
      <c r="C27" s="4">
        <v>0</v>
      </c>
      <c r="D27" s="4">
        <v>45</v>
      </c>
      <c r="E27" s="4">
        <v>0</v>
      </c>
      <c r="F27" s="4">
        <v>50</v>
      </c>
      <c r="G27" s="10">
        <f t="shared" si="2"/>
        <v>0</v>
      </c>
      <c r="H27" s="4">
        <v>0</v>
      </c>
      <c r="I27" s="5">
        <f t="shared" si="7"/>
        <v>0</v>
      </c>
      <c r="J27" s="5">
        <f t="shared" si="8"/>
        <v>0</v>
      </c>
      <c r="K27">
        <v>0</v>
      </c>
      <c r="N27" s="51">
        <v>0</v>
      </c>
    </row>
    <row r="28" spans="1:17">
      <c r="A28" s="80" t="s">
        <v>965</v>
      </c>
      <c r="B28" s="4">
        <v>10</v>
      </c>
      <c r="C28" s="4">
        <v>41</v>
      </c>
      <c r="D28" s="4">
        <v>65</v>
      </c>
      <c r="E28" s="4">
        <v>1</v>
      </c>
      <c r="F28" s="4">
        <v>50</v>
      </c>
      <c r="G28" s="10">
        <f t="shared" si="2"/>
        <v>10.683333333333334</v>
      </c>
      <c r="H28" s="4">
        <v>50</v>
      </c>
      <c r="I28" s="5">
        <f t="shared" si="7"/>
        <v>694.41666666666663</v>
      </c>
      <c r="J28" s="5">
        <f t="shared" si="8"/>
        <v>644.41666666666663</v>
      </c>
      <c r="K28">
        <v>51</v>
      </c>
      <c r="N28" s="51">
        <v>723</v>
      </c>
      <c r="P28" t="s">
        <v>964</v>
      </c>
    </row>
    <row r="29" spans="1:17">
      <c r="A29" s="80" t="s">
        <v>967</v>
      </c>
      <c r="B29" s="4">
        <v>9</v>
      </c>
      <c r="C29" s="4">
        <v>41</v>
      </c>
      <c r="D29" s="4">
        <v>65</v>
      </c>
      <c r="E29" s="4">
        <v>1</v>
      </c>
      <c r="F29" s="4">
        <v>50</v>
      </c>
      <c r="G29" s="10">
        <f>B29+C29/60</f>
        <v>9.6833333333333336</v>
      </c>
      <c r="H29" s="4">
        <v>50</v>
      </c>
      <c r="I29" s="5">
        <f t="shared" si="7"/>
        <v>629.41666666666663</v>
      </c>
      <c r="J29" s="5">
        <f t="shared" si="8"/>
        <v>579.41666666666663</v>
      </c>
      <c r="K29">
        <v>42</v>
      </c>
      <c r="N29" s="51">
        <v>1040</v>
      </c>
      <c r="P29" t="s">
        <v>976</v>
      </c>
    </row>
    <row r="30" spans="1:17">
      <c r="A30" s="80" t="s">
        <v>969</v>
      </c>
      <c r="B30" s="4">
        <v>6</v>
      </c>
      <c r="C30" s="4">
        <v>46</v>
      </c>
      <c r="D30" s="4">
        <v>55</v>
      </c>
      <c r="E30" s="4">
        <v>1</v>
      </c>
      <c r="F30" s="7">
        <v>50</v>
      </c>
      <c r="G30" s="10">
        <f t="shared" ref="G30:G32" si="9">B30+C30/60</f>
        <v>6.7666666666666666</v>
      </c>
      <c r="H30" s="4">
        <v>50</v>
      </c>
      <c r="I30" s="5">
        <f t="shared" si="7"/>
        <v>372.16666666666669</v>
      </c>
      <c r="J30" s="5">
        <f t="shared" si="8"/>
        <v>322.16666666666669</v>
      </c>
      <c r="K30">
        <v>27</v>
      </c>
      <c r="N30" s="51">
        <f>520+500</f>
        <v>1020</v>
      </c>
      <c r="P30" t="s">
        <v>977</v>
      </c>
    </row>
    <row r="31" spans="1:17">
      <c r="A31" s="80" t="s">
        <v>971</v>
      </c>
      <c r="B31" s="4">
        <v>8</v>
      </c>
      <c r="C31" s="4">
        <v>2</v>
      </c>
      <c r="D31" s="4">
        <v>65</v>
      </c>
      <c r="E31" s="4">
        <v>1</v>
      </c>
      <c r="F31" s="4">
        <v>50</v>
      </c>
      <c r="G31" s="10">
        <f t="shared" si="9"/>
        <v>8.0333333333333332</v>
      </c>
      <c r="H31" s="4">
        <v>50</v>
      </c>
      <c r="I31" s="5">
        <f t="shared" si="7"/>
        <v>522.16666666666663</v>
      </c>
      <c r="J31" s="5">
        <f t="shared" si="8"/>
        <v>472.16666666666663</v>
      </c>
      <c r="K31">
        <v>38</v>
      </c>
      <c r="N31" s="51">
        <v>900</v>
      </c>
      <c r="P31" t="s">
        <v>978</v>
      </c>
    </row>
    <row r="32" spans="1:17">
      <c r="A32" s="80" t="s">
        <v>973</v>
      </c>
      <c r="B32" s="4">
        <v>10</v>
      </c>
      <c r="C32" s="4">
        <v>2</v>
      </c>
      <c r="D32" s="4">
        <v>65</v>
      </c>
      <c r="E32" s="4">
        <v>1</v>
      </c>
      <c r="F32" s="4">
        <v>50</v>
      </c>
      <c r="G32" s="10">
        <f t="shared" si="9"/>
        <v>10.033333333333333</v>
      </c>
      <c r="H32" s="4">
        <v>50</v>
      </c>
      <c r="I32" s="5">
        <f t="shared" si="7"/>
        <v>652.16666666666663</v>
      </c>
      <c r="J32" s="5">
        <f t="shared" si="8"/>
        <v>602.16666666666663</v>
      </c>
      <c r="K32">
        <v>45</v>
      </c>
      <c r="N32" s="51">
        <f>1450+264</f>
        <v>1714</v>
      </c>
    </row>
    <row r="33" spans="1:17" ht="19">
      <c r="A33" s="91" t="s">
        <v>475</v>
      </c>
      <c r="B33" s="8">
        <f>SUM(B34:B40)</f>
        <v>0</v>
      </c>
      <c r="C33" s="8">
        <f>SUM(C34:C40)</f>
        <v>0</v>
      </c>
      <c r="D33" s="8">
        <f>SUM(D34)</f>
        <v>45</v>
      </c>
      <c r="E33" s="8">
        <f>SUM(E34:E40)</f>
        <v>0</v>
      </c>
      <c r="F33" s="8">
        <f>SUM(F34:F40)</f>
        <v>350</v>
      </c>
      <c r="G33" s="93">
        <f t="shared" si="2"/>
        <v>0</v>
      </c>
      <c r="H33" s="8">
        <f>SUM(H34:H40)</f>
        <v>0</v>
      </c>
      <c r="I33" s="9">
        <f>SUM(I34:I40)</f>
        <v>0</v>
      </c>
      <c r="J33" s="14">
        <f>SUM(J34:J40)</f>
        <v>0</v>
      </c>
      <c r="K33" s="8">
        <f>SUM(K34:K40)</f>
        <v>0</v>
      </c>
      <c r="L33" s="9">
        <v>0</v>
      </c>
      <c r="M33" s="96">
        <f>J33+L33</f>
        <v>0</v>
      </c>
      <c r="N33" s="129">
        <f>SUM(N34:N40)</f>
        <v>0</v>
      </c>
      <c r="O33" s="98">
        <v>0</v>
      </c>
      <c r="P33" s="86"/>
      <c r="Q33" s="86"/>
    </row>
    <row r="34" spans="1:17" ht="19">
      <c r="A34" s="6">
        <v>46139</v>
      </c>
      <c r="B34" s="4">
        <v>0</v>
      </c>
      <c r="C34" s="4">
        <v>0</v>
      </c>
      <c r="D34" s="4">
        <v>45</v>
      </c>
      <c r="E34" s="4">
        <v>0</v>
      </c>
      <c r="F34" s="4">
        <v>50</v>
      </c>
      <c r="G34" s="10">
        <f t="shared" si="2"/>
        <v>0</v>
      </c>
      <c r="H34" s="4">
        <v>0</v>
      </c>
      <c r="I34" s="5">
        <f t="shared" ref="I34:I40" si="10">G34*D34</f>
        <v>0</v>
      </c>
      <c r="J34" s="5">
        <f t="shared" ref="J34:J40" si="11">I34-H34</f>
        <v>0</v>
      </c>
      <c r="K34">
        <v>0</v>
      </c>
      <c r="N34" s="51">
        <v>0</v>
      </c>
      <c r="O34" s="49"/>
    </row>
    <row r="35" spans="1:17" ht="19">
      <c r="A35" s="6">
        <v>46140</v>
      </c>
      <c r="B35" s="4">
        <v>0</v>
      </c>
      <c r="C35" s="4">
        <v>0</v>
      </c>
      <c r="D35" s="4">
        <v>45</v>
      </c>
      <c r="E35" s="4">
        <v>0</v>
      </c>
      <c r="F35" s="4">
        <v>50</v>
      </c>
      <c r="G35" s="10">
        <f t="shared" si="2"/>
        <v>0</v>
      </c>
      <c r="H35" s="4">
        <v>0</v>
      </c>
      <c r="I35" s="5">
        <f t="shared" si="10"/>
        <v>0</v>
      </c>
      <c r="J35" s="5">
        <f t="shared" si="11"/>
        <v>0</v>
      </c>
      <c r="K35">
        <v>0</v>
      </c>
      <c r="N35" s="51">
        <v>0</v>
      </c>
      <c r="O35" s="49"/>
    </row>
    <row r="36" spans="1:17">
      <c r="A36" s="6">
        <v>46141</v>
      </c>
      <c r="B36" s="4">
        <v>0</v>
      </c>
      <c r="C36" s="4">
        <v>0</v>
      </c>
      <c r="D36" s="4">
        <v>45</v>
      </c>
      <c r="E36" s="4">
        <v>0</v>
      </c>
      <c r="F36" s="4">
        <v>50</v>
      </c>
      <c r="G36" s="10">
        <f t="shared" si="2"/>
        <v>0</v>
      </c>
      <c r="H36" s="4">
        <v>0</v>
      </c>
      <c r="I36" s="5">
        <f t="shared" si="10"/>
        <v>0</v>
      </c>
      <c r="J36" s="5">
        <f t="shared" si="11"/>
        <v>0</v>
      </c>
      <c r="K36">
        <v>0</v>
      </c>
      <c r="N36" s="51">
        <v>0</v>
      </c>
    </row>
    <row r="37" spans="1:17">
      <c r="A37" s="6">
        <v>46142</v>
      </c>
      <c r="B37" s="4">
        <v>0</v>
      </c>
      <c r="C37" s="4">
        <v>0</v>
      </c>
      <c r="D37" s="4">
        <v>45</v>
      </c>
      <c r="E37" s="4">
        <v>0</v>
      </c>
      <c r="F37" s="4">
        <v>50</v>
      </c>
      <c r="G37" s="10">
        <f t="shared" si="2"/>
        <v>0</v>
      </c>
      <c r="H37" s="4">
        <v>0</v>
      </c>
      <c r="I37" s="5">
        <f t="shared" si="10"/>
        <v>0</v>
      </c>
      <c r="J37" s="5">
        <f t="shared" si="11"/>
        <v>0</v>
      </c>
      <c r="K37">
        <v>0</v>
      </c>
      <c r="N37" s="51">
        <v>0</v>
      </c>
    </row>
    <row r="38" spans="1:17">
      <c r="A38" s="6">
        <v>46143</v>
      </c>
      <c r="B38" s="4">
        <v>0</v>
      </c>
      <c r="C38" s="4">
        <v>0</v>
      </c>
      <c r="D38" s="4">
        <v>45</v>
      </c>
      <c r="E38" s="4">
        <v>0</v>
      </c>
      <c r="F38" s="4">
        <v>50</v>
      </c>
      <c r="G38" s="10">
        <f t="shared" si="2"/>
        <v>0</v>
      </c>
      <c r="H38" s="4">
        <v>0</v>
      </c>
      <c r="I38" s="5">
        <f t="shared" si="10"/>
        <v>0</v>
      </c>
      <c r="J38" s="5">
        <f t="shared" si="11"/>
        <v>0</v>
      </c>
      <c r="K38">
        <v>0</v>
      </c>
      <c r="N38" s="51">
        <v>0</v>
      </c>
    </row>
    <row r="39" spans="1:17">
      <c r="A39" s="6">
        <v>46144</v>
      </c>
      <c r="B39" s="4">
        <v>0</v>
      </c>
      <c r="C39" s="4">
        <v>0</v>
      </c>
      <c r="D39" s="4">
        <v>45</v>
      </c>
      <c r="E39" s="4">
        <v>0</v>
      </c>
      <c r="F39" s="4">
        <v>50</v>
      </c>
      <c r="G39" s="10">
        <f t="shared" si="2"/>
        <v>0</v>
      </c>
      <c r="H39" s="4">
        <v>0</v>
      </c>
      <c r="I39" s="5">
        <f t="shared" si="10"/>
        <v>0</v>
      </c>
      <c r="J39" s="5">
        <f t="shared" si="11"/>
        <v>0</v>
      </c>
      <c r="K39">
        <v>0</v>
      </c>
      <c r="N39" s="51">
        <v>0</v>
      </c>
      <c r="P39" s="51"/>
    </row>
    <row r="40" spans="1:17" ht="16" thickBot="1">
      <c r="A40" s="6">
        <v>46145</v>
      </c>
      <c r="B40" s="4">
        <v>0</v>
      </c>
      <c r="C40" s="4">
        <v>0</v>
      </c>
      <c r="D40" s="4">
        <v>45</v>
      </c>
      <c r="E40" s="4">
        <v>0</v>
      </c>
      <c r="F40" s="4">
        <v>50</v>
      </c>
      <c r="G40" s="10">
        <v>0</v>
      </c>
      <c r="H40" s="4">
        <v>0</v>
      </c>
      <c r="I40" s="5">
        <f t="shared" si="10"/>
        <v>0</v>
      </c>
      <c r="J40" s="5">
        <f t="shared" si="11"/>
        <v>0</v>
      </c>
      <c r="K40">
        <v>0</v>
      </c>
      <c r="L40" s="1"/>
      <c r="N40" s="51">
        <v>0</v>
      </c>
    </row>
    <row r="41" spans="1:17" ht="20" thickBot="1">
      <c r="A41" s="91" t="s">
        <v>482</v>
      </c>
      <c r="B41" s="8">
        <f>SUM(B42:B48)</f>
        <v>14</v>
      </c>
      <c r="C41" s="8">
        <f>SUM(C42:C48)</f>
        <v>45</v>
      </c>
      <c r="D41" s="8">
        <f>SUM(D42)</f>
        <v>45</v>
      </c>
      <c r="E41" s="8">
        <f>SUM(E42:E48)</f>
        <v>2</v>
      </c>
      <c r="F41" s="8">
        <f>SUM(F42:F48)</f>
        <v>350</v>
      </c>
      <c r="G41" s="93">
        <f t="shared" ref="G41:G52" si="12">B41+C41/60</f>
        <v>14.75</v>
      </c>
      <c r="H41" s="8">
        <f>SUM(H42:H48)</f>
        <v>100</v>
      </c>
      <c r="I41" s="100">
        <f>SUM(I42:I48)</f>
        <v>663.75</v>
      </c>
      <c r="J41" s="101">
        <f>SUM(J42:J48)</f>
        <v>563.75</v>
      </c>
      <c r="K41" s="8">
        <f>SUM(K42:K48)</f>
        <v>29</v>
      </c>
      <c r="L41" s="104">
        <v>0</v>
      </c>
      <c r="M41" s="96">
        <f>J41+L41</f>
        <v>563.75</v>
      </c>
      <c r="N41" s="99">
        <f>SUM(N42:N48)</f>
        <v>905.5</v>
      </c>
      <c r="O41" s="98">
        <f>917-N41</f>
        <v>11.5</v>
      </c>
      <c r="P41" s="86"/>
      <c r="Q41" s="86"/>
    </row>
    <row r="42" spans="1:17">
      <c r="A42" s="6">
        <v>46139</v>
      </c>
      <c r="B42" s="4">
        <v>9</v>
      </c>
      <c r="C42" s="4">
        <v>39</v>
      </c>
      <c r="D42" s="4">
        <v>45</v>
      </c>
      <c r="E42" s="4">
        <v>1</v>
      </c>
      <c r="F42" s="4">
        <v>50</v>
      </c>
      <c r="G42" s="10">
        <f t="shared" si="12"/>
        <v>9.65</v>
      </c>
      <c r="H42" s="4">
        <v>50</v>
      </c>
      <c r="I42" s="5">
        <f t="shared" ref="I42:I48" si="13">G42*D42</f>
        <v>434.25</v>
      </c>
      <c r="J42" s="5">
        <f t="shared" ref="J42:J48" si="14">I42-H42</f>
        <v>384.25</v>
      </c>
      <c r="K42">
        <v>22</v>
      </c>
      <c r="N42" s="83">
        <v>535.5</v>
      </c>
      <c r="P42" t="s">
        <v>900</v>
      </c>
    </row>
    <row r="43" spans="1:17">
      <c r="A43" s="6">
        <v>46140</v>
      </c>
      <c r="B43" s="4">
        <v>5</v>
      </c>
      <c r="C43" s="4">
        <v>6</v>
      </c>
      <c r="D43" s="4">
        <v>45</v>
      </c>
      <c r="E43" s="4">
        <v>1</v>
      </c>
      <c r="F43" s="4">
        <v>50</v>
      </c>
      <c r="G43" s="10">
        <f t="shared" si="12"/>
        <v>5.0999999999999996</v>
      </c>
      <c r="H43" s="4">
        <v>50</v>
      </c>
      <c r="I43" s="5">
        <f t="shared" si="13"/>
        <v>229.49999999999997</v>
      </c>
      <c r="J43" s="5">
        <f t="shared" si="14"/>
        <v>179.49999999999997</v>
      </c>
      <c r="K43">
        <v>7</v>
      </c>
      <c r="N43" s="83">
        <v>370</v>
      </c>
      <c r="P43" t="s">
        <v>979</v>
      </c>
    </row>
    <row r="44" spans="1:17">
      <c r="A44" s="6">
        <v>46141</v>
      </c>
      <c r="B44" s="4">
        <v>0</v>
      </c>
      <c r="C44" s="4">
        <v>0</v>
      </c>
      <c r="D44" s="4">
        <v>45</v>
      </c>
      <c r="E44" s="4">
        <v>0</v>
      </c>
      <c r="F44" s="4">
        <v>50</v>
      </c>
      <c r="G44" s="10">
        <f t="shared" si="12"/>
        <v>0</v>
      </c>
      <c r="H44" s="4">
        <v>0</v>
      </c>
      <c r="I44" s="5">
        <f t="shared" si="13"/>
        <v>0</v>
      </c>
      <c r="J44" s="5">
        <f t="shared" si="14"/>
        <v>0</v>
      </c>
      <c r="K44">
        <v>0</v>
      </c>
      <c r="N44" s="83">
        <v>0</v>
      </c>
    </row>
    <row r="45" spans="1:17">
      <c r="A45" s="6">
        <v>46142</v>
      </c>
      <c r="B45" s="4">
        <v>0</v>
      </c>
      <c r="C45" s="4">
        <v>0</v>
      </c>
      <c r="D45" s="4">
        <v>45</v>
      </c>
      <c r="E45" s="4">
        <v>0</v>
      </c>
      <c r="F45" s="4">
        <v>50</v>
      </c>
      <c r="G45" s="10">
        <f t="shared" si="12"/>
        <v>0</v>
      </c>
      <c r="H45" s="4">
        <v>0</v>
      </c>
      <c r="I45" s="5">
        <f t="shared" si="13"/>
        <v>0</v>
      </c>
      <c r="J45" s="5">
        <f t="shared" si="14"/>
        <v>0</v>
      </c>
      <c r="K45">
        <v>0</v>
      </c>
      <c r="N45" s="51">
        <v>0</v>
      </c>
    </row>
    <row r="46" spans="1:17">
      <c r="A46" s="6">
        <v>46143</v>
      </c>
      <c r="B46" s="4">
        <v>0</v>
      </c>
      <c r="C46" s="4">
        <v>0</v>
      </c>
      <c r="D46" s="4">
        <v>45</v>
      </c>
      <c r="E46" s="4">
        <v>0</v>
      </c>
      <c r="F46" s="4">
        <v>50</v>
      </c>
      <c r="G46" s="10">
        <f t="shared" si="12"/>
        <v>0</v>
      </c>
      <c r="H46" s="4">
        <v>0</v>
      </c>
      <c r="I46" s="5">
        <f t="shared" si="13"/>
        <v>0</v>
      </c>
      <c r="J46" s="5">
        <f t="shared" si="14"/>
        <v>0</v>
      </c>
      <c r="K46">
        <v>0</v>
      </c>
      <c r="N46" s="51">
        <v>0</v>
      </c>
    </row>
    <row r="47" spans="1:17">
      <c r="A47" s="6">
        <v>46144</v>
      </c>
      <c r="B47" s="4">
        <v>0</v>
      </c>
      <c r="C47" s="4">
        <v>0</v>
      </c>
      <c r="D47" s="4">
        <v>45</v>
      </c>
      <c r="E47" s="4">
        <v>0</v>
      </c>
      <c r="F47" s="4">
        <v>50</v>
      </c>
      <c r="G47" s="10">
        <f t="shared" si="12"/>
        <v>0</v>
      </c>
      <c r="H47" s="4">
        <v>0</v>
      </c>
      <c r="I47" s="5">
        <f t="shared" si="13"/>
        <v>0</v>
      </c>
      <c r="J47" s="5">
        <f t="shared" si="14"/>
        <v>0</v>
      </c>
      <c r="K47">
        <v>0</v>
      </c>
      <c r="N47" s="51">
        <v>0</v>
      </c>
    </row>
    <row r="48" spans="1:17" ht="16" thickBot="1">
      <c r="A48" s="6">
        <v>46145</v>
      </c>
      <c r="B48" s="4">
        <v>0</v>
      </c>
      <c r="C48" s="4">
        <v>0</v>
      </c>
      <c r="D48" s="4">
        <v>45</v>
      </c>
      <c r="E48" s="4">
        <v>0</v>
      </c>
      <c r="F48" s="4">
        <v>50</v>
      </c>
      <c r="G48" s="10">
        <f t="shared" si="12"/>
        <v>0</v>
      </c>
      <c r="H48" s="4">
        <v>0</v>
      </c>
      <c r="I48" s="5">
        <f t="shared" si="13"/>
        <v>0</v>
      </c>
      <c r="J48" s="5">
        <f t="shared" si="14"/>
        <v>0</v>
      </c>
      <c r="K48">
        <v>0</v>
      </c>
      <c r="N48" s="51">
        <v>0</v>
      </c>
    </row>
    <row r="49" spans="1:17" ht="20" thickBot="1">
      <c r="A49" s="91" t="s">
        <v>980</v>
      </c>
      <c r="B49" s="8">
        <f>SUM(B50:B55)</f>
        <v>26</v>
      </c>
      <c r="C49" s="8">
        <f>SUM(C50:C55)</f>
        <v>76</v>
      </c>
      <c r="D49" s="8">
        <f>SUM(D50)</f>
        <v>45</v>
      </c>
      <c r="E49" s="8">
        <f>SUM(E50:E56)</f>
        <v>4</v>
      </c>
      <c r="F49" s="8">
        <f>SUM(F50:F55)</f>
        <v>300</v>
      </c>
      <c r="G49" s="93">
        <f t="shared" si="12"/>
        <v>27.266666666666666</v>
      </c>
      <c r="H49" s="8">
        <f>SUM(H50:H55)</f>
        <v>150</v>
      </c>
      <c r="I49" s="9">
        <f>SUM(I50:I56)</f>
        <v>1883.0833333333335</v>
      </c>
      <c r="J49" s="14">
        <f>SUM(J50:J56)</f>
        <v>1683.0833333333335</v>
      </c>
      <c r="K49" s="8">
        <f>SUM(K50:K56)</f>
        <v>112</v>
      </c>
      <c r="L49" s="9">
        <v>0</v>
      </c>
      <c r="M49" s="96">
        <f>J49</f>
        <v>1683.0833333333335</v>
      </c>
      <c r="N49" s="102">
        <f>SUM(N50:N55)</f>
        <v>2257</v>
      </c>
      <c r="O49" s="98">
        <f>2643-N49</f>
        <v>386</v>
      </c>
      <c r="P49" s="86"/>
      <c r="Q49" s="86"/>
    </row>
    <row r="50" spans="1:17" ht="19">
      <c r="A50" s="6">
        <v>46139</v>
      </c>
      <c r="B50" s="4">
        <v>0</v>
      </c>
      <c r="C50" s="4">
        <v>0</v>
      </c>
      <c r="D50" s="4">
        <v>45</v>
      </c>
      <c r="E50" s="4">
        <v>0</v>
      </c>
      <c r="F50" s="4">
        <v>50</v>
      </c>
      <c r="G50" s="10">
        <f t="shared" si="12"/>
        <v>0</v>
      </c>
      <c r="H50" s="4">
        <v>0</v>
      </c>
      <c r="I50" s="5">
        <f>G50*D50</f>
        <v>0</v>
      </c>
      <c r="J50" s="5">
        <f>I50-H50</f>
        <v>0</v>
      </c>
      <c r="K50">
        <v>0</v>
      </c>
      <c r="N50" s="51">
        <v>0</v>
      </c>
      <c r="O50" s="49"/>
    </row>
    <row r="51" spans="1:17">
      <c r="A51" s="6">
        <v>46140</v>
      </c>
      <c r="B51" s="4">
        <v>0</v>
      </c>
      <c r="C51" s="4">
        <v>0</v>
      </c>
      <c r="D51" s="4">
        <v>45</v>
      </c>
      <c r="E51" s="4">
        <v>0</v>
      </c>
      <c r="F51" s="4">
        <v>50</v>
      </c>
      <c r="G51" s="10">
        <f t="shared" si="12"/>
        <v>0</v>
      </c>
      <c r="H51" s="4">
        <v>0</v>
      </c>
      <c r="I51" s="5">
        <f>G51*D51</f>
        <v>0</v>
      </c>
      <c r="J51" s="5">
        <f>I51-H51</f>
        <v>0</v>
      </c>
      <c r="K51">
        <v>0</v>
      </c>
      <c r="N51" s="51">
        <v>0</v>
      </c>
    </row>
    <row r="52" spans="1:17">
      <c r="A52" s="6">
        <v>46141</v>
      </c>
      <c r="B52" s="4">
        <v>0</v>
      </c>
      <c r="C52" s="4">
        <v>0</v>
      </c>
      <c r="D52" s="4">
        <v>45</v>
      </c>
      <c r="E52" s="4">
        <v>0</v>
      </c>
      <c r="F52" s="4">
        <v>50</v>
      </c>
      <c r="G52" s="10">
        <f t="shared" si="12"/>
        <v>0</v>
      </c>
      <c r="H52" s="4">
        <v>0</v>
      </c>
      <c r="I52" s="5">
        <f>G52*D52</f>
        <v>0</v>
      </c>
      <c r="J52" s="5">
        <f>I52-H52</f>
        <v>0</v>
      </c>
      <c r="K52">
        <v>0</v>
      </c>
      <c r="N52" s="51">
        <v>0</v>
      </c>
    </row>
    <row r="53" spans="1:17">
      <c r="A53" s="80" t="s">
        <v>967</v>
      </c>
      <c r="B53" s="4">
        <v>9</v>
      </c>
      <c r="C53" s="4">
        <v>3</v>
      </c>
      <c r="D53" s="4">
        <v>45</v>
      </c>
      <c r="E53" s="4">
        <v>1</v>
      </c>
      <c r="F53" s="4">
        <v>50</v>
      </c>
      <c r="G53" s="10">
        <f t="shared" ref="G53:G70" si="15">B53+C53/60</f>
        <v>9.0500000000000007</v>
      </c>
      <c r="H53" s="4">
        <v>50</v>
      </c>
      <c r="I53" s="5">
        <f>G53*D53</f>
        <v>407.25000000000006</v>
      </c>
      <c r="J53" s="5">
        <f>I53-H53</f>
        <v>357.25000000000006</v>
      </c>
      <c r="K53">
        <v>26</v>
      </c>
      <c r="N53" s="51">
        <v>585</v>
      </c>
      <c r="P53" t="s">
        <v>981</v>
      </c>
    </row>
    <row r="54" spans="1:17">
      <c r="A54" s="80" t="s">
        <v>969</v>
      </c>
      <c r="B54" s="4">
        <v>9</v>
      </c>
      <c r="C54" s="4">
        <v>21</v>
      </c>
      <c r="D54" s="4">
        <v>55</v>
      </c>
      <c r="E54" s="4">
        <v>1</v>
      </c>
      <c r="F54" s="4">
        <v>50</v>
      </c>
      <c r="G54" s="10">
        <f t="shared" si="15"/>
        <v>9.35</v>
      </c>
      <c r="H54" s="4">
        <v>50</v>
      </c>
      <c r="I54" s="5">
        <f t="shared" ref="I54:I56" si="16">G54*D54</f>
        <v>514.25</v>
      </c>
      <c r="J54" s="5">
        <f>I54-H54</f>
        <v>464.25</v>
      </c>
      <c r="K54">
        <v>29</v>
      </c>
      <c r="N54" s="51">
        <v>730</v>
      </c>
      <c r="P54" t="s">
        <v>982</v>
      </c>
    </row>
    <row r="55" spans="1:17">
      <c r="A55" s="80" t="s">
        <v>971</v>
      </c>
      <c r="B55" s="4">
        <v>8</v>
      </c>
      <c r="C55" s="4">
        <v>52</v>
      </c>
      <c r="D55" s="4">
        <v>55</v>
      </c>
      <c r="E55" s="4">
        <v>1</v>
      </c>
      <c r="F55" s="4">
        <v>50</v>
      </c>
      <c r="G55" s="10">
        <f t="shared" si="15"/>
        <v>8.8666666666666671</v>
      </c>
      <c r="H55" s="4">
        <v>50</v>
      </c>
      <c r="I55" s="5">
        <f t="shared" si="16"/>
        <v>487.66666666666669</v>
      </c>
      <c r="J55" s="5">
        <f t="shared" ref="J55:J56" si="17">I55-H55</f>
        <v>437.66666666666669</v>
      </c>
      <c r="K55">
        <v>27</v>
      </c>
      <c r="N55" s="51">
        <v>942</v>
      </c>
      <c r="P55" t="s">
        <v>983</v>
      </c>
    </row>
    <row r="56" spans="1:17">
      <c r="A56" s="80" t="s">
        <v>984</v>
      </c>
      <c r="B56" s="4">
        <v>8</v>
      </c>
      <c r="C56" s="4">
        <v>37</v>
      </c>
      <c r="D56" s="4">
        <v>55</v>
      </c>
      <c r="E56" s="4">
        <v>1</v>
      </c>
      <c r="F56" s="4">
        <v>50</v>
      </c>
      <c r="G56" s="10">
        <f t="shared" si="15"/>
        <v>8.6166666666666671</v>
      </c>
      <c r="H56" s="4">
        <v>50</v>
      </c>
      <c r="I56" s="5">
        <f t="shared" si="16"/>
        <v>473.91666666666669</v>
      </c>
      <c r="J56" s="5">
        <f t="shared" si="17"/>
        <v>423.91666666666669</v>
      </c>
      <c r="K56">
        <v>30</v>
      </c>
      <c r="N56" s="51">
        <v>650</v>
      </c>
    </row>
    <row r="57" spans="1:17" ht="19">
      <c r="A57" s="91" t="s">
        <v>484</v>
      </c>
      <c r="B57" s="8">
        <f>SUM(B58:B63)</f>
        <v>25</v>
      </c>
      <c r="C57" s="8">
        <f>SUM(C58:C63)</f>
        <v>137</v>
      </c>
      <c r="D57" s="8">
        <f>SUM(D58)</f>
        <v>45</v>
      </c>
      <c r="E57" s="8">
        <f>SUM(E58:E63)</f>
        <v>3</v>
      </c>
      <c r="F57" s="8">
        <f>SUM(F58:F63)</f>
        <v>300</v>
      </c>
      <c r="G57" s="93">
        <f t="shared" si="15"/>
        <v>27.283333333333331</v>
      </c>
      <c r="H57" s="8">
        <f>SUM(H58:H63)</f>
        <v>150</v>
      </c>
      <c r="I57" s="9">
        <f>SUM(I58:I63)</f>
        <v>1773.4166666666665</v>
      </c>
      <c r="J57" s="14">
        <f>SUM(J58:J63)</f>
        <v>1623.4166666666665</v>
      </c>
      <c r="K57" s="8">
        <f>SUM(K58:K63)</f>
        <v>106</v>
      </c>
      <c r="L57" s="9">
        <v>0</v>
      </c>
      <c r="M57" s="96">
        <f>J57</f>
        <v>1623.4166666666665</v>
      </c>
      <c r="N57" s="129">
        <f>SUM(N58:N63)</f>
        <v>2710.5</v>
      </c>
      <c r="O57" s="98">
        <f>3214-N57</f>
        <v>503.5</v>
      </c>
      <c r="P57" s="86"/>
      <c r="Q57" s="86"/>
    </row>
    <row r="58" spans="1:17">
      <c r="A58" s="80" t="s">
        <v>961</v>
      </c>
      <c r="B58" s="4">
        <v>0</v>
      </c>
      <c r="C58" s="4">
        <v>0</v>
      </c>
      <c r="D58" s="4">
        <v>45</v>
      </c>
      <c r="E58" s="4">
        <v>0</v>
      </c>
      <c r="F58" s="4">
        <v>50</v>
      </c>
      <c r="G58" s="10">
        <f t="shared" si="15"/>
        <v>0</v>
      </c>
      <c r="H58" s="4">
        <v>0</v>
      </c>
      <c r="I58" s="5">
        <f t="shared" ref="I58:I63" si="18">G58*D58</f>
        <v>0</v>
      </c>
      <c r="J58" s="5">
        <f t="shared" ref="J58:J63" si="19">I58-H58</f>
        <v>0</v>
      </c>
      <c r="K58">
        <v>0</v>
      </c>
      <c r="N58" s="51">
        <v>0</v>
      </c>
      <c r="O58" s="51"/>
    </row>
    <row r="59" spans="1:17">
      <c r="A59" s="80" t="s">
        <v>963</v>
      </c>
      <c r="B59" s="4">
        <v>0</v>
      </c>
      <c r="C59" s="4">
        <v>0</v>
      </c>
      <c r="D59" s="4">
        <v>45</v>
      </c>
      <c r="E59" s="4">
        <v>0</v>
      </c>
      <c r="F59" s="4">
        <v>50</v>
      </c>
      <c r="G59" s="10">
        <f t="shared" si="15"/>
        <v>0</v>
      </c>
      <c r="H59" s="4">
        <v>0</v>
      </c>
      <c r="I59" s="5">
        <f t="shared" si="18"/>
        <v>0</v>
      </c>
      <c r="J59" s="5">
        <f t="shared" si="19"/>
        <v>0</v>
      </c>
      <c r="K59">
        <v>0</v>
      </c>
      <c r="N59" s="51">
        <v>0</v>
      </c>
    </row>
    <row r="60" spans="1:17">
      <c r="A60" s="80" t="s">
        <v>965</v>
      </c>
      <c r="B60" s="4">
        <v>0</v>
      </c>
      <c r="C60" s="4">
        <v>0</v>
      </c>
      <c r="D60" s="4">
        <v>45</v>
      </c>
      <c r="E60" s="4">
        <v>0</v>
      </c>
      <c r="F60" s="4">
        <v>50</v>
      </c>
      <c r="G60" s="10">
        <f t="shared" si="15"/>
        <v>0</v>
      </c>
      <c r="H60" s="4">
        <v>0</v>
      </c>
      <c r="I60" s="5">
        <f t="shared" si="18"/>
        <v>0</v>
      </c>
      <c r="J60" s="5">
        <f t="shared" si="19"/>
        <v>0</v>
      </c>
      <c r="K60">
        <v>0</v>
      </c>
      <c r="N60" s="51">
        <v>0</v>
      </c>
    </row>
    <row r="61" spans="1:17">
      <c r="A61" s="80" t="s">
        <v>967</v>
      </c>
      <c r="B61" s="4">
        <v>8</v>
      </c>
      <c r="C61" s="4">
        <v>48</v>
      </c>
      <c r="D61" s="4">
        <v>65</v>
      </c>
      <c r="E61" s="4">
        <v>1</v>
      </c>
      <c r="F61" s="4">
        <v>50</v>
      </c>
      <c r="G61" s="10">
        <f t="shared" si="15"/>
        <v>8.8000000000000007</v>
      </c>
      <c r="H61" s="4">
        <v>50</v>
      </c>
      <c r="I61" s="5">
        <f t="shared" si="18"/>
        <v>572</v>
      </c>
      <c r="J61" s="5">
        <f t="shared" si="19"/>
        <v>522</v>
      </c>
      <c r="K61">
        <v>35</v>
      </c>
      <c r="N61" s="51">
        <v>955.5</v>
      </c>
      <c r="P61" t="s">
        <v>985</v>
      </c>
    </row>
    <row r="62" spans="1:17">
      <c r="A62" s="80" t="s">
        <v>969</v>
      </c>
      <c r="B62" s="4">
        <v>8</v>
      </c>
      <c r="C62" s="4">
        <v>57</v>
      </c>
      <c r="D62" s="4">
        <v>65</v>
      </c>
      <c r="E62" s="4">
        <v>1</v>
      </c>
      <c r="F62" s="4">
        <v>50</v>
      </c>
      <c r="G62" s="10">
        <f t="shared" si="15"/>
        <v>8.9499999999999993</v>
      </c>
      <c r="H62" s="4">
        <v>50</v>
      </c>
      <c r="I62" s="5">
        <f t="shared" si="18"/>
        <v>581.75</v>
      </c>
      <c r="J62" s="5">
        <f t="shared" si="19"/>
        <v>531.75</v>
      </c>
      <c r="K62">
        <v>33</v>
      </c>
      <c r="N62" s="51">
        <v>611</v>
      </c>
      <c r="P62" t="s">
        <v>986</v>
      </c>
    </row>
    <row r="63" spans="1:17">
      <c r="A63" s="80" t="s">
        <v>971</v>
      </c>
      <c r="B63" s="4">
        <v>9</v>
      </c>
      <c r="C63" s="4">
        <v>32</v>
      </c>
      <c r="D63" s="4">
        <v>65</v>
      </c>
      <c r="E63" s="4">
        <v>1</v>
      </c>
      <c r="F63" s="4">
        <v>50</v>
      </c>
      <c r="G63" s="10">
        <f t="shared" si="15"/>
        <v>9.5333333333333332</v>
      </c>
      <c r="H63" s="4">
        <v>50</v>
      </c>
      <c r="I63" s="5">
        <f t="shared" si="18"/>
        <v>619.66666666666663</v>
      </c>
      <c r="J63" s="5">
        <f t="shared" si="19"/>
        <v>569.66666666666663</v>
      </c>
      <c r="K63">
        <v>38</v>
      </c>
      <c r="N63" s="51">
        <v>1144</v>
      </c>
      <c r="P63" t="s">
        <v>987</v>
      </c>
    </row>
    <row r="64" spans="1:17" ht="20" thickBot="1">
      <c r="A64" s="91" t="s">
        <v>346</v>
      </c>
      <c r="B64" s="8">
        <f>SUM(B65:B71)</f>
        <v>0</v>
      </c>
      <c r="C64" s="8">
        <f>SUM(C65:C71)</f>
        <v>0</v>
      </c>
      <c r="D64" s="8">
        <f>SUM(D65)</f>
        <v>45</v>
      </c>
      <c r="E64" s="8">
        <f>SUM(E65:E71)</f>
        <v>0</v>
      </c>
      <c r="F64" s="8">
        <f>SUM(F65:F71)</f>
        <v>350</v>
      </c>
      <c r="G64" s="93">
        <f t="shared" si="15"/>
        <v>0</v>
      </c>
      <c r="H64" s="8">
        <f>SUM(H65:H71)</f>
        <v>0</v>
      </c>
      <c r="I64" s="9">
        <f>SUM(I65:I68)</f>
        <v>0</v>
      </c>
      <c r="J64" s="14">
        <f>SUM(J65:J68)</f>
        <v>0</v>
      </c>
      <c r="K64" s="8">
        <f>SUM(K65:K71)</f>
        <v>0</v>
      </c>
      <c r="L64" s="9">
        <v>0</v>
      </c>
      <c r="M64" s="96">
        <f>J64</f>
        <v>0</v>
      </c>
      <c r="N64" s="102">
        <f>SUM(N65:N68)</f>
        <v>0</v>
      </c>
      <c r="O64" s="98">
        <v>0</v>
      </c>
      <c r="P64" s="86"/>
      <c r="Q64" s="86"/>
    </row>
    <row r="65" spans="1:17">
      <c r="A65" s="6">
        <v>46139</v>
      </c>
      <c r="B65" s="4">
        <v>0</v>
      </c>
      <c r="C65" s="4">
        <v>0</v>
      </c>
      <c r="D65" s="4">
        <v>45</v>
      </c>
      <c r="E65" s="4">
        <v>0</v>
      </c>
      <c r="F65" s="4">
        <v>50</v>
      </c>
      <c r="G65" s="10">
        <f t="shared" si="15"/>
        <v>0</v>
      </c>
      <c r="H65" s="4">
        <v>0</v>
      </c>
      <c r="I65" s="5">
        <f t="shared" ref="I65:I70" si="20">G65*D65</f>
        <v>0</v>
      </c>
      <c r="J65" s="5">
        <f>I65-H65</f>
        <v>0</v>
      </c>
      <c r="K65">
        <v>0</v>
      </c>
      <c r="N65" s="51">
        <v>0</v>
      </c>
      <c r="O65" s="51"/>
    </row>
    <row r="66" spans="1:17">
      <c r="A66" s="6">
        <v>46140</v>
      </c>
      <c r="B66" s="4">
        <v>0</v>
      </c>
      <c r="C66" s="4">
        <v>0</v>
      </c>
      <c r="D66" s="4">
        <v>45</v>
      </c>
      <c r="E66" s="4">
        <v>0</v>
      </c>
      <c r="F66" s="4">
        <v>50</v>
      </c>
      <c r="G66" s="10">
        <f t="shared" si="15"/>
        <v>0</v>
      </c>
      <c r="H66" s="4">
        <v>0</v>
      </c>
      <c r="I66" s="5">
        <f t="shared" si="20"/>
        <v>0</v>
      </c>
      <c r="J66" s="5">
        <f>I66-H66</f>
        <v>0</v>
      </c>
      <c r="K66">
        <v>0</v>
      </c>
      <c r="N66" s="51">
        <v>0</v>
      </c>
    </row>
    <row r="67" spans="1:17">
      <c r="A67" s="6">
        <v>46141</v>
      </c>
      <c r="B67" s="4">
        <v>0</v>
      </c>
      <c r="C67" s="4">
        <v>0</v>
      </c>
      <c r="D67" s="4">
        <v>45</v>
      </c>
      <c r="E67" s="4">
        <v>0</v>
      </c>
      <c r="F67" s="4">
        <v>50</v>
      </c>
      <c r="G67" s="10">
        <f t="shared" si="15"/>
        <v>0</v>
      </c>
      <c r="H67" s="4">
        <v>0</v>
      </c>
      <c r="I67" s="5">
        <f t="shared" si="20"/>
        <v>0</v>
      </c>
      <c r="J67" s="5">
        <v>0</v>
      </c>
      <c r="K67">
        <v>0</v>
      </c>
      <c r="N67" s="51">
        <v>0</v>
      </c>
    </row>
    <row r="68" spans="1:17">
      <c r="A68" s="6">
        <v>46142</v>
      </c>
      <c r="B68" s="4">
        <v>0</v>
      </c>
      <c r="C68" s="4">
        <v>0</v>
      </c>
      <c r="D68" s="4">
        <v>45</v>
      </c>
      <c r="E68" s="4">
        <v>0</v>
      </c>
      <c r="F68" s="4">
        <v>50</v>
      </c>
      <c r="G68" s="10">
        <f t="shared" si="15"/>
        <v>0</v>
      </c>
      <c r="H68" s="4">
        <v>0</v>
      </c>
      <c r="I68" s="5">
        <f t="shared" si="20"/>
        <v>0</v>
      </c>
      <c r="J68" s="5">
        <v>0</v>
      </c>
      <c r="K68">
        <v>0</v>
      </c>
      <c r="N68" s="51">
        <v>0</v>
      </c>
    </row>
    <row r="69" spans="1:17">
      <c r="A69" s="6">
        <v>46143</v>
      </c>
      <c r="B69" s="4">
        <v>0</v>
      </c>
      <c r="C69" s="4">
        <v>0</v>
      </c>
      <c r="D69" s="4">
        <v>45</v>
      </c>
      <c r="E69" s="4">
        <v>0</v>
      </c>
      <c r="F69" s="4">
        <v>50</v>
      </c>
      <c r="G69" s="10">
        <f t="shared" si="15"/>
        <v>0</v>
      </c>
      <c r="H69" s="4">
        <v>0</v>
      </c>
      <c r="I69" s="5">
        <f t="shared" si="20"/>
        <v>0</v>
      </c>
      <c r="J69" s="5">
        <f>I69-H69</f>
        <v>0</v>
      </c>
      <c r="K69">
        <v>0</v>
      </c>
      <c r="N69" s="51">
        <v>0</v>
      </c>
    </row>
    <row r="70" spans="1:17">
      <c r="A70" s="6">
        <v>46144</v>
      </c>
      <c r="B70" s="4">
        <v>0</v>
      </c>
      <c r="C70" s="4">
        <v>0</v>
      </c>
      <c r="D70" s="4">
        <v>45</v>
      </c>
      <c r="E70" s="4">
        <v>0</v>
      </c>
      <c r="F70" s="4">
        <v>50</v>
      </c>
      <c r="G70" s="10">
        <f t="shared" si="15"/>
        <v>0</v>
      </c>
      <c r="H70" s="4">
        <v>0</v>
      </c>
      <c r="I70" s="5">
        <f t="shared" si="20"/>
        <v>0</v>
      </c>
      <c r="J70" s="5">
        <v>0</v>
      </c>
      <c r="K70">
        <v>0</v>
      </c>
      <c r="N70" s="51">
        <v>0</v>
      </c>
    </row>
    <row r="71" spans="1:17" ht="16" thickBot="1">
      <c r="A71" s="6">
        <v>46145</v>
      </c>
      <c r="B71" s="4">
        <v>0</v>
      </c>
      <c r="C71" s="4">
        <v>0</v>
      </c>
      <c r="D71" s="4">
        <v>45</v>
      </c>
      <c r="E71" s="4">
        <v>0</v>
      </c>
      <c r="F71" s="4">
        <v>50</v>
      </c>
      <c r="G71" s="10">
        <v>0</v>
      </c>
      <c r="H71" s="4">
        <v>0</v>
      </c>
      <c r="I71" s="5">
        <v>0</v>
      </c>
      <c r="J71" s="5">
        <v>0</v>
      </c>
      <c r="K71">
        <v>0</v>
      </c>
      <c r="N71" s="51">
        <v>0</v>
      </c>
    </row>
    <row r="72" spans="1:17" ht="19">
      <c r="A72" s="91" t="s">
        <v>591</v>
      </c>
      <c r="B72" s="8">
        <f>SUM(B73:B79)</f>
        <v>54</v>
      </c>
      <c r="C72" s="8">
        <f>SUM(C73:C79)</f>
        <v>202</v>
      </c>
      <c r="D72" s="8">
        <f>SUM(D73)</f>
        <v>65</v>
      </c>
      <c r="E72" s="8">
        <f>SUM(E73:E79)</f>
        <v>7</v>
      </c>
      <c r="F72" s="8">
        <f>SUM(F73:F79)</f>
        <v>350</v>
      </c>
      <c r="G72" s="93">
        <f t="shared" ref="G72:G92" si="21">B72+C72/60</f>
        <v>57.366666666666667</v>
      </c>
      <c r="H72" s="92">
        <f>SUM(H73:H79)</f>
        <v>350</v>
      </c>
      <c r="I72" s="9">
        <f>SUM(I73:I79)</f>
        <v>3398.5</v>
      </c>
      <c r="J72" s="9">
        <f>SUM(J73:J79)</f>
        <v>3048.5</v>
      </c>
      <c r="K72" s="8">
        <f>SUM(K73:K79)</f>
        <v>228</v>
      </c>
      <c r="L72" s="9">
        <v>0</v>
      </c>
      <c r="M72" s="96">
        <f>J72</f>
        <v>3048.5</v>
      </c>
      <c r="N72" s="129">
        <f>SUM(N73:N79)</f>
        <v>6020</v>
      </c>
      <c r="O72" s="98">
        <f>6303-N72</f>
        <v>283</v>
      </c>
      <c r="P72" s="86"/>
      <c r="Q72" s="86"/>
    </row>
    <row r="73" spans="1:17">
      <c r="A73" s="80" t="s">
        <v>961</v>
      </c>
      <c r="B73" s="4">
        <v>10</v>
      </c>
      <c r="C73" s="4">
        <v>22</v>
      </c>
      <c r="D73" s="4">
        <v>65</v>
      </c>
      <c r="E73" s="4">
        <v>1</v>
      </c>
      <c r="F73" s="4">
        <v>50</v>
      </c>
      <c r="G73" s="144">
        <f t="shared" si="21"/>
        <v>10.366666666666667</v>
      </c>
      <c r="H73" s="167">
        <v>50</v>
      </c>
      <c r="I73" s="142">
        <f t="shared" ref="I73:I79" si="22">G73*D73</f>
        <v>673.83333333333337</v>
      </c>
      <c r="J73" s="5">
        <f>I73-H73</f>
        <v>623.83333333333337</v>
      </c>
      <c r="K73">
        <v>49</v>
      </c>
      <c r="N73" s="83">
        <v>1288</v>
      </c>
      <c r="O73" s="51"/>
      <c r="P73" t="s">
        <v>988</v>
      </c>
    </row>
    <row r="74" spans="1:17">
      <c r="A74" s="80" t="s">
        <v>963</v>
      </c>
      <c r="B74" s="4">
        <v>8</v>
      </c>
      <c r="C74" s="4">
        <v>20</v>
      </c>
      <c r="D74" s="4">
        <v>65</v>
      </c>
      <c r="E74" s="4">
        <v>1</v>
      </c>
      <c r="F74" s="4">
        <v>50</v>
      </c>
      <c r="G74" s="144">
        <f t="shared" si="21"/>
        <v>8.3333333333333339</v>
      </c>
      <c r="H74" s="167">
        <v>50</v>
      </c>
      <c r="I74" s="142">
        <f t="shared" si="22"/>
        <v>541.66666666666674</v>
      </c>
      <c r="J74" s="5">
        <f>I74-H74</f>
        <v>491.66666666666674</v>
      </c>
      <c r="K74">
        <v>36</v>
      </c>
      <c r="N74" s="83">
        <v>530</v>
      </c>
      <c r="O74" s="152"/>
      <c r="P74" t="s">
        <v>989</v>
      </c>
    </row>
    <row r="75" spans="1:17">
      <c r="A75" s="80" t="s">
        <v>965</v>
      </c>
      <c r="B75" s="4">
        <v>8</v>
      </c>
      <c r="C75" s="4">
        <v>35</v>
      </c>
      <c r="D75" s="4">
        <v>65</v>
      </c>
      <c r="E75" s="4">
        <v>1</v>
      </c>
      <c r="F75" s="4">
        <v>50</v>
      </c>
      <c r="G75" s="144">
        <f t="shared" si="21"/>
        <v>8.5833333333333339</v>
      </c>
      <c r="H75" s="167">
        <v>50</v>
      </c>
      <c r="I75" s="142">
        <f t="shared" si="22"/>
        <v>557.91666666666674</v>
      </c>
      <c r="J75" s="5">
        <f t="shared" ref="J75:J79" si="23">I75-H75</f>
        <v>507.91666666666674</v>
      </c>
      <c r="K75">
        <v>37</v>
      </c>
      <c r="N75" s="51">
        <v>709</v>
      </c>
      <c r="P75" t="s">
        <v>990</v>
      </c>
    </row>
    <row r="76" spans="1:17">
      <c r="A76" s="80" t="s">
        <v>967</v>
      </c>
      <c r="B76" s="4">
        <v>9</v>
      </c>
      <c r="C76" s="4">
        <v>40</v>
      </c>
      <c r="D76" s="4">
        <v>65</v>
      </c>
      <c r="E76" s="4">
        <v>1</v>
      </c>
      <c r="F76" s="4">
        <v>50</v>
      </c>
      <c r="G76" s="144">
        <f t="shared" si="21"/>
        <v>9.6666666666666661</v>
      </c>
      <c r="H76" s="167">
        <v>50</v>
      </c>
      <c r="I76" s="142">
        <f t="shared" si="22"/>
        <v>628.33333333333326</v>
      </c>
      <c r="J76" s="5">
        <f t="shared" si="23"/>
        <v>578.33333333333326</v>
      </c>
      <c r="K76">
        <v>35</v>
      </c>
      <c r="N76" s="51">
        <v>753</v>
      </c>
    </row>
    <row r="77" spans="1:17">
      <c r="A77" s="80" t="s">
        <v>969</v>
      </c>
      <c r="B77" s="4">
        <v>6</v>
      </c>
      <c r="C77" s="4">
        <v>1</v>
      </c>
      <c r="D77" s="4">
        <v>45</v>
      </c>
      <c r="E77" s="4">
        <v>1</v>
      </c>
      <c r="F77" s="4">
        <v>50</v>
      </c>
      <c r="G77" s="10">
        <f t="shared" si="21"/>
        <v>6.0166666666666666</v>
      </c>
      <c r="H77" s="141">
        <v>50</v>
      </c>
      <c r="I77" s="5">
        <f t="shared" si="22"/>
        <v>270.75</v>
      </c>
      <c r="J77" s="5">
        <f t="shared" si="23"/>
        <v>220.75</v>
      </c>
      <c r="K77">
        <v>18</v>
      </c>
      <c r="N77" s="51">
        <v>700</v>
      </c>
      <c r="P77" t="s">
        <v>991</v>
      </c>
    </row>
    <row r="78" spans="1:17">
      <c r="A78" s="80" t="s">
        <v>971</v>
      </c>
      <c r="B78" s="4">
        <v>7</v>
      </c>
      <c r="C78" s="4">
        <v>48</v>
      </c>
      <c r="D78" s="4">
        <v>55</v>
      </c>
      <c r="E78" s="4">
        <v>1</v>
      </c>
      <c r="F78" s="4">
        <v>50</v>
      </c>
      <c r="G78" s="10">
        <f t="shared" si="21"/>
        <v>7.8</v>
      </c>
      <c r="H78" s="4">
        <v>50</v>
      </c>
      <c r="I78" s="5">
        <f t="shared" si="22"/>
        <v>429</v>
      </c>
      <c r="J78" s="5">
        <f t="shared" si="23"/>
        <v>379</v>
      </c>
      <c r="K78">
        <v>27</v>
      </c>
      <c r="N78" s="51">
        <v>1000</v>
      </c>
      <c r="P78" t="s">
        <v>992</v>
      </c>
    </row>
    <row r="79" spans="1:17">
      <c r="A79" s="80" t="s">
        <v>973</v>
      </c>
      <c r="B79" s="4">
        <v>6</v>
      </c>
      <c r="C79" s="4">
        <v>36</v>
      </c>
      <c r="D79" s="4">
        <v>45</v>
      </c>
      <c r="E79" s="4">
        <v>1</v>
      </c>
      <c r="F79" s="4">
        <v>50</v>
      </c>
      <c r="G79" s="10">
        <f t="shared" si="21"/>
        <v>6.6</v>
      </c>
      <c r="H79" s="4">
        <v>50</v>
      </c>
      <c r="I79" s="5">
        <f t="shared" si="22"/>
        <v>297</v>
      </c>
      <c r="J79" s="5">
        <f t="shared" si="23"/>
        <v>247</v>
      </c>
      <c r="K79">
        <v>26</v>
      </c>
      <c r="N79" s="51">
        <v>1040</v>
      </c>
      <c r="P79" t="s">
        <v>993</v>
      </c>
    </row>
    <row r="80" spans="1:17" ht="19">
      <c r="A80" s="91" t="s">
        <v>994</v>
      </c>
      <c r="B80" s="8">
        <f>SUM(B81:B87)</f>
        <v>17</v>
      </c>
      <c r="C80" s="8">
        <f>SUM(C81:C87)</f>
        <v>72</v>
      </c>
      <c r="D80" s="8">
        <f>SUM(D81)</f>
        <v>45</v>
      </c>
      <c r="E80" s="8">
        <f>SUM(E81:E87)</f>
        <v>2</v>
      </c>
      <c r="F80" s="8">
        <f>SUM(F81:F87)</f>
        <v>350</v>
      </c>
      <c r="G80" s="93">
        <f t="shared" si="21"/>
        <v>18.2</v>
      </c>
      <c r="H80" s="8">
        <f>SUM(H81:H87)</f>
        <v>100</v>
      </c>
      <c r="I80" s="9">
        <f>SUM(I81:I87)</f>
        <v>819</v>
      </c>
      <c r="J80" s="14">
        <f>SUM(J81:J87)</f>
        <v>719</v>
      </c>
      <c r="K80" s="8">
        <f>SUM(K81:K87)</f>
        <v>36</v>
      </c>
      <c r="L80" s="9">
        <v>0</v>
      </c>
      <c r="M80" s="96">
        <f>J80+L80</f>
        <v>719</v>
      </c>
      <c r="N80" s="129">
        <f>SUM(N81:N87)</f>
        <v>533</v>
      </c>
      <c r="O80" s="98">
        <f>496-N80</f>
        <v>-37</v>
      </c>
      <c r="P80" s="86"/>
      <c r="Q80" s="86"/>
    </row>
    <row r="81" spans="1:17" ht="19">
      <c r="A81" s="80" t="s">
        <v>961</v>
      </c>
      <c r="B81" s="4">
        <v>0</v>
      </c>
      <c r="C81" s="4">
        <v>0</v>
      </c>
      <c r="D81" s="4">
        <v>45</v>
      </c>
      <c r="E81" s="4">
        <v>0</v>
      </c>
      <c r="F81" s="4">
        <v>50</v>
      </c>
      <c r="G81" s="10">
        <f t="shared" si="21"/>
        <v>0</v>
      </c>
      <c r="H81" s="4">
        <v>0</v>
      </c>
      <c r="I81" s="5">
        <f t="shared" ref="I81:I87" si="24">G81*D81</f>
        <v>0</v>
      </c>
      <c r="J81" s="5">
        <f t="shared" ref="J81:J87" si="25">I81-H81</f>
        <v>0</v>
      </c>
      <c r="K81">
        <v>0</v>
      </c>
      <c r="N81" s="51">
        <v>0</v>
      </c>
      <c r="O81" s="49"/>
    </row>
    <row r="82" spans="1:17" ht="19">
      <c r="A82" s="80" t="s">
        <v>963</v>
      </c>
      <c r="B82" s="4">
        <v>0</v>
      </c>
      <c r="C82" s="4">
        <v>0</v>
      </c>
      <c r="D82" s="4">
        <v>45</v>
      </c>
      <c r="E82" s="4">
        <v>0</v>
      </c>
      <c r="F82" s="4">
        <v>50</v>
      </c>
      <c r="G82" s="10">
        <f t="shared" si="21"/>
        <v>0</v>
      </c>
      <c r="H82" s="4">
        <v>0</v>
      </c>
      <c r="I82" s="5">
        <f t="shared" si="24"/>
        <v>0</v>
      </c>
      <c r="J82" s="5">
        <f t="shared" si="25"/>
        <v>0</v>
      </c>
      <c r="K82">
        <v>0</v>
      </c>
      <c r="N82" s="51">
        <v>0</v>
      </c>
      <c r="O82" s="49"/>
    </row>
    <row r="83" spans="1:17">
      <c r="A83" s="80" t="s">
        <v>965</v>
      </c>
      <c r="B83" s="4">
        <v>0</v>
      </c>
      <c r="C83" s="4">
        <v>0</v>
      </c>
      <c r="D83" s="4">
        <v>45</v>
      </c>
      <c r="E83" s="4">
        <v>0</v>
      </c>
      <c r="F83" s="4">
        <v>50</v>
      </c>
      <c r="G83" s="10">
        <f t="shared" si="21"/>
        <v>0</v>
      </c>
      <c r="H83" s="4">
        <v>0</v>
      </c>
      <c r="I83" s="5">
        <f t="shared" si="24"/>
        <v>0</v>
      </c>
      <c r="J83" s="5">
        <f t="shared" si="25"/>
        <v>0</v>
      </c>
      <c r="K83">
        <v>0</v>
      </c>
      <c r="N83" s="51">
        <v>0</v>
      </c>
    </row>
    <row r="84" spans="1:17">
      <c r="A84" s="80" t="s">
        <v>967</v>
      </c>
      <c r="B84" s="4">
        <v>0</v>
      </c>
      <c r="C84" s="4">
        <v>0</v>
      </c>
      <c r="D84" s="4">
        <v>45</v>
      </c>
      <c r="E84" s="4">
        <v>0</v>
      </c>
      <c r="F84" s="4">
        <v>50</v>
      </c>
      <c r="G84" s="10">
        <f t="shared" si="21"/>
        <v>0</v>
      </c>
      <c r="H84" s="4">
        <v>0</v>
      </c>
      <c r="I84" s="5">
        <f t="shared" si="24"/>
        <v>0</v>
      </c>
      <c r="J84" s="5">
        <f t="shared" si="25"/>
        <v>0</v>
      </c>
      <c r="K84">
        <v>0</v>
      </c>
      <c r="N84" s="51">
        <v>0</v>
      </c>
    </row>
    <row r="85" spans="1:17">
      <c r="A85" s="80" t="s">
        <v>969</v>
      </c>
      <c r="B85" s="4">
        <v>0</v>
      </c>
      <c r="C85" s="4">
        <v>0</v>
      </c>
      <c r="D85" s="4">
        <v>45</v>
      </c>
      <c r="E85" s="4">
        <v>0</v>
      </c>
      <c r="F85" s="4">
        <v>50</v>
      </c>
      <c r="G85" s="10">
        <f t="shared" si="21"/>
        <v>0</v>
      </c>
      <c r="H85" s="4">
        <v>0</v>
      </c>
      <c r="I85" s="5">
        <f t="shared" si="24"/>
        <v>0</v>
      </c>
      <c r="J85" s="5">
        <f t="shared" si="25"/>
        <v>0</v>
      </c>
      <c r="K85">
        <v>0</v>
      </c>
      <c r="N85" s="51">
        <v>0</v>
      </c>
    </row>
    <row r="86" spans="1:17">
      <c r="A86" s="80" t="s">
        <v>971</v>
      </c>
      <c r="B86" s="4">
        <v>9</v>
      </c>
      <c r="C86" s="4">
        <v>27</v>
      </c>
      <c r="D86" s="4">
        <v>45</v>
      </c>
      <c r="E86" s="4">
        <v>1</v>
      </c>
      <c r="F86" s="4">
        <v>50</v>
      </c>
      <c r="G86" s="10">
        <f t="shared" si="21"/>
        <v>9.4499999999999993</v>
      </c>
      <c r="H86" s="4">
        <v>50</v>
      </c>
      <c r="I86" s="5">
        <f t="shared" si="24"/>
        <v>425.24999999999994</v>
      </c>
      <c r="J86" s="5">
        <f t="shared" si="25"/>
        <v>375.24999999999994</v>
      </c>
      <c r="K86">
        <v>16</v>
      </c>
      <c r="N86" s="51">
        <v>198</v>
      </c>
      <c r="P86" s="51" t="s">
        <v>995</v>
      </c>
    </row>
    <row r="87" spans="1:17">
      <c r="A87" s="80" t="s">
        <v>973</v>
      </c>
      <c r="B87" s="4">
        <v>8</v>
      </c>
      <c r="C87" s="4">
        <v>45</v>
      </c>
      <c r="D87" s="4">
        <v>45</v>
      </c>
      <c r="E87" s="4">
        <v>1</v>
      </c>
      <c r="F87" s="4">
        <v>50</v>
      </c>
      <c r="G87" s="10">
        <f>B87+C87/60</f>
        <v>8.75</v>
      </c>
      <c r="H87" s="4">
        <v>50</v>
      </c>
      <c r="I87" s="5">
        <f t="shared" si="24"/>
        <v>393.75</v>
      </c>
      <c r="J87" s="5">
        <f t="shared" si="25"/>
        <v>343.75</v>
      </c>
      <c r="K87">
        <v>20</v>
      </c>
      <c r="L87" s="1"/>
      <c r="N87" s="51">
        <v>335</v>
      </c>
    </row>
    <row r="88" spans="1:17" ht="19">
      <c r="A88" s="91" t="s">
        <v>494</v>
      </c>
      <c r="B88" s="8">
        <f>SUM(B89:B95)</f>
        <v>48</v>
      </c>
      <c r="C88" s="8">
        <f>SUM(C89:C95)</f>
        <v>184</v>
      </c>
      <c r="D88" s="8">
        <f>SUM(D89)</f>
        <v>45</v>
      </c>
      <c r="E88" s="8">
        <f>SUM(E89:E95)</f>
        <v>6</v>
      </c>
      <c r="F88" s="8">
        <f>SUM(F89:F95)</f>
        <v>350</v>
      </c>
      <c r="G88" s="93">
        <f t="shared" si="21"/>
        <v>51.06666666666667</v>
      </c>
      <c r="H88" s="8">
        <f>SUM(H89:H95)</f>
        <v>597.6</v>
      </c>
      <c r="I88" s="9">
        <f>SUM(I89:I95)</f>
        <v>3035.6666666666665</v>
      </c>
      <c r="J88" s="14">
        <f>SUM(J89:J95)</f>
        <v>2438.0666666666666</v>
      </c>
      <c r="K88" s="8">
        <f>SUM(K89:K95)</f>
        <v>179</v>
      </c>
      <c r="L88" s="9">
        <v>0</v>
      </c>
      <c r="M88" s="96">
        <f>J88</f>
        <v>2438.0666666666666</v>
      </c>
      <c r="N88" s="102">
        <f>SUM(N89:N95)</f>
        <v>4063</v>
      </c>
      <c r="O88" s="98">
        <f>4162-N88</f>
        <v>99</v>
      </c>
      <c r="P88" s="86"/>
      <c r="Q88" s="86"/>
    </row>
    <row r="89" spans="1:17" ht="19">
      <c r="A89" s="6">
        <v>46139</v>
      </c>
      <c r="B89" s="4">
        <v>0</v>
      </c>
      <c r="C89" s="4">
        <v>0</v>
      </c>
      <c r="D89" s="4">
        <v>45</v>
      </c>
      <c r="E89" s="4">
        <v>0</v>
      </c>
      <c r="F89" s="4">
        <v>50</v>
      </c>
      <c r="G89" s="10">
        <f t="shared" si="21"/>
        <v>0</v>
      </c>
      <c r="H89" s="4">
        <v>0</v>
      </c>
      <c r="I89" s="5">
        <f t="shared" ref="I89:I95" si="26">G89*D89</f>
        <v>0</v>
      </c>
      <c r="J89" s="5">
        <f t="shared" ref="J89:J95" si="27">I89-H89</f>
        <v>0</v>
      </c>
      <c r="K89">
        <v>0</v>
      </c>
      <c r="N89" s="51">
        <v>0</v>
      </c>
      <c r="O89" s="49"/>
    </row>
    <row r="90" spans="1:17">
      <c r="A90" s="6">
        <v>46140</v>
      </c>
      <c r="B90" s="4">
        <v>7</v>
      </c>
      <c r="C90" s="4">
        <v>41</v>
      </c>
      <c r="D90" s="4">
        <v>45</v>
      </c>
      <c r="E90" s="4">
        <v>1</v>
      </c>
      <c r="F90" s="4">
        <v>50</v>
      </c>
      <c r="G90" s="10">
        <f t="shared" si="21"/>
        <v>7.6833333333333336</v>
      </c>
      <c r="H90" s="4">
        <f>50+127.2</f>
        <v>177.2</v>
      </c>
      <c r="I90" s="5">
        <f t="shared" si="26"/>
        <v>345.75</v>
      </c>
      <c r="J90" s="5">
        <f t="shared" si="27"/>
        <v>168.55</v>
      </c>
      <c r="K90">
        <v>23</v>
      </c>
      <c r="N90" s="51">
        <v>450</v>
      </c>
      <c r="P90" s="170" t="s">
        <v>996</v>
      </c>
    </row>
    <row r="91" spans="1:17">
      <c r="A91" s="6">
        <v>46141</v>
      </c>
      <c r="B91" s="4">
        <v>6</v>
      </c>
      <c r="C91" s="4">
        <v>30</v>
      </c>
      <c r="D91" s="4">
        <v>45</v>
      </c>
      <c r="E91" s="4">
        <v>1</v>
      </c>
      <c r="F91" s="4">
        <v>50</v>
      </c>
      <c r="G91" s="10">
        <f t="shared" si="21"/>
        <v>6.5</v>
      </c>
      <c r="H91" s="4">
        <f>50+69</f>
        <v>119</v>
      </c>
      <c r="I91" s="5">
        <f t="shared" si="26"/>
        <v>292.5</v>
      </c>
      <c r="J91" s="5">
        <f t="shared" si="27"/>
        <v>173.5</v>
      </c>
      <c r="K91">
        <v>19</v>
      </c>
      <c r="N91" s="51">
        <v>445</v>
      </c>
      <c r="P91" s="195" t="s">
        <v>997</v>
      </c>
    </row>
    <row r="92" spans="1:17">
      <c r="A92" s="6">
        <v>46142</v>
      </c>
      <c r="B92" s="4">
        <v>10</v>
      </c>
      <c r="C92" s="4">
        <v>45</v>
      </c>
      <c r="D92" s="4">
        <v>65</v>
      </c>
      <c r="E92" s="4">
        <v>1</v>
      </c>
      <c r="F92" s="4">
        <v>50</v>
      </c>
      <c r="G92" s="10">
        <f t="shared" si="21"/>
        <v>10.75</v>
      </c>
      <c r="H92" s="4">
        <v>50</v>
      </c>
      <c r="I92" s="5">
        <f t="shared" si="26"/>
        <v>698.75</v>
      </c>
      <c r="J92" s="5">
        <f t="shared" si="27"/>
        <v>648.75</v>
      </c>
      <c r="K92">
        <v>34</v>
      </c>
      <c r="N92" s="51">
        <v>835</v>
      </c>
      <c r="P92" t="s">
        <v>998</v>
      </c>
    </row>
    <row r="93" spans="1:17">
      <c r="A93" s="6">
        <v>46143</v>
      </c>
      <c r="B93" s="4">
        <v>8</v>
      </c>
      <c r="C93" s="4">
        <v>44</v>
      </c>
      <c r="D93" s="4">
        <v>65</v>
      </c>
      <c r="E93" s="4">
        <v>1</v>
      </c>
      <c r="F93" s="4">
        <v>50</v>
      </c>
      <c r="G93" s="10">
        <f t="shared" ref="G93:G122" si="28">B93+C93/60</f>
        <v>8.7333333333333325</v>
      </c>
      <c r="H93" s="4">
        <f>50+101.4</f>
        <v>151.4</v>
      </c>
      <c r="I93" s="5">
        <f t="shared" si="26"/>
        <v>567.66666666666663</v>
      </c>
      <c r="J93" s="5">
        <f t="shared" si="27"/>
        <v>416.26666666666665</v>
      </c>
      <c r="K93">
        <v>33</v>
      </c>
      <c r="N93" s="51">
        <v>685</v>
      </c>
      <c r="P93" t="s">
        <v>999</v>
      </c>
    </row>
    <row r="94" spans="1:17">
      <c r="A94" s="6">
        <v>46144</v>
      </c>
      <c r="B94" s="4">
        <v>9</v>
      </c>
      <c r="C94" s="4">
        <v>18</v>
      </c>
      <c r="D94" s="4">
        <v>65</v>
      </c>
      <c r="E94" s="4">
        <v>1</v>
      </c>
      <c r="F94" s="4">
        <v>50</v>
      </c>
      <c r="G94" s="10">
        <f t="shared" si="28"/>
        <v>9.3000000000000007</v>
      </c>
      <c r="H94" s="4">
        <v>50</v>
      </c>
      <c r="I94" s="5">
        <f t="shared" si="26"/>
        <v>604.5</v>
      </c>
      <c r="J94" s="5">
        <f t="shared" si="27"/>
        <v>554.5</v>
      </c>
      <c r="K94">
        <v>36</v>
      </c>
      <c r="N94" s="51">
        <v>752</v>
      </c>
      <c r="P94" t="s">
        <v>1000</v>
      </c>
    </row>
    <row r="95" spans="1:17" ht="16" thickBot="1">
      <c r="A95" s="6">
        <v>46145</v>
      </c>
      <c r="B95" s="4">
        <v>8</v>
      </c>
      <c r="C95" s="4">
        <v>6</v>
      </c>
      <c r="D95" s="4">
        <v>65</v>
      </c>
      <c r="E95" s="4">
        <v>1</v>
      </c>
      <c r="F95" s="4">
        <v>50</v>
      </c>
      <c r="G95" s="10">
        <f t="shared" si="28"/>
        <v>8.1</v>
      </c>
      <c r="H95" s="4">
        <v>50</v>
      </c>
      <c r="I95" s="5">
        <f t="shared" si="26"/>
        <v>526.5</v>
      </c>
      <c r="J95" s="5">
        <f t="shared" si="27"/>
        <v>476.5</v>
      </c>
      <c r="K95">
        <v>34</v>
      </c>
      <c r="N95" s="51">
        <v>896</v>
      </c>
      <c r="P95" t="s">
        <v>1001</v>
      </c>
    </row>
    <row r="96" spans="1:17" ht="20" thickBot="1">
      <c r="A96" s="91" t="s">
        <v>862</v>
      </c>
      <c r="B96" s="8">
        <f>SUM(B97:B103)</f>
        <v>19</v>
      </c>
      <c r="C96" s="8">
        <f>SUM(C97:C103)</f>
        <v>69</v>
      </c>
      <c r="D96" s="8">
        <f>SUM(D97)</f>
        <v>45</v>
      </c>
      <c r="E96" s="8">
        <f>SUM(E97:E102)</f>
        <v>2</v>
      </c>
      <c r="F96" s="8">
        <f>SUM(F97:F102)</f>
        <v>300</v>
      </c>
      <c r="G96" s="93">
        <f t="shared" si="28"/>
        <v>20.149999999999999</v>
      </c>
      <c r="H96" s="92">
        <f>SUM(H97:H102)</f>
        <v>100</v>
      </c>
      <c r="I96" s="9">
        <f>SUM(I97:I102)</f>
        <v>906.75</v>
      </c>
      <c r="J96" s="14">
        <f>SUM(J97:J102)</f>
        <v>806.75</v>
      </c>
      <c r="K96" s="8">
        <f>SUM(K97:K102)</f>
        <v>46</v>
      </c>
      <c r="L96" s="9">
        <v>0</v>
      </c>
      <c r="M96" s="96">
        <f>J96</f>
        <v>806.75</v>
      </c>
      <c r="N96" s="102">
        <f>SUM(N97:N102)</f>
        <v>1194</v>
      </c>
      <c r="O96" s="98">
        <f>1392-N96</f>
        <v>198</v>
      </c>
      <c r="P96" s="86"/>
      <c r="Q96" s="86"/>
    </row>
    <row r="97" spans="1:17">
      <c r="A97" s="6">
        <v>46139</v>
      </c>
      <c r="B97" s="4">
        <v>0</v>
      </c>
      <c r="C97" s="4">
        <v>0</v>
      </c>
      <c r="D97" s="4">
        <v>45</v>
      </c>
      <c r="E97" s="4">
        <v>0</v>
      </c>
      <c r="F97" s="4">
        <v>50</v>
      </c>
      <c r="G97" s="144">
        <f t="shared" si="28"/>
        <v>0</v>
      </c>
      <c r="H97" s="167">
        <v>0</v>
      </c>
      <c r="I97" s="142">
        <f t="shared" ref="I97:I102" si="29">G97*D97</f>
        <v>0</v>
      </c>
      <c r="J97" s="5">
        <f t="shared" ref="J97:J102" si="30">I97-H97</f>
        <v>0</v>
      </c>
      <c r="K97">
        <v>0</v>
      </c>
      <c r="N97" s="51">
        <v>0</v>
      </c>
      <c r="O97" s="51"/>
      <c r="P97" s="115"/>
    </row>
    <row r="98" spans="1:17">
      <c r="A98" s="80">
        <v>46140</v>
      </c>
      <c r="B98" s="4">
        <v>9</v>
      </c>
      <c r="C98" s="4">
        <v>54</v>
      </c>
      <c r="D98" s="4">
        <v>45</v>
      </c>
      <c r="E98" s="4">
        <v>1</v>
      </c>
      <c r="F98" s="4">
        <v>50</v>
      </c>
      <c r="G98" s="144">
        <f t="shared" si="28"/>
        <v>9.9</v>
      </c>
      <c r="H98" s="167">
        <v>50</v>
      </c>
      <c r="I98" s="142">
        <f t="shared" si="29"/>
        <v>445.5</v>
      </c>
      <c r="J98" s="5">
        <f t="shared" si="30"/>
        <v>395.5</v>
      </c>
      <c r="K98">
        <v>23</v>
      </c>
      <c r="N98" s="51">
        <v>494</v>
      </c>
    </row>
    <row r="99" spans="1:17">
      <c r="A99" s="80">
        <v>46141</v>
      </c>
      <c r="B99" s="4">
        <v>0</v>
      </c>
      <c r="C99" s="4">
        <v>0</v>
      </c>
      <c r="D99" s="4">
        <v>45</v>
      </c>
      <c r="E99" s="4">
        <v>0</v>
      </c>
      <c r="F99" s="4">
        <v>50</v>
      </c>
      <c r="G99" s="144">
        <f t="shared" si="28"/>
        <v>0</v>
      </c>
      <c r="H99" s="167">
        <v>0</v>
      </c>
      <c r="I99" s="142">
        <f t="shared" si="29"/>
        <v>0</v>
      </c>
      <c r="J99" s="5">
        <f t="shared" si="30"/>
        <v>0</v>
      </c>
      <c r="K99">
        <v>0</v>
      </c>
      <c r="N99" s="51">
        <v>0</v>
      </c>
    </row>
    <row r="100" spans="1:17">
      <c r="A100" s="80">
        <v>46142</v>
      </c>
      <c r="B100" s="4">
        <v>10</v>
      </c>
      <c r="C100" s="4">
        <v>15</v>
      </c>
      <c r="D100" s="4">
        <v>45</v>
      </c>
      <c r="E100" s="4">
        <v>1</v>
      </c>
      <c r="F100" s="4">
        <v>50</v>
      </c>
      <c r="G100" s="144">
        <f t="shared" si="28"/>
        <v>10.25</v>
      </c>
      <c r="H100" s="167">
        <v>50</v>
      </c>
      <c r="I100" s="142">
        <f t="shared" si="29"/>
        <v>461.25</v>
      </c>
      <c r="J100" s="5">
        <f t="shared" si="30"/>
        <v>411.25</v>
      </c>
      <c r="K100">
        <v>23</v>
      </c>
      <c r="N100" s="51">
        <v>700</v>
      </c>
    </row>
    <row r="101" spans="1:17">
      <c r="A101" s="80">
        <v>46143</v>
      </c>
      <c r="B101" s="4">
        <v>0</v>
      </c>
      <c r="C101" s="4">
        <v>0</v>
      </c>
      <c r="D101" s="4">
        <v>45</v>
      </c>
      <c r="E101" s="4">
        <v>0</v>
      </c>
      <c r="F101" s="4">
        <v>50</v>
      </c>
      <c r="G101" s="144">
        <f t="shared" si="28"/>
        <v>0</v>
      </c>
      <c r="H101" s="167">
        <v>0</v>
      </c>
      <c r="I101" s="142">
        <f t="shared" si="29"/>
        <v>0</v>
      </c>
      <c r="J101" s="5">
        <f t="shared" si="30"/>
        <v>0</v>
      </c>
      <c r="K101">
        <v>0</v>
      </c>
      <c r="N101" s="51">
        <v>0</v>
      </c>
    </row>
    <row r="102" spans="1:17">
      <c r="A102" s="80">
        <v>46144</v>
      </c>
      <c r="B102" s="4">
        <v>0</v>
      </c>
      <c r="C102" s="4">
        <v>0</v>
      </c>
      <c r="D102" s="4">
        <v>45</v>
      </c>
      <c r="E102" s="4">
        <v>0</v>
      </c>
      <c r="F102" s="4">
        <v>50</v>
      </c>
      <c r="G102" s="144">
        <f>B102+C102/60</f>
        <v>0</v>
      </c>
      <c r="H102" s="141">
        <v>0</v>
      </c>
      <c r="I102" s="5">
        <f t="shared" si="29"/>
        <v>0</v>
      </c>
      <c r="J102" s="5">
        <f t="shared" si="30"/>
        <v>0</v>
      </c>
      <c r="K102">
        <v>0</v>
      </c>
      <c r="N102" s="51">
        <v>0</v>
      </c>
    </row>
    <row r="103" spans="1:17">
      <c r="A103" s="80">
        <v>46145</v>
      </c>
      <c r="B103" s="4">
        <v>0</v>
      </c>
      <c r="C103" s="4">
        <v>0</v>
      </c>
      <c r="D103" s="4">
        <v>45</v>
      </c>
      <c r="E103" s="4">
        <v>0</v>
      </c>
      <c r="F103" s="4">
        <v>50</v>
      </c>
      <c r="G103" s="144">
        <f>B103+C103/60</f>
        <v>0</v>
      </c>
      <c r="H103" s="4">
        <v>0</v>
      </c>
      <c r="I103" s="5">
        <v>0</v>
      </c>
      <c r="J103" s="5">
        <v>0</v>
      </c>
      <c r="K103">
        <v>0</v>
      </c>
      <c r="N103" s="51"/>
    </row>
    <row r="104" spans="1:17" ht="19">
      <c r="A104" s="91" t="s">
        <v>505</v>
      </c>
      <c r="B104" s="8">
        <f>SUM(B105:B110)</f>
        <v>47</v>
      </c>
      <c r="C104" s="8">
        <f>SUM(C105:C110)</f>
        <v>167</v>
      </c>
      <c r="D104" s="8">
        <v>45</v>
      </c>
      <c r="E104" s="8">
        <f>SUM(E105:E110)</f>
        <v>6</v>
      </c>
      <c r="F104" s="8">
        <f>SUM(F105:F110)</f>
        <v>300</v>
      </c>
      <c r="G104" s="93">
        <f t="shared" si="28"/>
        <v>49.783333333333331</v>
      </c>
      <c r="H104" s="8">
        <f>SUM(H105:H110)</f>
        <v>300</v>
      </c>
      <c r="I104" s="9">
        <f>SUM(I105:I110)</f>
        <v>2787.25</v>
      </c>
      <c r="J104" s="14">
        <f>SUM(J105:J110)</f>
        <v>2487.25</v>
      </c>
      <c r="K104" s="8">
        <f>SUM(K105:K110)</f>
        <v>164</v>
      </c>
      <c r="L104" s="9">
        <v>0</v>
      </c>
      <c r="M104" s="96">
        <f>J104</f>
        <v>2487.25</v>
      </c>
      <c r="N104" s="102">
        <f>SUM(N105:N110)</f>
        <v>3830</v>
      </c>
      <c r="O104" s="98">
        <f>3793-N104</f>
        <v>-37</v>
      </c>
      <c r="P104" s="86"/>
      <c r="Q104" s="86"/>
    </row>
    <row r="105" spans="1:17">
      <c r="A105" s="6">
        <v>46139</v>
      </c>
      <c r="B105" s="4">
        <v>10</v>
      </c>
      <c r="C105" s="4">
        <v>8</v>
      </c>
      <c r="D105" s="4">
        <v>55</v>
      </c>
      <c r="E105" s="4">
        <v>1</v>
      </c>
      <c r="F105" s="4">
        <v>50</v>
      </c>
      <c r="G105" s="10">
        <f t="shared" si="28"/>
        <v>10.133333333333333</v>
      </c>
      <c r="H105" s="4">
        <v>50</v>
      </c>
      <c r="I105" s="5">
        <f t="shared" ref="I105:I110" si="31">G105*D105</f>
        <v>557.33333333333326</v>
      </c>
      <c r="J105" s="5">
        <f t="shared" ref="J105:J110" si="32">I105-H105</f>
        <v>507.33333333333326</v>
      </c>
      <c r="K105">
        <v>28</v>
      </c>
      <c r="N105" s="51">
        <v>607</v>
      </c>
      <c r="O105" s="51"/>
    </row>
    <row r="106" spans="1:17">
      <c r="A106" s="80" t="s">
        <v>963</v>
      </c>
      <c r="B106" s="4">
        <v>7</v>
      </c>
      <c r="C106" s="4">
        <v>49</v>
      </c>
      <c r="D106" s="4">
        <v>45</v>
      </c>
      <c r="E106" s="4">
        <v>1</v>
      </c>
      <c r="F106" s="4">
        <v>50</v>
      </c>
      <c r="G106" s="10">
        <f t="shared" si="28"/>
        <v>7.8166666666666664</v>
      </c>
      <c r="H106" s="4">
        <v>50</v>
      </c>
      <c r="I106" s="5">
        <f t="shared" si="31"/>
        <v>351.75</v>
      </c>
      <c r="J106" s="5">
        <f t="shared" si="32"/>
        <v>301.75</v>
      </c>
      <c r="K106">
        <v>26</v>
      </c>
      <c r="N106" s="51">
        <v>594</v>
      </c>
      <c r="Q106" t="s">
        <v>1002</v>
      </c>
    </row>
    <row r="107" spans="1:17">
      <c r="A107" s="80" t="s">
        <v>965</v>
      </c>
      <c r="B107" s="4">
        <v>5</v>
      </c>
      <c r="C107" s="4">
        <v>30</v>
      </c>
      <c r="D107" s="4">
        <v>45</v>
      </c>
      <c r="E107" s="4">
        <v>1</v>
      </c>
      <c r="F107" s="4">
        <v>50</v>
      </c>
      <c r="G107" s="10">
        <f t="shared" si="28"/>
        <v>5.5</v>
      </c>
      <c r="H107" s="4">
        <v>50</v>
      </c>
      <c r="I107" s="5">
        <f t="shared" si="31"/>
        <v>247.5</v>
      </c>
      <c r="J107" s="5">
        <f t="shared" si="32"/>
        <v>197.5</v>
      </c>
      <c r="K107">
        <v>18</v>
      </c>
      <c r="N107" s="51">
        <v>550</v>
      </c>
      <c r="Q107" t="s">
        <v>1003</v>
      </c>
    </row>
    <row r="108" spans="1:17">
      <c r="A108" s="80" t="s">
        <v>967</v>
      </c>
      <c r="B108" s="4">
        <v>9</v>
      </c>
      <c r="C108" s="4">
        <v>22</v>
      </c>
      <c r="D108" s="4">
        <v>65</v>
      </c>
      <c r="E108" s="4">
        <v>1</v>
      </c>
      <c r="F108" s="4">
        <v>50</v>
      </c>
      <c r="G108" s="10">
        <f t="shared" si="28"/>
        <v>9.3666666666666671</v>
      </c>
      <c r="H108" s="4">
        <v>50</v>
      </c>
      <c r="I108" s="5">
        <f t="shared" si="31"/>
        <v>608.83333333333337</v>
      </c>
      <c r="J108" s="5">
        <f t="shared" si="32"/>
        <v>558.83333333333337</v>
      </c>
      <c r="K108">
        <v>32</v>
      </c>
      <c r="N108" s="51">
        <v>543</v>
      </c>
      <c r="Q108" t="s">
        <v>1004</v>
      </c>
    </row>
    <row r="109" spans="1:17">
      <c r="A109" s="80" t="s">
        <v>969</v>
      </c>
      <c r="B109" s="4">
        <v>8</v>
      </c>
      <c r="C109" s="4">
        <v>52</v>
      </c>
      <c r="D109" s="4">
        <v>65</v>
      </c>
      <c r="E109" s="4">
        <v>1</v>
      </c>
      <c r="F109" s="4">
        <v>50</v>
      </c>
      <c r="G109" s="10">
        <f t="shared" si="28"/>
        <v>8.8666666666666671</v>
      </c>
      <c r="H109" s="4">
        <v>50</v>
      </c>
      <c r="I109" s="5">
        <f t="shared" si="31"/>
        <v>576.33333333333337</v>
      </c>
      <c r="J109" s="5">
        <f t="shared" si="32"/>
        <v>526.33333333333337</v>
      </c>
      <c r="K109">
        <v>32</v>
      </c>
      <c r="N109" s="51">
        <v>892</v>
      </c>
      <c r="Q109" t="s">
        <v>1005</v>
      </c>
    </row>
    <row r="110" spans="1:17">
      <c r="A110" s="80" t="s">
        <v>971</v>
      </c>
      <c r="B110" s="4">
        <v>8</v>
      </c>
      <c r="C110" s="4">
        <v>6</v>
      </c>
      <c r="D110" s="4">
        <v>55</v>
      </c>
      <c r="E110" s="4">
        <v>1</v>
      </c>
      <c r="F110" s="4">
        <v>50</v>
      </c>
      <c r="G110" s="10">
        <f t="shared" si="28"/>
        <v>8.1</v>
      </c>
      <c r="H110" s="4">
        <v>50</v>
      </c>
      <c r="I110" s="5">
        <f t="shared" si="31"/>
        <v>445.5</v>
      </c>
      <c r="J110" s="5">
        <f t="shared" si="32"/>
        <v>395.5</v>
      </c>
      <c r="K110">
        <v>28</v>
      </c>
      <c r="N110" s="51">
        <v>644</v>
      </c>
      <c r="Q110" t="s">
        <v>1006</v>
      </c>
    </row>
    <row r="111" spans="1:17" ht="20" thickBot="1">
      <c r="A111" s="91" t="s">
        <v>870</v>
      </c>
      <c r="B111" s="8">
        <f>SUM(B112:B117)</f>
        <v>47</v>
      </c>
      <c r="C111" s="8">
        <f>SUM(C112:C117)</f>
        <v>120</v>
      </c>
      <c r="D111" s="8">
        <v>45</v>
      </c>
      <c r="E111" s="8">
        <f>SUM(E112:E117)</f>
        <v>5</v>
      </c>
      <c r="F111" s="8">
        <f>SUM(F112:F117)</f>
        <v>300</v>
      </c>
      <c r="G111" s="93">
        <f t="shared" si="28"/>
        <v>49</v>
      </c>
      <c r="H111" s="8">
        <f>SUM(H112:H117)</f>
        <v>250</v>
      </c>
      <c r="I111" s="14">
        <f>SUM(I112:I117)</f>
        <v>2614.8333333333335</v>
      </c>
      <c r="J111" s="14">
        <f>SUM(J112:J117)</f>
        <v>2364.8333333333335</v>
      </c>
      <c r="K111" s="8">
        <f>SUM(K112:K117)</f>
        <v>133</v>
      </c>
      <c r="L111" s="9">
        <v>0</v>
      </c>
      <c r="M111" s="96">
        <f>J111</f>
        <v>2364.8333333333335</v>
      </c>
      <c r="N111" s="129">
        <f>SUM(N112:N117)</f>
        <v>2270</v>
      </c>
      <c r="O111" s="98">
        <f>2522-N111</f>
        <v>252</v>
      </c>
      <c r="P111" s="86"/>
      <c r="Q111" s="86"/>
    </row>
    <row r="112" spans="1:17">
      <c r="A112" s="80">
        <v>46140</v>
      </c>
      <c r="B112" s="4">
        <v>11</v>
      </c>
      <c r="C112" s="4">
        <v>0</v>
      </c>
      <c r="D112" s="4">
        <v>65</v>
      </c>
      <c r="E112" s="4">
        <v>1</v>
      </c>
      <c r="F112" s="4">
        <v>50</v>
      </c>
      <c r="G112" s="10">
        <f t="shared" si="28"/>
        <v>11</v>
      </c>
      <c r="H112" s="4">
        <v>50</v>
      </c>
      <c r="I112" s="5">
        <f t="shared" ref="I112:I117" si="33">G112*D112</f>
        <v>715</v>
      </c>
      <c r="J112" s="5">
        <f t="shared" ref="J112:J117" si="34">I112-H112</f>
        <v>665</v>
      </c>
      <c r="K112">
        <v>37</v>
      </c>
      <c r="N112" s="51">
        <f>170+200</f>
        <v>370</v>
      </c>
      <c r="O112" s="51"/>
    </row>
    <row r="113" spans="1:19">
      <c r="A113" s="80">
        <v>46141</v>
      </c>
      <c r="B113" s="4">
        <v>9</v>
      </c>
      <c r="C113" s="4">
        <v>32</v>
      </c>
      <c r="D113" s="4">
        <v>45</v>
      </c>
      <c r="E113" s="4">
        <v>1</v>
      </c>
      <c r="F113" s="4">
        <v>50</v>
      </c>
      <c r="G113" s="10">
        <f t="shared" si="28"/>
        <v>9.5333333333333332</v>
      </c>
      <c r="H113" s="4">
        <v>50</v>
      </c>
      <c r="I113" s="5">
        <f t="shared" si="33"/>
        <v>429</v>
      </c>
      <c r="J113" s="5">
        <f t="shared" si="34"/>
        <v>379</v>
      </c>
      <c r="K113">
        <v>14</v>
      </c>
      <c r="N113" s="51">
        <v>340</v>
      </c>
      <c r="P113" s="128" t="s">
        <v>1007</v>
      </c>
      <c r="Q113" s="128"/>
      <c r="R113" s="128"/>
      <c r="S113" s="128"/>
    </row>
    <row r="114" spans="1:19">
      <c r="A114" s="80">
        <v>46142</v>
      </c>
      <c r="B114" s="4">
        <v>10</v>
      </c>
      <c r="C114" s="4">
        <v>0</v>
      </c>
      <c r="D114" s="4">
        <v>55</v>
      </c>
      <c r="E114" s="4">
        <v>1</v>
      </c>
      <c r="F114" s="4">
        <v>50</v>
      </c>
      <c r="G114" s="10">
        <f t="shared" si="28"/>
        <v>10</v>
      </c>
      <c r="H114" s="4">
        <v>50</v>
      </c>
      <c r="I114" s="5">
        <f t="shared" si="33"/>
        <v>550</v>
      </c>
      <c r="J114" s="5">
        <f t="shared" si="34"/>
        <v>500</v>
      </c>
      <c r="K114">
        <v>31</v>
      </c>
      <c r="N114" s="51">
        <v>500</v>
      </c>
    </row>
    <row r="115" spans="1:19">
      <c r="A115" s="80">
        <v>46143</v>
      </c>
      <c r="B115" s="4">
        <v>9</v>
      </c>
      <c r="C115" s="4">
        <v>29</v>
      </c>
      <c r="D115" s="4">
        <v>45</v>
      </c>
      <c r="E115" s="4">
        <v>1</v>
      </c>
      <c r="F115" s="4">
        <v>50</v>
      </c>
      <c r="G115" s="10">
        <f t="shared" si="28"/>
        <v>9.4833333333333325</v>
      </c>
      <c r="H115" s="4">
        <v>50</v>
      </c>
      <c r="I115" s="5">
        <f t="shared" si="33"/>
        <v>426.74999999999994</v>
      </c>
      <c r="J115" s="5">
        <f t="shared" si="34"/>
        <v>376.74999999999994</v>
      </c>
      <c r="K115">
        <v>20</v>
      </c>
      <c r="N115" s="51">
        <v>430</v>
      </c>
    </row>
    <row r="116" spans="1:19">
      <c r="A116" s="80">
        <v>46144</v>
      </c>
      <c r="B116" s="4">
        <v>8</v>
      </c>
      <c r="C116" s="4">
        <v>59</v>
      </c>
      <c r="D116" s="4">
        <v>55</v>
      </c>
      <c r="E116" s="4">
        <v>1</v>
      </c>
      <c r="F116" s="4">
        <v>50</v>
      </c>
      <c r="G116" s="10">
        <f t="shared" si="28"/>
        <v>8.9833333333333325</v>
      </c>
      <c r="H116" s="4">
        <v>50</v>
      </c>
      <c r="I116" s="5">
        <f t="shared" si="33"/>
        <v>494.08333333333331</v>
      </c>
      <c r="J116" s="5">
        <f t="shared" si="34"/>
        <v>444.08333333333331</v>
      </c>
      <c r="K116">
        <v>31</v>
      </c>
      <c r="N116" s="51">
        <f>480+150</f>
        <v>630</v>
      </c>
      <c r="P116" t="s">
        <v>27</v>
      </c>
    </row>
    <row r="117" spans="1:19">
      <c r="A117" s="80">
        <v>46145</v>
      </c>
      <c r="B117" s="4">
        <v>0</v>
      </c>
      <c r="C117" s="4">
        <v>0</v>
      </c>
      <c r="D117" s="4">
        <v>45</v>
      </c>
      <c r="E117" s="4">
        <v>0</v>
      </c>
      <c r="F117" s="4">
        <v>50</v>
      </c>
      <c r="G117" s="10">
        <f t="shared" si="28"/>
        <v>0</v>
      </c>
      <c r="H117" s="4">
        <v>0</v>
      </c>
      <c r="I117" s="5">
        <f t="shared" si="33"/>
        <v>0</v>
      </c>
      <c r="J117" s="5">
        <f t="shared" si="34"/>
        <v>0</v>
      </c>
      <c r="K117">
        <v>0</v>
      </c>
      <c r="N117" s="51">
        <v>0</v>
      </c>
    </row>
    <row r="118" spans="1:19" ht="20" thickBot="1">
      <c r="A118" s="91" t="s">
        <v>518</v>
      </c>
      <c r="B118" s="8">
        <f>SUM(B119:B125)</f>
        <v>31</v>
      </c>
      <c r="C118" s="8">
        <f>SUM(C119:C125)</f>
        <v>89</v>
      </c>
      <c r="D118" s="8">
        <f>SUM(D119)</f>
        <v>45</v>
      </c>
      <c r="E118" s="8">
        <f>SUM(E119:E124)</f>
        <v>3</v>
      </c>
      <c r="F118" s="8">
        <f>SUM(F119:F124)</f>
        <v>300</v>
      </c>
      <c r="G118" s="93">
        <f t="shared" si="28"/>
        <v>32.483333333333334</v>
      </c>
      <c r="H118" s="8">
        <f>SUM(H119:H124)</f>
        <v>150</v>
      </c>
      <c r="I118" s="9">
        <f>SUM(I119:I124)</f>
        <v>1892.4166666666667</v>
      </c>
      <c r="J118" s="14">
        <f>SUM(J119:J124)</f>
        <v>1742.4166666666667</v>
      </c>
      <c r="K118" s="8">
        <f>SUM(K119:K124)</f>
        <v>90</v>
      </c>
      <c r="L118" s="9">
        <v>0</v>
      </c>
      <c r="M118" s="96">
        <f>J118</f>
        <v>1742.4166666666667</v>
      </c>
      <c r="N118" s="129">
        <f>SUM(N119:N124)</f>
        <v>1835</v>
      </c>
      <c r="O118" s="98">
        <f>1835-N118</f>
        <v>0</v>
      </c>
      <c r="P118" s="86"/>
      <c r="Q118" s="86"/>
    </row>
    <row r="119" spans="1:19">
      <c r="A119" s="6">
        <v>46139</v>
      </c>
      <c r="B119" s="4">
        <v>0</v>
      </c>
      <c r="C119" s="4">
        <v>0</v>
      </c>
      <c r="D119" s="4">
        <v>45</v>
      </c>
      <c r="E119" s="4">
        <v>0</v>
      </c>
      <c r="F119" s="4">
        <v>50</v>
      </c>
      <c r="G119" s="10">
        <f t="shared" si="28"/>
        <v>0</v>
      </c>
      <c r="H119" s="4">
        <v>0</v>
      </c>
      <c r="I119" s="5">
        <f t="shared" ref="I119:I125" si="35">G119*D119</f>
        <v>0</v>
      </c>
      <c r="J119" s="5">
        <f t="shared" ref="J119:J125" si="36">I119-H119</f>
        <v>0</v>
      </c>
      <c r="K119">
        <v>0</v>
      </c>
      <c r="N119" s="51">
        <v>0</v>
      </c>
      <c r="O119" s="51"/>
    </row>
    <row r="120" spans="1:19">
      <c r="A120" s="6">
        <v>46140</v>
      </c>
      <c r="B120" s="4">
        <v>0</v>
      </c>
      <c r="C120" s="4">
        <v>0</v>
      </c>
      <c r="D120" s="4">
        <v>55</v>
      </c>
      <c r="E120" s="4">
        <v>0</v>
      </c>
      <c r="F120" s="4">
        <v>50</v>
      </c>
      <c r="G120" s="10">
        <f t="shared" si="28"/>
        <v>0</v>
      </c>
      <c r="H120" s="4">
        <v>0</v>
      </c>
      <c r="I120" s="5">
        <f t="shared" si="35"/>
        <v>0</v>
      </c>
      <c r="J120" s="5">
        <f t="shared" si="36"/>
        <v>0</v>
      </c>
      <c r="K120">
        <v>0</v>
      </c>
      <c r="N120" s="51">
        <v>0</v>
      </c>
    </row>
    <row r="121" spans="1:19">
      <c r="A121" s="6">
        <v>46141</v>
      </c>
      <c r="B121" s="4">
        <v>10</v>
      </c>
      <c r="C121" s="4">
        <v>35</v>
      </c>
      <c r="D121" s="4">
        <v>65</v>
      </c>
      <c r="E121" s="4">
        <v>1</v>
      </c>
      <c r="F121" s="4">
        <v>50</v>
      </c>
      <c r="G121" s="10">
        <f t="shared" si="28"/>
        <v>10.583333333333334</v>
      </c>
      <c r="H121" s="4">
        <v>50</v>
      </c>
      <c r="I121" s="5">
        <f t="shared" si="35"/>
        <v>687.91666666666674</v>
      </c>
      <c r="J121" s="5">
        <f t="shared" si="36"/>
        <v>637.91666666666674</v>
      </c>
      <c r="K121">
        <v>33</v>
      </c>
      <c r="N121" s="83">
        <f>427+150</f>
        <v>577</v>
      </c>
    </row>
    <row r="122" spans="1:19">
      <c r="A122" s="6">
        <v>46142</v>
      </c>
      <c r="B122" s="4">
        <v>11</v>
      </c>
      <c r="C122" s="4">
        <v>0</v>
      </c>
      <c r="D122" s="4">
        <v>55</v>
      </c>
      <c r="E122" s="4">
        <v>1</v>
      </c>
      <c r="F122" s="4">
        <v>50</v>
      </c>
      <c r="G122" s="10">
        <f t="shared" si="28"/>
        <v>11</v>
      </c>
      <c r="H122" s="4">
        <v>50</v>
      </c>
      <c r="I122" s="5">
        <f t="shared" si="35"/>
        <v>605</v>
      </c>
      <c r="J122" s="5">
        <f t="shared" si="36"/>
        <v>555</v>
      </c>
      <c r="K122">
        <v>28</v>
      </c>
      <c r="N122" s="51">
        <v>631</v>
      </c>
      <c r="P122" t="s">
        <v>160</v>
      </c>
    </row>
    <row r="123" spans="1:19">
      <c r="A123" s="6">
        <v>46143</v>
      </c>
      <c r="B123" s="4">
        <v>10</v>
      </c>
      <c r="C123" s="4">
        <v>54</v>
      </c>
      <c r="D123" s="4">
        <v>55</v>
      </c>
      <c r="E123" s="4">
        <v>1</v>
      </c>
      <c r="F123" s="4">
        <v>50</v>
      </c>
      <c r="G123" s="10">
        <f t="shared" ref="G123:G153" si="37">B123+C123/60</f>
        <v>10.9</v>
      </c>
      <c r="H123" s="4">
        <v>50</v>
      </c>
      <c r="I123" s="5">
        <f t="shared" si="35"/>
        <v>599.5</v>
      </c>
      <c r="J123" s="5">
        <f t="shared" si="36"/>
        <v>549.5</v>
      </c>
      <c r="K123">
        <v>29</v>
      </c>
      <c r="N123" s="51">
        <f>477+150</f>
        <v>627</v>
      </c>
      <c r="P123" t="s">
        <v>160</v>
      </c>
    </row>
    <row r="124" spans="1:19">
      <c r="A124" s="6">
        <v>46144</v>
      </c>
      <c r="B124" s="4">
        <v>0</v>
      </c>
      <c r="C124" s="4">
        <v>0</v>
      </c>
      <c r="D124" s="4">
        <v>45</v>
      </c>
      <c r="E124" s="4">
        <v>0</v>
      </c>
      <c r="F124" s="4">
        <v>50</v>
      </c>
      <c r="G124" s="10">
        <f t="shared" si="37"/>
        <v>0</v>
      </c>
      <c r="H124" s="4">
        <v>0</v>
      </c>
      <c r="I124" s="5">
        <f t="shared" si="35"/>
        <v>0</v>
      </c>
      <c r="J124" s="5">
        <f t="shared" si="36"/>
        <v>0</v>
      </c>
      <c r="K124">
        <v>0</v>
      </c>
      <c r="N124" s="51">
        <v>0</v>
      </c>
    </row>
    <row r="125" spans="1:19" ht="16" thickBot="1">
      <c r="A125" s="6">
        <v>46145</v>
      </c>
      <c r="B125" s="4">
        <v>0</v>
      </c>
      <c r="C125" s="4">
        <v>0</v>
      </c>
      <c r="D125" s="4">
        <v>45</v>
      </c>
      <c r="E125" s="4">
        <v>0</v>
      </c>
      <c r="F125" s="4">
        <v>50</v>
      </c>
      <c r="G125" s="10">
        <f t="shared" si="37"/>
        <v>0</v>
      </c>
      <c r="H125" s="4">
        <v>0</v>
      </c>
      <c r="I125" s="5">
        <f t="shared" si="35"/>
        <v>0</v>
      </c>
      <c r="J125" s="5">
        <f t="shared" si="36"/>
        <v>0</v>
      </c>
      <c r="K125">
        <v>0</v>
      </c>
      <c r="N125" s="51">
        <v>0</v>
      </c>
    </row>
    <row r="126" spans="1:19" ht="20" thickBot="1">
      <c r="A126" s="91" t="s">
        <v>519</v>
      </c>
      <c r="B126" s="8">
        <f>SUM(B127:B132)</f>
        <v>0</v>
      </c>
      <c r="C126" s="8">
        <f>SUM(C127:C132)</f>
        <v>0</v>
      </c>
      <c r="D126" s="8">
        <f>SUM(D127)</f>
        <v>45</v>
      </c>
      <c r="E126" s="8">
        <f>SUM(E127:E132)</f>
        <v>0</v>
      </c>
      <c r="F126" s="8">
        <f>SUM(F127:F132)</f>
        <v>300</v>
      </c>
      <c r="G126" s="93">
        <f t="shared" si="37"/>
        <v>0</v>
      </c>
      <c r="H126" s="8">
        <f>SUM(H127:H132)</f>
        <v>0</v>
      </c>
      <c r="I126" s="9">
        <f>SUM(I127:I132)</f>
        <v>0</v>
      </c>
      <c r="J126" s="14">
        <f>SUM(J127:J132)</f>
        <v>0</v>
      </c>
      <c r="K126" s="8">
        <f>SUM(K127:K132)</f>
        <v>0</v>
      </c>
      <c r="L126" s="9">
        <v>0</v>
      </c>
      <c r="M126" s="96">
        <f>J126</f>
        <v>0</v>
      </c>
      <c r="N126" s="102">
        <f>SUM(N127:N130)</f>
        <v>0</v>
      </c>
      <c r="O126" s="98">
        <v>0</v>
      </c>
      <c r="P126" s="86"/>
      <c r="Q126" s="86"/>
    </row>
    <row r="127" spans="1:19">
      <c r="A127" s="6">
        <v>46139</v>
      </c>
      <c r="B127" s="4">
        <v>0</v>
      </c>
      <c r="C127" s="4">
        <v>0</v>
      </c>
      <c r="D127" s="4">
        <v>45</v>
      </c>
      <c r="E127" s="4">
        <v>0</v>
      </c>
      <c r="F127" s="4">
        <v>50</v>
      </c>
      <c r="G127" s="10">
        <f t="shared" si="37"/>
        <v>0</v>
      </c>
      <c r="H127" s="4">
        <v>0</v>
      </c>
      <c r="I127" s="5">
        <f t="shared" ref="I127:I133" si="38">G127*D127</f>
        <v>0</v>
      </c>
      <c r="J127" s="5">
        <f t="shared" ref="J127:J133" si="39">I127-H127</f>
        <v>0</v>
      </c>
      <c r="K127">
        <v>0</v>
      </c>
      <c r="N127" s="51">
        <v>0</v>
      </c>
      <c r="O127" s="51"/>
    </row>
    <row r="128" spans="1:19">
      <c r="A128" s="6">
        <v>46140</v>
      </c>
      <c r="B128" s="4">
        <v>0</v>
      </c>
      <c r="C128" s="4">
        <v>0</v>
      </c>
      <c r="D128" s="4">
        <v>55</v>
      </c>
      <c r="E128" s="4">
        <v>0</v>
      </c>
      <c r="F128" s="4">
        <v>50</v>
      </c>
      <c r="G128" s="10">
        <f t="shared" si="37"/>
        <v>0</v>
      </c>
      <c r="H128" s="4">
        <v>0</v>
      </c>
      <c r="I128" s="5">
        <f t="shared" si="38"/>
        <v>0</v>
      </c>
      <c r="J128" s="5">
        <f t="shared" si="39"/>
        <v>0</v>
      </c>
      <c r="K128">
        <v>0</v>
      </c>
      <c r="N128" s="51">
        <v>0</v>
      </c>
    </row>
    <row r="129" spans="1:17">
      <c r="A129" s="6">
        <v>46141</v>
      </c>
      <c r="B129" s="4">
        <v>0</v>
      </c>
      <c r="C129" s="4">
        <v>0</v>
      </c>
      <c r="D129" s="4">
        <v>45</v>
      </c>
      <c r="E129" s="4">
        <v>0</v>
      </c>
      <c r="F129" s="4">
        <v>50</v>
      </c>
      <c r="G129" s="10">
        <f t="shared" si="37"/>
        <v>0</v>
      </c>
      <c r="H129" s="4">
        <v>0</v>
      </c>
      <c r="I129" s="5">
        <f t="shared" si="38"/>
        <v>0</v>
      </c>
      <c r="J129" s="5">
        <f t="shared" si="39"/>
        <v>0</v>
      </c>
      <c r="K129">
        <v>0</v>
      </c>
      <c r="N129" s="83">
        <v>0</v>
      </c>
      <c r="Q129" t="s">
        <v>64</v>
      </c>
    </row>
    <row r="130" spans="1:17">
      <c r="A130" s="6">
        <v>46142</v>
      </c>
      <c r="B130" s="4">
        <v>0</v>
      </c>
      <c r="C130" s="4">
        <v>0</v>
      </c>
      <c r="D130" s="4">
        <v>45</v>
      </c>
      <c r="E130" s="4">
        <v>0</v>
      </c>
      <c r="F130" s="4">
        <v>50</v>
      </c>
      <c r="G130" s="10">
        <f t="shared" si="37"/>
        <v>0</v>
      </c>
      <c r="H130" s="4">
        <v>0</v>
      </c>
      <c r="I130" s="5">
        <f t="shared" si="38"/>
        <v>0</v>
      </c>
      <c r="J130" s="5">
        <f t="shared" si="39"/>
        <v>0</v>
      </c>
      <c r="K130">
        <v>0</v>
      </c>
      <c r="N130" s="51">
        <v>0</v>
      </c>
    </row>
    <row r="131" spans="1:17">
      <c r="A131" s="6">
        <v>46143</v>
      </c>
      <c r="B131" s="4">
        <v>0</v>
      </c>
      <c r="C131" s="4">
        <v>0</v>
      </c>
      <c r="D131" s="4">
        <v>45</v>
      </c>
      <c r="E131" s="4">
        <v>0</v>
      </c>
      <c r="F131" s="4">
        <v>50</v>
      </c>
      <c r="G131" s="10">
        <f t="shared" si="37"/>
        <v>0</v>
      </c>
      <c r="H131" s="4">
        <v>0</v>
      </c>
      <c r="I131" s="5">
        <f t="shared" si="38"/>
        <v>0</v>
      </c>
      <c r="J131" s="5">
        <f t="shared" si="39"/>
        <v>0</v>
      </c>
      <c r="K131">
        <v>0</v>
      </c>
      <c r="N131" s="51">
        <v>0</v>
      </c>
    </row>
    <row r="132" spans="1:17">
      <c r="A132" s="6">
        <v>46144</v>
      </c>
      <c r="B132" s="4">
        <v>0</v>
      </c>
      <c r="C132" s="4">
        <v>0</v>
      </c>
      <c r="D132" s="4">
        <v>45</v>
      </c>
      <c r="E132" s="4">
        <v>0</v>
      </c>
      <c r="F132" s="4">
        <v>50</v>
      </c>
      <c r="G132" s="10">
        <f t="shared" si="37"/>
        <v>0</v>
      </c>
      <c r="H132" s="4">
        <v>0</v>
      </c>
      <c r="I132" s="5">
        <f t="shared" si="38"/>
        <v>0</v>
      </c>
      <c r="J132" s="5">
        <f t="shared" si="39"/>
        <v>0</v>
      </c>
      <c r="K132">
        <v>0</v>
      </c>
      <c r="N132" s="51">
        <v>0</v>
      </c>
    </row>
    <row r="133" spans="1:17" ht="16" thickBot="1">
      <c r="A133" s="6">
        <v>46145</v>
      </c>
      <c r="B133" s="4">
        <v>0</v>
      </c>
      <c r="C133" s="4">
        <v>0</v>
      </c>
      <c r="D133" s="4">
        <v>45</v>
      </c>
      <c r="E133" s="4">
        <v>0</v>
      </c>
      <c r="F133" s="4">
        <v>50</v>
      </c>
      <c r="G133" s="10">
        <f t="shared" si="37"/>
        <v>0</v>
      </c>
      <c r="H133" s="4">
        <v>0</v>
      </c>
      <c r="I133" s="5">
        <f t="shared" si="38"/>
        <v>0</v>
      </c>
      <c r="J133" s="5">
        <f t="shared" si="39"/>
        <v>0</v>
      </c>
      <c r="K133">
        <v>0</v>
      </c>
      <c r="N133" s="51">
        <v>0</v>
      </c>
    </row>
    <row r="134" spans="1:17" ht="19">
      <c r="A134" s="91" t="s">
        <v>528</v>
      </c>
      <c r="B134" s="8">
        <f>SUM(B135:B141)</f>
        <v>43</v>
      </c>
      <c r="C134" s="8">
        <f>SUM(C135:C141)</f>
        <v>107</v>
      </c>
      <c r="D134" s="8">
        <f>SUM(D135)</f>
        <v>45</v>
      </c>
      <c r="E134" s="8">
        <f>SUM(E135:E141)</f>
        <v>5</v>
      </c>
      <c r="F134" s="8">
        <f>SUM(F135:F141)</f>
        <v>300</v>
      </c>
      <c r="G134" s="93">
        <f t="shared" si="37"/>
        <v>44.783333333333331</v>
      </c>
      <c r="H134" s="8">
        <f>SUM(H135:H141)</f>
        <v>250</v>
      </c>
      <c r="I134" s="9">
        <f>SUM(I135:I141)</f>
        <v>2207.25</v>
      </c>
      <c r="J134" s="9">
        <f>SUM(J135:J141)</f>
        <v>1957.25</v>
      </c>
      <c r="K134" s="8">
        <f>SUM(K135:K141)</f>
        <v>103</v>
      </c>
      <c r="L134" s="9">
        <v>0</v>
      </c>
      <c r="M134" s="96">
        <f>J134</f>
        <v>1957.25</v>
      </c>
      <c r="N134" s="129">
        <f>SUM(N135:N141)</f>
        <v>2320</v>
      </c>
      <c r="O134" s="98">
        <f>2319-N134</f>
        <v>-1</v>
      </c>
      <c r="P134" s="86"/>
      <c r="Q134" s="86"/>
    </row>
    <row r="135" spans="1:17">
      <c r="A135" s="6">
        <v>46139</v>
      </c>
      <c r="B135" s="4">
        <v>0</v>
      </c>
      <c r="C135" s="4">
        <v>0</v>
      </c>
      <c r="D135" s="4">
        <v>45</v>
      </c>
      <c r="E135" s="4">
        <v>0</v>
      </c>
      <c r="F135" s="4">
        <v>50</v>
      </c>
      <c r="G135" s="10">
        <f t="shared" si="37"/>
        <v>0</v>
      </c>
      <c r="H135" s="4">
        <v>0</v>
      </c>
      <c r="I135" s="5">
        <f t="shared" ref="I135:I141" si="40">G135*D135</f>
        <v>0</v>
      </c>
      <c r="J135" s="5">
        <f t="shared" ref="J135:J141" si="41">I135-H135</f>
        <v>0</v>
      </c>
      <c r="K135">
        <v>0</v>
      </c>
      <c r="N135" s="51">
        <v>0</v>
      </c>
      <c r="O135" s="51"/>
    </row>
    <row r="136" spans="1:17">
      <c r="A136" s="6">
        <v>46140</v>
      </c>
      <c r="B136" s="4">
        <v>9</v>
      </c>
      <c r="C136" s="4">
        <v>11</v>
      </c>
      <c r="D136" s="4">
        <v>45</v>
      </c>
      <c r="E136" s="4">
        <v>1</v>
      </c>
      <c r="F136" s="4">
        <v>50</v>
      </c>
      <c r="G136" s="10">
        <f t="shared" si="37"/>
        <v>9.1833333333333336</v>
      </c>
      <c r="H136" s="4">
        <v>50</v>
      </c>
      <c r="I136" s="5">
        <f t="shared" si="40"/>
        <v>413.25</v>
      </c>
      <c r="J136" s="5">
        <f t="shared" si="41"/>
        <v>363.25</v>
      </c>
      <c r="K136">
        <v>23</v>
      </c>
      <c r="N136" s="51">
        <v>240</v>
      </c>
    </row>
    <row r="137" spans="1:17">
      <c r="A137" s="6">
        <v>46141</v>
      </c>
      <c r="B137" s="4">
        <v>9</v>
      </c>
      <c r="C137" s="4">
        <v>1</v>
      </c>
      <c r="D137" s="4">
        <v>45</v>
      </c>
      <c r="E137" s="4">
        <v>1</v>
      </c>
      <c r="F137" s="4">
        <v>50</v>
      </c>
      <c r="G137" s="10">
        <f t="shared" si="37"/>
        <v>9.0166666666666675</v>
      </c>
      <c r="H137" s="4">
        <v>50</v>
      </c>
      <c r="I137" s="5">
        <f t="shared" si="40"/>
        <v>405.75000000000006</v>
      </c>
      <c r="J137" s="5">
        <f t="shared" si="41"/>
        <v>355.75000000000006</v>
      </c>
      <c r="K137">
        <v>1</v>
      </c>
      <c r="N137" s="83">
        <v>0</v>
      </c>
      <c r="P137" s="181" t="s">
        <v>1008</v>
      </c>
    </row>
    <row r="138" spans="1:17">
      <c r="A138" s="6">
        <v>46142</v>
      </c>
      <c r="B138" s="4">
        <v>7</v>
      </c>
      <c r="C138" s="4">
        <v>28</v>
      </c>
      <c r="D138" s="4">
        <v>45</v>
      </c>
      <c r="E138" s="4">
        <v>1</v>
      </c>
      <c r="F138" s="4">
        <v>50</v>
      </c>
      <c r="G138" s="10">
        <f t="shared" si="37"/>
        <v>7.4666666666666668</v>
      </c>
      <c r="H138" s="4">
        <v>50</v>
      </c>
      <c r="I138" s="5">
        <f t="shared" si="40"/>
        <v>336</v>
      </c>
      <c r="J138" s="5">
        <f t="shared" si="41"/>
        <v>286</v>
      </c>
      <c r="K138">
        <v>18</v>
      </c>
      <c r="N138" s="51">
        <f>430+150</f>
        <v>580</v>
      </c>
      <c r="P138" t="s">
        <v>553</v>
      </c>
    </row>
    <row r="139" spans="1:17">
      <c r="A139" s="6">
        <v>46143</v>
      </c>
      <c r="B139" s="4">
        <v>0</v>
      </c>
      <c r="C139" s="4">
        <v>0</v>
      </c>
      <c r="D139" s="4">
        <v>45</v>
      </c>
      <c r="E139" s="4">
        <v>0</v>
      </c>
      <c r="F139" s="4">
        <v>0</v>
      </c>
      <c r="G139" s="10">
        <f t="shared" si="37"/>
        <v>0</v>
      </c>
      <c r="H139" s="4">
        <v>0</v>
      </c>
      <c r="I139" s="5">
        <f t="shared" si="40"/>
        <v>0</v>
      </c>
      <c r="J139" s="5">
        <f t="shared" si="41"/>
        <v>0</v>
      </c>
      <c r="K139">
        <v>0</v>
      </c>
      <c r="N139" s="51">
        <v>0</v>
      </c>
    </row>
    <row r="140" spans="1:17">
      <c r="A140" s="6">
        <v>46144</v>
      </c>
      <c r="B140" s="4">
        <v>9</v>
      </c>
      <c r="C140" s="4">
        <v>31</v>
      </c>
      <c r="D140" s="4">
        <v>45</v>
      </c>
      <c r="E140" s="4">
        <v>1</v>
      </c>
      <c r="F140" s="4">
        <v>50</v>
      </c>
      <c r="G140" s="10">
        <f t="shared" si="37"/>
        <v>9.5166666666666675</v>
      </c>
      <c r="H140" s="4">
        <v>50</v>
      </c>
      <c r="I140" s="5">
        <f t="shared" si="40"/>
        <v>428.25000000000006</v>
      </c>
      <c r="J140" s="5">
        <f t="shared" si="41"/>
        <v>378.25000000000006</v>
      </c>
      <c r="K140">
        <v>26</v>
      </c>
      <c r="N140" s="51">
        <f>690+100</f>
        <v>790</v>
      </c>
    </row>
    <row r="141" spans="1:17" ht="16" thickBot="1">
      <c r="A141" s="6">
        <v>46145</v>
      </c>
      <c r="B141" s="4">
        <v>9</v>
      </c>
      <c r="C141" s="4">
        <v>36</v>
      </c>
      <c r="D141" s="4">
        <v>65</v>
      </c>
      <c r="E141" s="4">
        <v>1</v>
      </c>
      <c r="F141" s="4">
        <v>50</v>
      </c>
      <c r="G141" s="10">
        <f t="shared" si="37"/>
        <v>9.6</v>
      </c>
      <c r="H141" s="4">
        <v>50</v>
      </c>
      <c r="I141" s="5">
        <f t="shared" si="40"/>
        <v>624</v>
      </c>
      <c r="J141" s="5">
        <f t="shared" si="41"/>
        <v>574</v>
      </c>
      <c r="K141">
        <v>35</v>
      </c>
      <c r="N141" s="51">
        <v>710</v>
      </c>
      <c r="P141" t="s">
        <v>160</v>
      </c>
    </row>
    <row r="142" spans="1:17" ht="20" thickBot="1">
      <c r="A142" s="91" t="s">
        <v>529</v>
      </c>
      <c r="B142" s="8">
        <f>SUM(B143:B148)</f>
        <v>31</v>
      </c>
      <c r="C142" s="8">
        <f>SUM(C143:C148)</f>
        <v>37</v>
      </c>
      <c r="D142" s="8">
        <f>SUM(D143)</f>
        <v>45</v>
      </c>
      <c r="E142" s="8">
        <f>SUM(E143:E148)</f>
        <v>3</v>
      </c>
      <c r="F142" s="8">
        <f>SUM(F143:F148)</f>
        <v>300</v>
      </c>
      <c r="G142" s="93">
        <f t="shared" si="37"/>
        <v>31.616666666666667</v>
      </c>
      <c r="H142" s="8">
        <f>SUM(H143:H148)</f>
        <v>150</v>
      </c>
      <c r="I142" s="9">
        <f>SUM(I143:I148)</f>
        <v>2055.0833333333335</v>
      </c>
      <c r="J142" s="14">
        <f>SUM(J143:J148)</f>
        <v>1905.0833333333335</v>
      </c>
      <c r="K142" s="8">
        <f>SUM(K143:K148)</f>
        <v>111</v>
      </c>
      <c r="L142" s="9">
        <v>0</v>
      </c>
      <c r="M142" s="96">
        <f>J142</f>
        <v>1905.0833333333335</v>
      </c>
      <c r="N142" s="102">
        <f>SUM(N143:N148)</f>
        <v>2373</v>
      </c>
      <c r="O142" s="98">
        <f>2414-N142</f>
        <v>41</v>
      </c>
      <c r="P142" s="86"/>
      <c r="Q142" s="86"/>
    </row>
    <row r="143" spans="1:17">
      <c r="A143" s="80" t="s">
        <v>961</v>
      </c>
      <c r="B143" s="4">
        <v>0</v>
      </c>
      <c r="C143" s="4">
        <v>0</v>
      </c>
      <c r="D143" s="4">
        <v>45</v>
      </c>
      <c r="E143" s="4">
        <v>0</v>
      </c>
      <c r="F143" s="4">
        <v>50</v>
      </c>
      <c r="G143" s="10">
        <f t="shared" si="37"/>
        <v>0</v>
      </c>
      <c r="H143" s="4">
        <v>0</v>
      </c>
      <c r="I143" s="5">
        <f t="shared" ref="I143:I148" si="42">G143*D143</f>
        <v>0</v>
      </c>
      <c r="J143" s="5">
        <f t="shared" ref="J143:J148" si="43">I143-H143</f>
        <v>0</v>
      </c>
      <c r="K143">
        <v>0</v>
      </c>
      <c r="N143" s="51">
        <v>0</v>
      </c>
      <c r="O143" s="51"/>
    </row>
    <row r="144" spans="1:17">
      <c r="A144" s="80" t="s">
        <v>963</v>
      </c>
      <c r="B144" s="4">
        <v>0</v>
      </c>
      <c r="C144" s="4">
        <v>0</v>
      </c>
      <c r="D144" s="4">
        <v>45</v>
      </c>
      <c r="E144" s="4">
        <v>0</v>
      </c>
      <c r="F144" s="4">
        <v>50</v>
      </c>
      <c r="G144" s="10">
        <f t="shared" si="37"/>
        <v>0</v>
      </c>
      <c r="H144" s="4">
        <v>0</v>
      </c>
      <c r="I144" s="5">
        <f t="shared" si="42"/>
        <v>0</v>
      </c>
      <c r="J144" s="5">
        <f t="shared" si="43"/>
        <v>0</v>
      </c>
      <c r="K144">
        <v>0</v>
      </c>
      <c r="N144" s="51">
        <v>0</v>
      </c>
    </row>
    <row r="145" spans="1:17">
      <c r="A145" s="80" t="s">
        <v>965</v>
      </c>
      <c r="B145" s="4">
        <v>11</v>
      </c>
      <c r="C145" s="4">
        <v>0</v>
      </c>
      <c r="D145" s="4">
        <v>65</v>
      </c>
      <c r="E145" s="4">
        <v>1</v>
      </c>
      <c r="F145" s="4">
        <v>50</v>
      </c>
      <c r="G145" s="10">
        <f t="shared" si="37"/>
        <v>11</v>
      </c>
      <c r="H145" s="4">
        <v>50</v>
      </c>
      <c r="I145" s="5">
        <f t="shared" si="42"/>
        <v>715</v>
      </c>
      <c r="J145" s="5">
        <f t="shared" si="43"/>
        <v>665</v>
      </c>
      <c r="K145">
        <v>32</v>
      </c>
      <c r="N145" s="51">
        <v>706</v>
      </c>
    </row>
    <row r="146" spans="1:17">
      <c r="A146" s="80" t="s">
        <v>967</v>
      </c>
      <c r="B146" s="4">
        <v>9</v>
      </c>
      <c r="C146" s="4">
        <v>37</v>
      </c>
      <c r="D146" s="4">
        <v>65</v>
      </c>
      <c r="E146" s="4">
        <v>1</v>
      </c>
      <c r="F146" s="4">
        <v>50</v>
      </c>
      <c r="G146" s="10">
        <f t="shared" si="37"/>
        <v>9.6166666666666671</v>
      </c>
      <c r="H146" s="4">
        <v>50</v>
      </c>
      <c r="I146" s="5">
        <f t="shared" si="42"/>
        <v>625.08333333333337</v>
      </c>
      <c r="J146" s="5">
        <f t="shared" si="43"/>
        <v>575.08333333333337</v>
      </c>
      <c r="K146">
        <v>36</v>
      </c>
      <c r="N146" s="51">
        <v>910</v>
      </c>
      <c r="P146" t="s">
        <v>1009</v>
      </c>
    </row>
    <row r="147" spans="1:17">
      <c r="A147" s="80" t="s">
        <v>969</v>
      </c>
      <c r="B147" s="4">
        <v>11</v>
      </c>
      <c r="C147" s="4">
        <v>0</v>
      </c>
      <c r="D147" s="4">
        <v>65</v>
      </c>
      <c r="E147" s="4">
        <v>1</v>
      </c>
      <c r="F147" s="4">
        <v>50</v>
      </c>
      <c r="G147" s="10">
        <f t="shared" si="37"/>
        <v>11</v>
      </c>
      <c r="H147" s="4">
        <v>50</v>
      </c>
      <c r="I147" s="5">
        <f t="shared" si="42"/>
        <v>715</v>
      </c>
      <c r="J147" s="5">
        <f t="shared" si="43"/>
        <v>665</v>
      </c>
      <c r="K147">
        <v>43</v>
      </c>
      <c r="N147" s="51">
        <v>757</v>
      </c>
    </row>
    <row r="148" spans="1:17">
      <c r="A148" s="80" t="s">
        <v>971</v>
      </c>
      <c r="B148" s="4">
        <v>0</v>
      </c>
      <c r="C148" s="4">
        <v>0</v>
      </c>
      <c r="D148" s="4">
        <v>45</v>
      </c>
      <c r="E148" s="4">
        <v>0</v>
      </c>
      <c r="F148" s="4">
        <v>50</v>
      </c>
      <c r="G148" s="10">
        <f t="shared" si="37"/>
        <v>0</v>
      </c>
      <c r="H148" s="4">
        <v>0</v>
      </c>
      <c r="I148" s="5">
        <f t="shared" si="42"/>
        <v>0</v>
      </c>
      <c r="J148" s="5">
        <f t="shared" si="43"/>
        <v>0</v>
      </c>
      <c r="K148">
        <v>0</v>
      </c>
      <c r="N148" s="51">
        <v>0</v>
      </c>
    </row>
    <row r="149" spans="1:17" ht="19">
      <c r="A149" s="91" t="s">
        <v>880</v>
      </c>
      <c r="B149" s="8">
        <f>SUM(B150:B155)</f>
        <v>47</v>
      </c>
      <c r="C149" s="8">
        <f>SUM(C150:C155)</f>
        <v>148</v>
      </c>
      <c r="D149" s="126">
        <f>SUM(D150)</f>
        <v>65</v>
      </c>
      <c r="E149" s="126">
        <f>SUM(E150:E155)</f>
        <v>6</v>
      </c>
      <c r="F149" s="126">
        <f>SUM(F150:F155)</f>
        <v>300</v>
      </c>
      <c r="G149" s="123">
        <f t="shared" si="37"/>
        <v>49.466666666666669</v>
      </c>
      <c r="H149" s="8">
        <f>SUM(H150:H155)</f>
        <v>300</v>
      </c>
      <c r="I149" s="14">
        <f>SUM(I150:I155)</f>
        <v>3040.3333333333335</v>
      </c>
      <c r="J149" s="14">
        <f>SUM(J150:J155)</f>
        <v>2740.3333333333335</v>
      </c>
      <c r="K149" s="8">
        <f>SUM(K150:K155)</f>
        <v>205</v>
      </c>
      <c r="L149" s="9">
        <v>0</v>
      </c>
      <c r="M149" s="96">
        <f>J149</f>
        <v>2740.3333333333335</v>
      </c>
      <c r="N149" s="102">
        <f>SUM(N150:N155)</f>
        <v>4499</v>
      </c>
      <c r="O149" s="98">
        <f>4770-N149</f>
        <v>271</v>
      </c>
      <c r="P149" s="86"/>
      <c r="Q149" s="86"/>
    </row>
    <row r="150" spans="1:17">
      <c r="A150" s="80" t="s">
        <v>961</v>
      </c>
      <c r="B150" s="4">
        <v>7</v>
      </c>
      <c r="C150" s="4">
        <v>4</v>
      </c>
      <c r="D150" s="4">
        <v>65</v>
      </c>
      <c r="E150" s="4">
        <v>1</v>
      </c>
      <c r="F150" s="4">
        <v>50</v>
      </c>
      <c r="G150" s="10">
        <f t="shared" si="37"/>
        <v>7.0666666666666664</v>
      </c>
      <c r="H150" s="4">
        <v>50</v>
      </c>
      <c r="I150" s="5">
        <f t="shared" ref="I150:I155" si="44">G150*D150</f>
        <v>459.33333333333331</v>
      </c>
      <c r="J150" s="5">
        <f t="shared" ref="J150:J155" si="45">I150-H150</f>
        <v>409.33333333333331</v>
      </c>
      <c r="K150">
        <v>31</v>
      </c>
      <c r="N150" s="51">
        <f>580+205</f>
        <v>785</v>
      </c>
      <c r="O150" s="51"/>
      <c r="P150" t="s">
        <v>1010</v>
      </c>
    </row>
    <row r="151" spans="1:17">
      <c r="A151" s="80" t="s">
        <v>963</v>
      </c>
      <c r="B151" s="4">
        <v>8</v>
      </c>
      <c r="C151" s="4">
        <v>45</v>
      </c>
      <c r="D151" s="4">
        <v>45</v>
      </c>
      <c r="E151" s="4">
        <v>1</v>
      </c>
      <c r="F151" s="4">
        <v>50</v>
      </c>
      <c r="G151" s="10">
        <f t="shared" si="37"/>
        <v>8.75</v>
      </c>
      <c r="H151" s="4">
        <v>50</v>
      </c>
      <c r="I151" s="5">
        <f t="shared" si="44"/>
        <v>393.75</v>
      </c>
      <c r="J151" s="5">
        <f t="shared" si="45"/>
        <v>343.75</v>
      </c>
      <c r="K151">
        <v>26</v>
      </c>
      <c r="N151" s="51">
        <v>540</v>
      </c>
      <c r="P151" t="s">
        <v>1011</v>
      </c>
    </row>
    <row r="152" spans="1:17">
      <c r="A152" s="80" t="s">
        <v>965</v>
      </c>
      <c r="B152" s="4">
        <v>8</v>
      </c>
      <c r="C152" s="4">
        <v>2</v>
      </c>
      <c r="D152" s="4">
        <v>65</v>
      </c>
      <c r="E152" s="4">
        <v>1</v>
      </c>
      <c r="F152" s="4">
        <v>50</v>
      </c>
      <c r="G152" s="10">
        <f t="shared" si="37"/>
        <v>8.0333333333333332</v>
      </c>
      <c r="H152" s="4">
        <v>50</v>
      </c>
      <c r="I152" s="5">
        <f t="shared" si="44"/>
        <v>522.16666666666663</v>
      </c>
      <c r="J152" s="5">
        <f t="shared" si="45"/>
        <v>472.16666666666663</v>
      </c>
      <c r="K152">
        <v>33</v>
      </c>
      <c r="N152" s="51">
        <v>761</v>
      </c>
      <c r="P152" t="s">
        <v>852</v>
      </c>
    </row>
    <row r="153" spans="1:17">
      <c r="A153" s="80" t="s">
        <v>967</v>
      </c>
      <c r="B153" s="4">
        <v>8</v>
      </c>
      <c r="C153" s="4">
        <v>43</v>
      </c>
      <c r="D153" s="4">
        <v>65</v>
      </c>
      <c r="E153" s="4">
        <v>1</v>
      </c>
      <c r="F153" s="4">
        <v>50</v>
      </c>
      <c r="G153" s="10">
        <f t="shared" si="37"/>
        <v>8.7166666666666668</v>
      </c>
      <c r="H153" s="4">
        <v>50</v>
      </c>
      <c r="I153" s="5">
        <f t="shared" si="44"/>
        <v>566.58333333333337</v>
      </c>
      <c r="J153" s="5">
        <f t="shared" si="45"/>
        <v>516.58333333333337</v>
      </c>
      <c r="K153">
        <v>40</v>
      </c>
      <c r="N153" s="51">
        <v>954</v>
      </c>
      <c r="P153" t="s">
        <v>1012</v>
      </c>
    </row>
    <row r="154" spans="1:17">
      <c r="A154" s="80" t="s">
        <v>969</v>
      </c>
      <c r="B154" s="4">
        <v>9</v>
      </c>
      <c r="C154" s="4">
        <v>34</v>
      </c>
      <c r="D154" s="4">
        <v>65</v>
      </c>
      <c r="E154" s="4">
        <v>1</v>
      </c>
      <c r="F154" s="4">
        <v>50</v>
      </c>
      <c r="G154" s="10">
        <f t="shared" ref="G154:G186" si="46">B154+C154/60</f>
        <v>9.5666666666666664</v>
      </c>
      <c r="H154" s="4">
        <v>50</v>
      </c>
      <c r="I154" s="5">
        <f t="shared" si="44"/>
        <v>621.83333333333337</v>
      </c>
      <c r="J154" s="5">
        <f t="shared" si="45"/>
        <v>571.83333333333337</v>
      </c>
      <c r="K154">
        <v>43</v>
      </c>
      <c r="N154" s="51">
        <v>725</v>
      </c>
      <c r="P154" t="s">
        <v>1013</v>
      </c>
    </row>
    <row r="155" spans="1:17">
      <c r="A155" s="80" t="s">
        <v>971</v>
      </c>
      <c r="B155" s="4">
        <v>7</v>
      </c>
      <c r="C155" s="4">
        <v>20</v>
      </c>
      <c r="D155" s="4">
        <v>65</v>
      </c>
      <c r="E155" s="4">
        <v>1</v>
      </c>
      <c r="F155" s="4">
        <v>50</v>
      </c>
      <c r="G155" s="10">
        <f t="shared" si="46"/>
        <v>7.333333333333333</v>
      </c>
      <c r="H155" s="4">
        <v>50</v>
      </c>
      <c r="I155" s="5">
        <f t="shared" si="44"/>
        <v>476.66666666666663</v>
      </c>
      <c r="J155" s="5">
        <f t="shared" si="45"/>
        <v>426.66666666666663</v>
      </c>
      <c r="K155">
        <v>32</v>
      </c>
      <c r="N155" s="51">
        <v>734</v>
      </c>
      <c r="P155" t="s">
        <v>1014</v>
      </c>
    </row>
    <row r="156" spans="1:17" ht="19">
      <c r="A156" s="91" t="s">
        <v>894</v>
      </c>
      <c r="B156" s="8">
        <f>SUM(B157:B162)</f>
        <v>32</v>
      </c>
      <c r="C156" s="8">
        <f>SUM(C157:C162)</f>
        <v>47</v>
      </c>
      <c r="D156" s="8">
        <f>SUM(D157)</f>
        <v>45</v>
      </c>
      <c r="E156" s="8">
        <f>SUM(E157:E162)</f>
        <v>3</v>
      </c>
      <c r="F156" s="8">
        <f>SUM(F157:F162)</f>
        <v>300</v>
      </c>
      <c r="G156" s="93">
        <f t="shared" si="46"/>
        <v>32.783333333333331</v>
      </c>
      <c r="H156" s="8">
        <f>SUM(H157:H162)</f>
        <v>150</v>
      </c>
      <c r="I156" s="9">
        <f>SUM(I157:I162)</f>
        <v>1913.0833333333335</v>
      </c>
      <c r="J156" s="14">
        <f>SUM(J157:J162)</f>
        <v>1763.0833333333335</v>
      </c>
      <c r="K156" s="8">
        <f>SUM(K157:K162)</f>
        <v>104</v>
      </c>
      <c r="L156" s="9">
        <v>0</v>
      </c>
      <c r="M156" s="96">
        <f>J156</f>
        <v>1763.0833333333335</v>
      </c>
      <c r="N156" s="102">
        <f>SUM(N157:N163)</f>
        <v>1910</v>
      </c>
      <c r="O156" s="98">
        <f>2168-N156</f>
        <v>258</v>
      </c>
      <c r="P156" s="86"/>
      <c r="Q156" s="86"/>
    </row>
    <row r="157" spans="1:17">
      <c r="A157" s="80" t="s">
        <v>961</v>
      </c>
      <c r="B157" s="4">
        <v>0</v>
      </c>
      <c r="C157" s="4">
        <v>0</v>
      </c>
      <c r="D157" s="4">
        <v>45</v>
      </c>
      <c r="E157" s="4">
        <v>0</v>
      </c>
      <c r="F157" s="4">
        <v>50</v>
      </c>
      <c r="G157" s="10">
        <f t="shared" si="46"/>
        <v>0</v>
      </c>
      <c r="H157" s="4">
        <v>0</v>
      </c>
      <c r="I157" s="5">
        <f t="shared" ref="I157:I163" si="47">G157*D157</f>
        <v>0</v>
      </c>
      <c r="J157" s="5">
        <f t="shared" ref="J157:J163" si="48">I157-H157</f>
        <v>0</v>
      </c>
      <c r="K157">
        <v>0</v>
      </c>
      <c r="N157" s="51">
        <v>0</v>
      </c>
      <c r="O157" s="51"/>
    </row>
    <row r="158" spans="1:17">
      <c r="A158" s="80" t="s">
        <v>963</v>
      </c>
      <c r="B158" s="4">
        <v>0</v>
      </c>
      <c r="C158" s="4">
        <v>0</v>
      </c>
      <c r="D158" s="4">
        <v>55</v>
      </c>
      <c r="E158" s="4">
        <v>0</v>
      </c>
      <c r="F158" s="4">
        <v>50</v>
      </c>
      <c r="G158" s="10">
        <f t="shared" si="46"/>
        <v>0</v>
      </c>
      <c r="H158" s="4">
        <v>0</v>
      </c>
      <c r="I158" s="5">
        <f t="shared" si="47"/>
        <v>0</v>
      </c>
      <c r="J158" s="5">
        <f t="shared" si="48"/>
        <v>0</v>
      </c>
      <c r="K158">
        <v>0</v>
      </c>
      <c r="N158" s="51">
        <v>0</v>
      </c>
    </row>
    <row r="159" spans="1:17">
      <c r="A159" s="80" t="s">
        <v>965</v>
      </c>
      <c r="B159" s="4">
        <v>0</v>
      </c>
      <c r="C159" s="4">
        <v>0</v>
      </c>
      <c r="D159" s="4">
        <v>45</v>
      </c>
      <c r="E159" s="4">
        <v>0</v>
      </c>
      <c r="F159" s="4">
        <v>50</v>
      </c>
      <c r="G159" s="10">
        <f t="shared" si="46"/>
        <v>0</v>
      </c>
      <c r="H159" s="4">
        <v>0</v>
      </c>
      <c r="I159" s="5">
        <f t="shared" si="47"/>
        <v>0</v>
      </c>
      <c r="J159" s="5">
        <f t="shared" si="48"/>
        <v>0</v>
      </c>
      <c r="K159">
        <v>0</v>
      </c>
      <c r="N159" s="83">
        <v>0</v>
      </c>
      <c r="Q159" t="s">
        <v>64</v>
      </c>
    </row>
    <row r="160" spans="1:17">
      <c r="A160" s="80" t="s">
        <v>967</v>
      </c>
      <c r="B160" s="4">
        <v>11</v>
      </c>
      <c r="C160" s="4">
        <v>0</v>
      </c>
      <c r="D160" s="4">
        <v>65</v>
      </c>
      <c r="E160" s="4">
        <v>1</v>
      </c>
      <c r="F160" s="4">
        <v>50</v>
      </c>
      <c r="G160" s="10">
        <f t="shared" si="46"/>
        <v>11</v>
      </c>
      <c r="H160" s="4">
        <v>50</v>
      </c>
      <c r="I160" s="5">
        <f t="shared" si="47"/>
        <v>715</v>
      </c>
      <c r="J160" s="5">
        <f t="shared" si="48"/>
        <v>665</v>
      </c>
      <c r="K160">
        <v>44</v>
      </c>
      <c r="N160" s="51">
        <v>874</v>
      </c>
    </row>
    <row r="161" spans="1:17">
      <c r="A161" s="80" t="s">
        <v>969</v>
      </c>
      <c r="B161" s="4">
        <v>11</v>
      </c>
      <c r="C161" s="4">
        <v>0</v>
      </c>
      <c r="D161" s="4">
        <v>55</v>
      </c>
      <c r="E161" s="4">
        <v>1</v>
      </c>
      <c r="F161" s="4">
        <v>50</v>
      </c>
      <c r="G161" s="10">
        <f t="shared" si="46"/>
        <v>11</v>
      </c>
      <c r="H161" s="4">
        <v>50</v>
      </c>
      <c r="I161" s="5">
        <f t="shared" si="47"/>
        <v>605</v>
      </c>
      <c r="J161" s="5">
        <f t="shared" si="48"/>
        <v>555</v>
      </c>
      <c r="K161">
        <v>31</v>
      </c>
      <c r="N161" s="51">
        <v>390</v>
      </c>
    </row>
    <row r="162" spans="1:17">
      <c r="A162" s="80" t="s">
        <v>971</v>
      </c>
      <c r="B162" s="4">
        <v>10</v>
      </c>
      <c r="C162" s="4">
        <v>47</v>
      </c>
      <c r="D162" s="4">
        <v>55</v>
      </c>
      <c r="E162" s="4">
        <v>1</v>
      </c>
      <c r="F162" s="4">
        <v>50</v>
      </c>
      <c r="G162" s="10">
        <f t="shared" si="46"/>
        <v>10.783333333333333</v>
      </c>
      <c r="H162" s="4">
        <v>50</v>
      </c>
      <c r="I162" s="5">
        <f t="shared" si="47"/>
        <v>593.08333333333337</v>
      </c>
      <c r="J162" s="5">
        <f t="shared" si="48"/>
        <v>543.08333333333337</v>
      </c>
      <c r="K162">
        <v>29</v>
      </c>
      <c r="N162" s="51">
        <v>646</v>
      </c>
    </row>
    <row r="163" spans="1:17">
      <c r="A163" s="6">
        <v>46145</v>
      </c>
      <c r="B163" s="4">
        <v>0</v>
      </c>
      <c r="C163" s="4">
        <v>0</v>
      </c>
      <c r="D163" s="4">
        <v>45</v>
      </c>
      <c r="E163" s="4">
        <v>0</v>
      </c>
      <c r="F163" s="4">
        <v>50</v>
      </c>
      <c r="G163" s="10">
        <f t="shared" si="46"/>
        <v>0</v>
      </c>
      <c r="H163" s="4">
        <v>0</v>
      </c>
      <c r="I163" s="5">
        <f t="shared" si="47"/>
        <v>0</v>
      </c>
      <c r="J163" s="5">
        <f t="shared" si="48"/>
        <v>0</v>
      </c>
      <c r="K163">
        <v>0</v>
      </c>
      <c r="N163" s="51">
        <v>0</v>
      </c>
    </row>
    <row r="164" spans="1:17" ht="19">
      <c r="A164" s="91" t="s">
        <v>889</v>
      </c>
      <c r="B164" s="8">
        <f>SUM(B165:B170)</f>
        <v>31</v>
      </c>
      <c r="C164" s="8">
        <f>SUM(C165:C170)</f>
        <v>145</v>
      </c>
      <c r="D164" s="126">
        <f>SUM(D165)</f>
        <v>45</v>
      </c>
      <c r="E164" s="126">
        <f>SUM(E165:E170)</f>
        <v>5</v>
      </c>
      <c r="F164" s="126">
        <f>SUM(F165:F170)</f>
        <v>300</v>
      </c>
      <c r="G164" s="123">
        <f t="shared" si="46"/>
        <v>33.416666666666664</v>
      </c>
      <c r="H164" s="8">
        <f>SUM(H165:H170)</f>
        <v>250</v>
      </c>
      <c r="I164" s="14">
        <f>SUM(I165:I170)</f>
        <v>1748.0833333333335</v>
      </c>
      <c r="J164" s="14">
        <f>SUM(J165:J170)</f>
        <v>1498.0833333333335</v>
      </c>
      <c r="K164" s="8">
        <f>SUM(K165:K170)</f>
        <v>127</v>
      </c>
      <c r="L164" s="9">
        <v>0</v>
      </c>
      <c r="M164" s="96">
        <f>J164</f>
        <v>1498.0833333333335</v>
      </c>
      <c r="N164" s="102">
        <f>SUM(N166:N170)</f>
        <v>2510</v>
      </c>
      <c r="O164" s="98">
        <f>2916-N164</f>
        <v>406</v>
      </c>
      <c r="P164" s="86"/>
      <c r="Q164" s="86"/>
    </row>
    <row r="165" spans="1:17">
      <c r="A165" s="80" t="s">
        <v>961</v>
      </c>
      <c r="B165" s="4">
        <v>0</v>
      </c>
      <c r="C165" s="4">
        <v>0</v>
      </c>
      <c r="D165" s="4">
        <v>45</v>
      </c>
      <c r="E165" s="4">
        <v>0</v>
      </c>
      <c r="F165" s="4">
        <v>50</v>
      </c>
      <c r="G165" s="10">
        <f t="shared" si="46"/>
        <v>0</v>
      </c>
      <c r="H165" s="4">
        <v>0</v>
      </c>
      <c r="I165" s="5">
        <f>G165*D165</f>
        <v>0</v>
      </c>
      <c r="J165" s="5">
        <f>I165-H165</f>
        <v>0</v>
      </c>
      <c r="K165">
        <v>0</v>
      </c>
      <c r="N165" s="51">
        <v>406</v>
      </c>
      <c r="O165" s="51"/>
      <c r="P165" t="s">
        <v>1015</v>
      </c>
    </row>
    <row r="166" spans="1:17">
      <c r="A166" s="80" t="s">
        <v>963</v>
      </c>
      <c r="B166" s="4">
        <v>8</v>
      </c>
      <c r="C166" s="4">
        <v>20</v>
      </c>
      <c r="D166" s="4">
        <v>65</v>
      </c>
      <c r="E166" s="4">
        <v>1</v>
      </c>
      <c r="F166" s="4">
        <v>50</v>
      </c>
      <c r="G166" s="10">
        <f t="shared" si="46"/>
        <v>8.3333333333333339</v>
      </c>
      <c r="H166" s="4">
        <v>50</v>
      </c>
      <c r="I166" s="5">
        <f>G166*D166</f>
        <v>541.66666666666674</v>
      </c>
      <c r="J166" s="5">
        <f>I166-H166</f>
        <v>491.66666666666674</v>
      </c>
      <c r="K166">
        <v>34</v>
      </c>
      <c r="N166" s="83">
        <v>705</v>
      </c>
      <c r="P166" t="s">
        <v>1016</v>
      </c>
    </row>
    <row r="167" spans="1:17">
      <c r="A167" s="80" t="s">
        <v>965</v>
      </c>
      <c r="B167" s="4">
        <v>4</v>
      </c>
      <c r="C167" s="4">
        <v>52</v>
      </c>
      <c r="D167" s="4">
        <v>45</v>
      </c>
      <c r="E167" s="4">
        <v>1</v>
      </c>
      <c r="F167" s="4">
        <v>50</v>
      </c>
      <c r="G167" s="10">
        <f t="shared" si="46"/>
        <v>4.8666666666666671</v>
      </c>
      <c r="H167" s="4">
        <v>50</v>
      </c>
      <c r="I167" s="5">
        <f t="shared" ref="I167:I169" si="49">G167*D167</f>
        <v>219.00000000000003</v>
      </c>
      <c r="J167" s="5">
        <f t="shared" ref="J167:J170" si="50">I167-H167</f>
        <v>169.00000000000003</v>
      </c>
      <c r="K167">
        <v>14</v>
      </c>
      <c r="N167" s="83">
        <v>210</v>
      </c>
      <c r="P167" s="128" t="s">
        <v>1017</v>
      </c>
    </row>
    <row r="168" spans="1:17">
      <c r="A168" s="80" t="s">
        <v>967</v>
      </c>
      <c r="B168" s="4">
        <v>7</v>
      </c>
      <c r="C168" s="4">
        <v>46</v>
      </c>
      <c r="D168" s="4">
        <v>55</v>
      </c>
      <c r="E168" s="4">
        <v>1</v>
      </c>
      <c r="F168" s="4">
        <v>50</v>
      </c>
      <c r="G168" s="10">
        <f t="shared" si="46"/>
        <v>7.7666666666666666</v>
      </c>
      <c r="H168" s="4">
        <v>50</v>
      </c>
      <c r="I168" s="5">
        <f t="shared" si="49"/>
        <v>427.16666666666669</v>
      </c>
      <c r="J168" s="5">
        <f t="shared" si="50"/>
        <v>377.16666666666669</v>
      </c>
      <c r="K168">
        <v>30</v>
      </c>
      <c r="N168" s="83">
        <v>419</v>
      </c>
      <c r="P168" t="s">
        <v>1018</v>
      </c>
    </row>
    <row r="169" spans="1:17">
      <c r="A169" s="80" t="s">
        <v>969</v>
      </c>
      <c r="B169" s="4">
        <v>6</v>
      </c>
      <c r="C169" s="4">
        <v>8</v>
      </c>
      <c r="D169" s="4">
        <v>45</v>
      </c>
      <c r="E169" s="4">
        <v>1</v>
      </c>
      <c r="F169" s="4">
        <v>50</v>
      </c>
      <c r="G169" s="10">
        <f t="shared" si="46"/>
        <v>6.1333333333333337</v>
      </c>
      <c r="H169" s="4">
        <v>50</v>
      </c>
      <c r="I169" s="5">
        <f t="shared" si="49"/>
        <v>276</v>
      </c>
      <c r="J169" s="5">
        <f t="shared" si="50"/>
        <v>226</v>
      </c>
      <c r="K169">
        <v>24</v>
      </c>
      <c r="N169" s="51">
        <f>330+200</f>
        <v>530</v>
      </c>
      <c r="P169" t="s">
        <v>1019</v>
      </c>
    </row>
    <row r="170" spans="1:17" ht="16" thickBot="1">
      <c r="A170" s="80" t="s">
        <v>971</v>
      </c>
      <c r="B170" s="4">
        <v>6</v>
      </c>
      <c r="C170" s="4">
        <v>19</v>
      </c>
      <c r="D170" s="4">
        <v>45</v>
      </c>
      <c r="E170" s="4">
        <v>1</v>
      </c>
      <c r="F170" s="4">
        <v>50</v>
      </c>
      <c r="G170" s="10">
        <f t="shared" si="46"/>
        <v>6.3166666666666664</v>
      </c>
      <c r="H170" s="4">
        <v>50</v>
      </c>
      <c r="I170" s="5">
        <f>G170*D170</f>
        <v>284.25</v>
      </c>
      <c r="J170" s="5">
        <f t="shared" si="50"/>
        <v>234.25</v>
      </c>
      <c r="K170">
        <v>25</v>
      </c>
      <c r="N170" s="51">
        <v>646</v>
      </c>
      <c r="P170" t="s">
        <v>1020</v>
      </c>
    </row>
    <row r="171" spans="1:17" ht="20" thickBot="1">
      <c r="A171" s="91" t="s">
        <v>1021</v>
      </c>
      <c r="B171" s="8">
        <f>SUM(B172:B178)</f>
        <v>44</v>
      </c>
      <c r="C171" s="8">
        <f>SUM(C172:C178)</f>
        <v>222</v>
      </c>
      <c r="D171" s="126">
        <f>SUM(D172)</f>
        <v>45</v>
      </c>
      <c r="E171" s="126">
        <f>SUM(E172:E178)</f>
        <v>6</v>
      </c>
      <c r="F171" s="126">
        <f>SUM(F172:F177)</f>
        <v>300</v>
      </c>
      <c r="G171" s="123">
        <f t="shared" si="46"/>
        <v>47.7</v>
      </c>
      <c r="H171" s="8">
        <f>SUM(H172:H178)</f>
        <v>300</v>
      </c>
      <c r="I171" s="14">
        <f>SUM(I172:I178)</f>
        <v>2245.5</v>
      </c>
      <c r="J171" s="14">
        <f>SUM(J172:J178)</f>
        <v>1945.5</v>
      </c>
      <c r="K171" s="8">
        <f>SUM(K172:K178)</f>
        <v>132</v>
      </c>
      <c r="L171" s="9">
        <v>0</v>
      </c>
      <c r="M171" s="96">
        <f>J171</f>
        <v>1945.5</v>
      </c>
      <c r="N171" s="102">
        <f>SUM(N172:N178)</f>
        <v>1612</v>
      </c>
      <c r="O171" s="98">
        <f>1535-N171</f>
        <v>-77</v>
      </c>
      <c r="P171" s="86"/>
      <c r="Q171" s="86"/>
    </row>
    <row r="172" spans="1:17">
      <c r="A172" s="80" t="s">
        <v>961</v>
      </c>
      <c r="B172" s="4">
        <v>7</v>
      </c>
      <c r="C172" s="4">
        <v>48</v>
      </c>
      <c r="D172" s="4">
        <v>45</v>
      </c>
      <c r="E172" s="4">
        <v>1</v>
      </c>
      <c r="F172" s="4">
        <v>50</v>
      </c>
      <c r="G172" s="10">
        <f t="shared" si="46"/>
        <v>7.8</v>
      </c>
      <c r="H172" s="4">
        <v>50</v>
      </c>
      <c r="I172" s="5">
        <f t="shared" ref="I172:I178" si="51">G172*D172</f>
        <v>351</v>
      </c>
      <c r="J172" s="5">
        <f t="shared" ref="J172:J178" si="52">I172-H172</f>
        <v>301</v>
      </c>
      <c r="K172">
        <v>20</v>
      </c>
      <c r="N172" s="51">
        <f>572+20</f>
        <v>592</v>
      </c>
      <c r="O172" s="51" t="s">
        <v>1022</v>
      </c>
      <c r="P172" t="s">
        <v>1023</v>
      </c>
    </row>
    <row r="173" spans="1:17">
      <c r="A173" s="80" t="s">
        <v>963</v>
      </c>
      <c r="B173" s="4">
        <v>7</v>
      </c>
      <c r="C173" s="4">
        <v>46</v>
      </c>
      <c r="D173" s="4">
        <v>45</v>
      </c>
      <c r="E173" s="4">
        <v>1</v>
      </c>
      <c r="F173" s="4">
        <v>50</v>
      </c>
      <c r="G173" s="10">
        <f t="shared" si="46"/>
        <v>7.7666666666666666</v>
      </c>
      <c r="H173" s="4">
        <v>50</v>
      </c>
      <c r="I173" s="5">
        <f t="shared" si="51"/>
        <v>349.5</v>
      </c>
      <c r="J173" s="5">
        <f t="shared" si="52"/>
        <v>299.5</v>
      </c>
      <c r="K173">
        <v>25</v>
      </c>
      <c r="N173" s="51">
        <v>202</v>
      </c>
      <c r="O173" t="s">
        <v>1024</v>
      </c>
    </row>
    <row r="174" spans="1:17">
      <c r="A174" s="80" t="s">
        <v>965</v>
      </c>
      <c r="B174" s="4">
        <v>8</v>
      </c>
      <c r="C174" s="4">
        <v>35</v>
      </c>
      <c r="D174" s="4">
        <v>45</v>
      </c>
      <c r="E174" s="4">
        <v>1</v>
      </c>
      <c r="F174" s="4">
        <v>50</v>
      </c>
      <c r="G174" s="10">
        <f>B174+C174/60</f>
        <v>8.5833333333333339</v>
      </c>
      <c r="H174" s="4">
        <v>50</v>
      </c>
      <c r="I174" s="5">
        <f t="shared" si="51"/>
        <v>386.25</v>
      </c>
      <c r="J174" s="5">
        <f t="shared" si="52"/>
        <v>336.25</v>
      </c>
      <c r="K174">
        <v>19</v>
      </c>
      <c r="N174" s="51">
        <v>90</v>
      </c>
      <c r="P174" t="s">
        <v>1025</v>
      </c>
    </row>
    <row r="175" spans="1:17">
      <c r="A175" s="80" t="s">
        <v>967</v>
      </c>
      <c r="B175" s="4">
        <v>6</v>
      </c>
      <c r="C175" s="4">
        <v>8</v>
      </c>
      <c r="D175" s="4">
        <v>45</v>
      </c>
      <c r="E175" s="4">
        <v>1</v>
      </c>
      <c r="F175" s="4">
        <v>50</v>
      </c>
      <c r="G175" s="10">
        <f t="shared" si="46"/>
        <v>6.1333333333333337</v>
      </c>
      <c r="H175" s="4">
        <v>50</v>
      </c>
      <c r="I175" s="5">
        <f t="shared" si="51"/>
        <v>276</v>
      </c>
      <c r="J175" s="5">
        <f t="shared" si="52"/>
        <v>226</v>
      </c>
      <c r="K175">
        <v>17</v>
      </c>
      <c r="N175" s="51">
        <v>0</v>
      </c>
      <c r="P175" t="s">
        <v>1026</v>
      </c>
    </row>
    <row r="176" spans="1:17">
      <c r="A176" s="80" t="s">
        <v>969</v>
      </c>
      <c r="B176" s="4">
        <v>0</v>
      </c>
      <c r="C176" s="4">
        <v>0</v>
      </c>
      <c r="D176" s="4">
        <v>45</v>
      </c>
      <c r="E176" s="4">
        <v>0</v>
      </c>
      <c r="F176" s="4">
        <v>50</v>
      </c>
      <c r="G176" s="10">
        <f t="shared" si="46"/>
        <v>0</v>
      </c>
      <c r="H176" s="4">
        <v>0</v>
      </c>
      <c r="I176" s="5">
        <f t="shared" si="51"/>
        <v>0</v>
      </c>
      <c r="J176" s="5">
        <f t="shared" si="52"/>
        <v>0</v>
      </c>
      <c r="K176">
        <v>0</v>
      </c>
      <c r="N176" s="51">
        <v>0</v>
      </c>
    </row>
    <row r="177" spans="1:17">
      <c r="A177" s="80" t="s">
        <v>971</v>
      </c>
      <c r="B177" s="4">
        <v>9</v>
      </c>
      <c r="C177" s="4">
        <v>54</v>
      </c>
      <c r="D177" s="4">
        <v>55</v>
      </c>
      <c r="E177" s="4">
        <v>1</v>
      </c>
      <c r="F177" s="4">
        <v>50</v>
      </c>
      <c r="G177" s="10">
        <f t="shared" si="46"/>
        <v>9.9</v>
      </c>
      <c r="H177" s="4">
        <v>50</v>
      </c>
      <c r="I177" s="5">
        <f t="shared" si="51"/>
        <v>544.5</v>
      </c>
      <c r="J177" s="5">
        <f t="shared" si="52"/>
        <v>494.5</v>
      </c>
      <c r="K177">
        <v>28</v>
      </c>
      <c r="N177" s="51">
        <v>190</v>
      </c>
      <c r="P177" t="s">
        <v>1027</v>
      </c>
    </row>
    <row r="178" spans="1:17">
      <c r="A178" s="80" t="s">
        <v>973</v>
      </c>
      <c r="B178" s="4">
        <v>7</v>
      </c>
      <c r="C178" s="4">
        <v>31</v>
      </c>
      <c r="D178" s="4">
        <v>45</v>
      </c>
      <c r="E178" s="4">
        <v>1</v>
      </c>
      <c r="F178" s="4">
        <v>50</v>
      </c>
      <c r="G178" s="10">
        <f t="shared" si="46"/>
        <v>7.5166666666666666</v>
      </c>
      <c r="H178" s="4">
        <v>50</v>
      </c>
      <c r="I178" s="5">
        <f t="shared" si="51"/>
        <v>338.25</v>
      </c>
      <c r="J178" s="5">
        <f t="shared" si="52"/>
        <v>288.25</v>
      </c>
      <c r="K178">
        <v>23</v>
      </c>
      <c r="N178" s="51">
        <v>538</v>
      </c>
      <c r="P178" t="s">
        <v>1028</v>
      </c>
    </row>
    <row r="179" spans="1:17" ht="19">
      <c r="A179" s="91" t="s">
        <v>895</v>
      </c>
      <c r="B179" s="8">
        <f>SUM(B180:B186)</f>
        <v>60</v>
      </c>
      <c r="C179" s="8">
        <f>SUM(C180:C186)</f>
        <v>280</v>
      </c>
      <c r="D179" s="8">
        <f>SUM(D180)</f>
        <v>65</v>
      </c>
      <c r="E179" s="8">
        <f>SUM(E180:E186)</f>
        <v>7</v>
      </c>
      <c r="F179" s="8">
        <f>SUM(F180:F186)</f>
        <v>350</v>
      </c>
      <c r="G179" s="93">
        <f t="shared" si="46"/>
        <v>64.666666666666671</v>
      </c>
      <c r="H179" s="8">
        <f>SUM(H180:H186)</f>
        <v>350</v>
      </c>
      <c r="I179" s="9">
        <f>SUM(I180:I186)</f>
        <v>4028.666666666667</v>
      </c>
      <c r="J179" s="9">
        <f>SUM(J180:J186)</f>
        <v>3678.666666666667</v>
      </c>
      <c r="K179" s="8">
        <f>SUM(K180:K186)</f>
        <v>245</v>
      </c>
      <c r="L179" s="9">
        <v>0</v>
      </c>
      <c r="M179" s="96">
        <f>J179+L179</f>
        <v>3678.666666666667</v>
      </c>
      <c r="N179" s="99">
        <f>SUM(N180:N186)</f>
        <v>5788.5</v>
      </c>
      <c r="O179" s="98">
        <f>5808-N179</f>
        <v>19.5</v>
      </c>
      <c r="P179" s="86"/>
      <c r="Q179" s="86"/>
    </row>
    <row r="180" spans="1:17">
      <c r="A180" s="80" t="s">
        <v>961</v>
      </c>
      <c r="B180" s="4">
        <v>9</v>
      </c>
      <c r="C180" s="4">
        <v>50</v>
      </c>
      <c r="D180" s="4">
        <v>65</v>
      </c>
      <c r="E180" s="4">
        <v>1</v>
      </c>
      <c r="F180" s="4">
        <v>50</v>
      </c>
      <c r="G180" s="10">
        <f t="shared" si="46"/>
        <v>9.8333333333333339</v>
      </c>
      <c r="H180" s="4">
        <v>50</v>
      </c>
      <c r="I180" s="5">
        <f t="shared" ref="I180:I186" si="53">G180*D180</f>
        <v>639.16666666666674</v>
      </c>
      <c r="J180" s="5">
        <f t="shared" ref="J180:J186" si="54">I180-H180</f>
        <v>589.16666666666674</v>
      </c>
      <c r="K180">
        <v>41</v>
      </c>
      <c r="N180" s="51">
        <v>865</v>
      </c>
      <c r="P180" t="s">
        <v>1029</v>
      </c>
    </row>
    <row r="181" spans="1:17">
      <c r="A181" s="80" t="s">
        <v>963</v>
      </c>
      <c r="B181" s="4">
        <v>9</v>
      </c>
      <c r="C181" s="4">
        <v>24</v>
      </c>
      <c r="D181" s="4">
        <v>65</v>
      </c>
      <c r="E181" s="4">
        <v>1</v>
      </c>
      <c r="F181" s="4">
        <v>50</v>
      </c>
      <c r="G181" s="10">
        <f t="shared" si="46"/>
        <v>9.4</v>
      </c>
      <c r="H181" s="4">
        <v>50</v>
      </c>
      <c r="I181" s="5">
        <f t="shared" si="53"/>
        <v>611</v>
      </c>
      <c r="J181" s="5">
        <f t="shared" si="54"/>
        <v>561</v>
      </c>
      <c r="K181">
        <v>35</v>
      </c>
      <c r="N181" s="51">
        <v>617</v>
      </c>
      <c r="P181" t="s">
        <v>881</v>
      </c>
    </row>
    <row r="182" spans="1:17">
      <c r="A182" s="80" t="s">
        <v>965</v>
      </c>
      <c r="B182" s="4">
        <v>9</v>
      </c>
      <c r="C182" s="4">
        <v>20</v>
      </c>
      <c r="D182" s="4">
        <v>65</v>
      </c>
      <c r="E182" s="4">
        <v>1</v>
      </c>
      <c r="F182" s="4">
        <v>50</v>
      </c>
      <c r="G182" s="10">
        <f t="shared" si="46"/>
        <v>9.3333333333333339</v>
      </c>
      <c r="H182" s="4">
        <v>50</v>
      </c>
      <c r="I182" s="5">
        <f t="shared" si="53"/>
        <v>606.66666666666674</v>
      </c>
      <c r="J182" s="5">
        <f t="shared" si="54"/>
        <v>556.66666666666674</v>
      </c>
      <c r="K182">
        <v>38</v>
      </c>
      <c r="N182" s="51">
        <v>812</v>
      </c>
      <c r="P182" t="s">
        <v>1030</v>
      </c>
    </row>
    <row r="183" spans="1:17">
      <c r="A183" s="80" t="s">
        <v>967</v>
      </c>
      <c r="B183" s="4">
        <v>9</v>
      </c>
      <c r="C183" s="4">
        <v>55</v>
      </c>
      <c r="D183" s="4">
        <v>65</v>
      </c>
      <c r="E183" s="4">
        <v>1</v>
      </c>
      <c r="F183" s="4">
        <v>50</v>
      </c>
      <c r="G183" s="10">
        <f t="shared" si="46"/>
        <v>9.9166666666666661</v>
      </c>
      <c r="H183" s="4">
        <v>50</v>
      </c>
      <c r="I183" s="5">
        <f t="shared" si="53"/>
        <v>644.58333333333326</v>
      </c>
      <c r="J183" s="5">
        <f t="shared" si="54"/>
        <v>594.58333333333326</v>
      </c>
      <c r="K183">
        <v>35</v>
      </c>
      <c r="N183" s="51">
        <v>649</v>
      </c>
      <c r="P183" t="s">
        <v>1031</v>
      </c>
    </row>
    <row r="184" spans="1:17">
      <c r="A184" s="80" t="s">
        <v>969</v>
      </c>
      <c r="B184" s="4">
        <v>8</v>
      </c>
      <c r="C184" s="4">
        <v>43</v>
      </c>
      <c r="D184" s="4">
        <v>65</v>
      </c>
      <c r="E184" s="4">
        <v>1</v>
      </c>
      <c r="F184" s="7">
        <v>50</v>
      </c>
      <c r="G184" s="10">
        <f t="shared" si="46"/>
        <v>8.7166666666666668</v>
      </c>
      <c r="H184" s="4">
        <v>50</v>
      </c>
      <c r="I184" s="5">
        <f t="shared" si="53"/>
        <v>566.58333333333337</v>
      </c>
      <c r="J184" s="5">
        <f t="shared" si="54"/>
        <v>516.58333333333337</v>
      </c>
      <c r="K184">
        <v>37</v>
      </c>
      <c r="N184" s="51">
        <f>1028.5+150</f>
        <v>1178.5</v>
      </c>
      <c r="P184" t="s">
        <v>1032</v>
      </c>
    </row>
    <row r="185" spans="1:17">
      <c r="A185" s="80" t="s">
        <v>971</v>
      </c>
      <c r="B185" s="4">
        <v>9</v>
      </c>
      <c r="C185" s="4">
        <v>37</v>
      </c>
      <c r="D185" s="4">
        <v>55</v>
      </c>
      <c r="E185" s="4">
        <v>1</v>
      </c>
      <c r="F185" s="4">
        <v>50</v>
      </c>
      <c r="G185" s="10">
        <f t="shared" si="46"/>
        <v>9.6166666666666671</v>
      </c>
      <c r="H185" s="4">
        <v>50</v>
      </c>
      <c r="I185" s="5">
        <f t="shared" si="53"/>
        <v>528.91666666666674</v>
      </c>
      <c r="J185" s="5">
        <f t="shared" si="54"/>
        <v>478.91666666666674</v>
      </c>
      <c r="K185">
        <v>29</v>
      </c>
      <c r="N185" s="51">
        <v>688</v>
      </c>
      <c r="P185" t="s">
        <v>1033</v>
      </c>
    </row>
    <row r="186" spans="1:17">
      <c r="A186" s="80" t="s">
        <v>973</v>
      </c>
      <c r="B186" s="4">
        <v>7</v>
      </c>
      <c r="C186" s="4">
        <v>51</v>
      </c>
      <c r="D186" s="7">
        <v>55</v>
      </c>
      <c r="E186" s="7">
        <v>1</v>
      </c>
      <c r="F186" s="7">
        <v>50</v>
      </c>
      <c r="G186" s="10">
        <f t="shared" si="46"/>
        <v>7.85</v>
      </c>
      <c r="H186" s="4">
        <v>50</v>
      </c>
      <c r="I186" s="5">
        <f t="shared" si="53"/>
        <v>431.75</v>
      </c>
      <c r="J186" s="5">
        <f t="shared" si="54"/>
        <v>381.75</v>
      </c>
      <c r="K186">
        <v>30</v>
      </c>
      <c r="N186" s="51">
        <v>979</v>
      </c>
      <c r="P186" t="s">
        <v>1034</v>
      </c>
    </row>
    <row r="187" spans="1:17" ht="19">
      <c r="A187" s="91" t="s">
        <v>533</v>
      </c>
      <c r="B187" s="8">
        <f>SUM(B188:B194)</f>
        <v>72</v>
      </c>
      <c r="C187" s="8">
        <f>SUM(C188:C194)</f>
        <v>115</v>
      </c>
      <c r="D187" s="126">
        <f>SUM(D188)</f>
        <v>55</v>
      </c>
      <c r="E187" s="126">
        <f>SUM(E188:E194)</f>
        <v>7</v>
      </c>
      <c r="F187" s="126">
        <f>SUM(F188:F193)</f>
        <v>300</v>
      </c>
      <c r="G187" s="123">
        <f t="shared" ref="G187:G202" si="55">B187+C187/60</f>
        <v>73.916666666666671</v>
      </c>
      <c r="H187" s="8">
        <f>SUM(H188:H194)</f>
        <v>350</v>
      </c>
      <c r="I187" s="14">
        <f>SUM(I188:I194)</f>
        <v>4381.25</v>
      </c>
      <c r="J187" s="14">
        <f>SUM(J188:J194)</f>
        <v>4031.25</v>
      </c>
      <c r="K187" s="8">
        <f>SUM(K188:K194)</f>
        <v>213</v>
      </c>
      <c r="L187" s="9">
        <v>0</v>
      </c>
      <c r="M187" s="96">
        <f>J187</f>
        <v>4031.25</v>
      </c>
      <c r="N187" s="102">
        <f>SUM(N188:N194)</f>
        <v>3378</v>
      </c>
      <c r="O187" s="98">
        <f>4265-N187</f>
        <v>887</v>
      </c>
      <c r="P187" s="86"/>
      <c r="Q187" s="86"/>
    </row>
    <row r="188" spans="1:17">
      <c r="A188" s="80" t="s">
        <v>961</v>
      </c>
      <c r="B188" s="4">
        <v>11</v>
      </c>
      <c r="C188" s="4">
        <v>0</v>
      </c>
      <c r="D188" s="4">
        <v>55</v>
      </c>
      <c r="E188" s="4">
        <v>1</v>
      </c>
      <c r="F188" s="4">
        <v>50</v>
      </c>
      <c r="G188" s="10">
        <f t="shared" si="55"/>
        <v>11</v>
      </c>
      <c r="H188" s="4">
        <v>50</v>
      </c>
      <c r="I188" s="5">
        <f>G188*D188</f>
        <v>605</v>
      </c>
      <c r="J188" s="5">
        <f>I188-H188</f>
        <v>555</v>
      </c>
      <c r="K188">
        <v>27</v>
      </c>
      <c r="N188" s="51">
        <v>484</v>
      </c>
      <c r="O188" s="51"/>
    </row>
    <row r="189" spans="1:17">
      <c r="A189" s="80" t="s">
        <v>963</v>
      </c>
      <c r="B189" s="4">
        <v>9</v>
      </c>
      <c r="C189" s="4">
        <v>20</v>
      </c>
      <c r="D189" s="4">
        <v>55</v>
      </c>
      <c r="E189" s="4">
        <v>1</v>
      </c>
      <c r="F189" s="4">
        <v>50</v>
      </c>
      <c r="G189" s="10">
        <f t="shared" si="55"/>
        <v>9.3333333333333339</v>
      </c>
      <c r="H189" s="4">
        <v>50</v>
      </c>
      <c r="I189" s="5">
        <f>G189*D189</f>
        <v>513.33333333333337</v>
      </c>
      <c r="J189" s="5">
        <f>I189-H189</f>
        <v>463.33333333333337</v>
      </c>
      <c r="K189">
        <v>29</v>
      </c>
      <c r="N189" s="51">
        <v>500</v>
      </c>
      <c r="P189" t="s">
        <v>1035</v>
      </c>
    </row>
    <row r="190" spans="1:17">
      <c r="A190" s="80" t="s">
        <v>965</v>
      </c>
      <c r="B190" s="4">
        <v>11</v>
      </c>
      <c r="C190" s="4">
        <v>0</v>
      </c>
      <c r="D190" s="4">
        <v>65</v>
      </c>
      <c r="E190" s="4">
        <v>1</v>
      </c>
      <c r="F190" s="4">
        <v>50</v>
      </c>
      <c r="G190" s="10">
        <f t="shared" si="55"/>
        <v>11</v>
      </c>
      <c r="H190" s="4">
        <v>50</v>
      </c>
      <c r="I190" s="5">
        <f>G190*D190</f>
        <v>715</v>
      </c>
      <c r="J190" s="5">
        <f>I190-H190</f>
        <v>665</v>
      </c>
      <c r="K190">
        <v>32</v>
      </c>
      <c r="N190" s="51">
        <v>350</v>
      </c>
    </row>
    <row r="191" spans="1:17">
      <c r="A191" s="80" t="s">
        <v>967</v>
      </c>
      <c r="B191" s="4">
        <v>10</v>
      </c>
      <c r="C191" s="4">
        <v>43</v>
      </c>
      <c r="D191" s="4">
        <v>65</v>
      </c>
      <c r="E191" s="4">
        <v>1</v>
      </c>
      <c r="F191" s="4">
        <v>50</v>
      </c>
      <c r="G191" s="10">
        <f t="shared" si="55"/>
        <v>10.716666666666667</v>
      </c>
      <c r="H191" s="4">
        <v>50</v>
      </c>
      <c r="I191" s="5">
        <f t="shared" ref="I191:I194" si="56">G191*D191</f>
        <v>696.58333333333337</v>
      </c>
      <c r="J191" s="5">
        <f t="shared" ref="J191:J194" si="57">I191-H191</f>
        <v>646.58333333333337</v>
      </c>
      <c r="K191">
        <v>32</v>
      </c>
      <c r="N191" s="51">
        <v>482</v>
      </c>
      <c r="P191" t="s">
        <v>1033</v>
      </c>
    </row>
    <row r="192" spans="1:17">
      <c r="A192" s="80" t="s">
        <v>969</v>
      </c>
      <c r="B192" s="4">
        <v>10</v>
      </c>
      <c r="C192" s="4">
        <v>44</v>
      </c>
      <c r="D192" s="4">
        <v>65</v>
      </c>
      <c r="E192" s="4">
        <v>1</v>
      </c>
      <c r="F192" s="4">
        <v>50</v>
      </c>
      <c r="G192" s="10">
        <f t="shared" si="55"/>
        <v>10.733333333333333</v>
      </c>
      <c r="H192" s="4">
        <v>50</v>
      </c>
      <c r="I192" s="5">
        <f t="shared" si="56"/>
        <v>697.66666666666663</v>
      </c>
      <c r="J192" s="5">
        <f t="shared" si="57"/>
        <v>647.66666666666663</v>
      </c>
      <c r="K192">
        <v>33</v>
      </c>
      <c r="N192" s="51">
        <v>524</v>
      </c>
    </row>
    <row r="193" spans="1:17">
      <c r="A193" s="80" t="s">
        <v>971</v>
      </c>
      <c r="B193" s="4">
        <v>10</v>
      </c>
      <c r="C193" s="4">
        <v>8</v>
      </c>
      <c r="D193" s="4">
        <v>65</v>
      </c>
      <c r="E193" s="4">
        <v>1</v>
      </c>
      <c r="F193" s="4">
        <v>50</v>
      </c>
      <c r="G193" s="10">
        <f t="shared" si="55"/>
        <v>10.133333333333333</v>
      </c>
      <c r="H193" s="4">
        <v>50</v>
      </c>
      <c r="I193" s="5">
        <f t="shared" si="56"/>
        <v>658.66666666666663</v>
      </c>
      <c r="J193" s="5">
        <f t="shared" si="57"/>
        <v>608.66666666666663</v>
      </c>
      <c r="K193">
        <v>35</v>
      </c>
      <c r="N193" s="51">
        <v>532</v>
      </c>
      <c r="P193" t="s">
        <v>1036</v>
      </c>
    </row>
    <row r="194" spans="1:17">
      <c r="A194" s="80" t="s">
        <v>973</v>
      </c>
      <c r="B194" s="4">
        <v>11</v>
      </c>
      <c r="C194" s="4">
        <v>0</v>
      </c>
      <c r="D194" s="4">
        <v>45</v>
      </c>
      <c r="E194" s="4">
        <v>1</v>
      </c>
      <c r="F194" s="4">
        <v>50</v>
      </c>
      <c r="G194" s="10">
        <f t="shared" si="55"/>
        <v>11</v>
      </c>
      <c r="H194" s="4">
        <v>50</v>
      </c>
      <c r="I194" s="5">
        <f t="shared" si="56"/>
        <v>495</v>
      </c>
      <c r="J194" s="5">
        <f t="shared" si="57"/>
        <v>445</v>
      </c>
      <c r="K194">
        <v>25</v>
      </c>
      <c r="N194" s="51">
        <v>506</v>
      </c>
    </row>
    <row r="195" spans="1:17" ht="19">
      <c r="A195" s="91" t="s">
        <v>1037</v>
      </c>
      <c r="B195" s="8">
        <f>SUM(B196:B202)</f>
        <v>50</v>
      </c>
      <c r="C195" s="8">
        <f>SUM(C196:C202)</f>
        <v>193</v>
      </c>
      <c r="D195" s="8">
        <f>SUM(D196)</f>
        <v>45</v>
      </c>
      <c r="E195" s="8">
        <f>SUM(E196:E202)</f>
        <v>6</v>
      </c>
      <c r="F195" s="8">
        <f>SUM(F196:F202)</f>
        <v>350</v>
      </c>
      <c r="G195" s="93">
        <f t="shared" si="55"/>
        <v>53.216666666666669</v>
      </c>
      <c r="H195" s="8">
        <f>SUM(H196:H202)</f>
        <v>300</v>
      </c>
      <c r="I195" s="9">
        <f>SUM(I196:I202)</f>
        <v>2394.75</v>
      </c>
      <c r="J195" s="14">
        <f>SUM(J196:J201)</f>
        <v>2094.75</v>
      </c>
      <c r="K195" s="8">
        <f>SUM(K196:K202)</f>
        <v>77</v>
      </c>
      <c r="L195" s="9">
        <v>0</v>
      </c>
      <c r="M195" s="96">
        <f>J195+L195</f>
        <v>2094.75</v>
      </c>
      <c r="N195" s="99">
        <f>SUM(N196:N202)</f>
        <v>2328</v>
      </c>
      <c r="O195" s="98">
        <f>2328-N195</f>
        <v>0</v>
      </c>
      <c r="P195" s="86"/>
      <c r="Q195" s="86"/>
    </row>
    <row r="196" spans="1:17">
      <c r="A196" s="6">
        <v>46139</v>
      </c>
      <c r="B196" s="4">
        <v>8</v>
      </c>
      <c r="C196" s="4">
        <v>6</v>
      </c>
      <c r="D196" s="4">
        <v>45</v>
      </c>
      <c r="E196" s="4">
        <v>1</v>
      </c>
      <c r="F196" s="4">
        <v>50</v>
      </c>
      <c r="G196" s="10">
        <f t="shared" si="55"/>
        <v>8.1</v>
      </c>
      <c r="H196" s="4">
        <v>50</v>
      </c>
      <c r="I196" s="5">
        <f t="shared" ref="I196:I202" si="58">G196*D196</f>
        <v>364.5</v>
      </c>
      <c r="J196" s="5">
        <f t="shared" ref="J196:J202" si="59">I196-H196</f>
        <v>314.5</v>
      </c>
      <c r="K196">
        <v>12</v>
      </c>
      <c r="N196" s="51">
        <v>305</v>
      </c>
    </row>
    <row r="197" spans="1:17">
      <c r="A197" s="6">
        <v>46140</v>
      </c>
      <c r="B197" s="4">
        <v>7</v>
      </c>
      <c r="C197" s="4">
        <v>23</v>
      </c>
      <c r="D197" s="4">
        <v>45</v>
      </c>
      <c r="E197" s="4">
        <v>1</v>
      </c>
      <c r="F197" s="4">
        <v>50</v>
      </c>
      <c r="G197" s="10">
        <f t="shared" si="55"/>
        <v>7.3833333333333337</v>
      </c>
      <c r="H197" s="4">
        <v>50</v>
      </c>
      <c r="I197" s="5">
        <f t="shared" si="58"/>
        <v>332.25</v>
      </c>
      <c r="J197" s="5">
        <f t="shared" si="59"/>
        <v>282.25</v>
      </c>
      <c r="K197">
        <v>7</v>
      </c>
      <c r="N197" s="51">
        <v>62</v>
      </c>
    </row>
    <row r="198" spans="1:17">
      <c r="A198" s="6">
        <v>46141</v>
      </c>
      <c r="B198" s="4">
        <v>9</v>
      </c>
      <c r="C198" s="4">
        <v>34</v>
      </c>
      <c r="D198" s="4">
        <v>45</v>
      </c>
      <c r="E198" s="4">
        <v>1</v>
      </c>
      <c r="F198" s="4">
        <v>50</v>
      </c>
      <c r="G198" s="10">
        <f t="shared" si="55"/>
        <v>9.5666666666666664</v>
      </c>
      <c r="H198" s="4">
        <v>50</v>
      </c>
      <c r="I198" s="5">
        <f t="shared" si="58"/>
        <v>430.5</v>
      </c>
      <c r="J198" s="5">
        <f t="shared" si="59"/>
        <v>380.5</v>
      </c>
      <c r="K198">
        <v>12</v>
      </c>
      <c r="N198" s="51">
        <f>179</f>
        <v>179</v>
      </c>
    </row>
    <row r="199" spans="1:17">
      <c r="A199" s="6">
        <v>46142</v>
      </c>
      <c r="B199" s="4">
        <v>8</v>
      </c>
      <c r="C199" s="4">
        <v>57</v>
      </c>
      <c r="D199" s="4">
        <v>45</v>
      </c>
      <c r="E199" s="4">
        <v>1</v>
      </c>
      <c r="F199" s="4">
        <v>50</v>
      </c>
      <c r="G199" s="10">
        <f t="shared" si="55"/>
        <v>8.9499999999999993</v>
      </c>
      <c r="H199" s="4">
        <v>50</v>
      </c>
      <c r="I199" s="5">
        <f t="shared" si="58"/>
        <v>402.74999999999994</v>
      </c>
      <c r="J199" s="5">
        <f t="shared" si="59"/>
        <v>352.74999999999994</v>
      </c>
      <c r="K199">
        <v>11</v>
      </c>
      <c r="N199" s="51">
        <v>566</v>
      </c>
    </row>
    <row r="200" spans="1:17">
      <c r="A200" s="6">
        <v>46143</v>
      </c>
      <c r="B200" s="4">
        <v>8</v>
      </c>
      <c r="C200" s="4">
        <v>54</v>
      </c>
      <c r="D200" s="4">
        <v>45</v>
      </c>
      <c r="E200" s="4">
        <v>1</v>
      </c>
      <c r="F200" s="7">
        <v>50</v>
      </c>
      <c r="G200" s="10">
        <f t="shared" si="55"/>
        <v>8.9</v>
      </c>
      <c r="H200" s="4">
        <v>50</v>
      </c>
      <c r="I200" s="5">
        <f t="shared" si="58"/>
        <v>400.5</v>
      </c>
      <c r="J200" s="5">
        <f t="shared" si="59"/>
        <v>350.5</v>
      </c>
      <c r="K200">
        <v>15</v>
      </c>
      <c r="N200" s="51">
        <v>637</v>
      </c>
    </row>
    <row r="201" spans="1:17">
      <c r="A201" s="6">
        <v>46144</v>
      </c>
      <c r="B201" s="4">
        <v>10</v>
      </c>
      <c r="C201" s="4">
        <v>19</v>
      </c>
      <c r="D201" s="4">
        <v>45</v>
      </c>
      <c r="E201" s="4">
        <v>1</v>
      </c>
      <c r="F201" s="4">
        <v>50</v>
      </c>
      <c r="G201" s="10">
        <f t="shared" si="55"/>
        <v>10.316666666666666</v>
      </c>
      <c r="H201" s="4">
        <v>50</v>
      </c>
      <c r="I201" s="5">
        <f t="shared" si="58"/>
        <v>464.25</v>
      </c>
      <c r="J201" s="5">
        <f t="shared" si="59"/>
        <v>414.25</v>
      </c>
      <c r="K201">
        <v>20</v>
      </c>
      <c r="N201" s="51">
        <v>579</v>
      </c>
    </row>
    <row r="202" spans="1:17">
      <c r="A202" s="6">
        <v>46145</v>
      </c>
      <c r="B202" s="4">
        <v>0</v>
      </c>
      <c r="C202" s="4">
        <v>0</v>
      </c>
      <c r="D202" s="4">
        <v>45</v>
      </c>
      <c r="E202" s="4">
        <v>0</v>
      </c>
      <c r="F202" s="4">
        <v>50</v>
      </c>
      <c r="G202" s="10">
        <f t="shared" si="55"/>
        <v>0</v>
      </c>
      <c r="H202" s="4">
        <v>0</v>
      </c>
      <c r="I202" s="5">
        <f t="shared" si="58"/>
        <v>0</v>
      </c>
      <c r="J202" s="5">
        <f t="shared" si="59"/>
        <v>0</v>
      </c>
      <c r="K202">
        <v>0</v>
      </c>
      <c r="N202" s="51">
        <v>0</v>
      </c>
    </row>
    <row r="203" spans="1:17" ht="20" thickBot="1">
      <c r="A203" s="91" t="s">
        <v>539</v>
      </c>
      <c r="B203" s="8">
        <f>SUM(B204:B209)</f>
        <v>43</v>
      </c>
      <c r="C203" s="8">
        <f>SUM(C204:C209)</f>
        <v>2</v>
      </c>
      <c r="D203" s="126">
        <f>SUM(D204)</f>
        <v>45</v>
      </c>
      <c r="E203" s="126">
        <f>SUM(E204:E209)</f>
        <v>4</v>
      </c>
      <c r="F203" s="126">
        <f>SUM(F204:F209)</f>
        <v>200</v>
      </c>
      <c r="G203" s="123">
        <f t="shared" ref="G203:G208" si="60">B203+C203/60</f>
        <v>43.033333333333331</v>
      </c>
      <c r="H203" s="8">
        <f>SUM(H204:H209)</f>
        <v>200</v>
      </c>
      <c r="I203" s="14">
        <f>SUM(I204:I209)</f>
        <v>2156.5</v>
      </c>
      <c r="J203" s="14">
        <f>SUM(J204:J209)</f>
        <v>1956.5</v>
      </c>
      <c r="K203" s="8">
        <f>SUM(K204:K209)</f>
        <v>108</v>
      </c>
      <c r="L203" s="9">
        <v>0</v>
      </c>
      <c r="M203" s="96">
        <f>J203</f>
        <v>1956.5</v>
      </c>
      <c r="N203" s="102">
        <f>SUM(N204:N210)</f>
        <v>2088</v>
      </c>
      <c r="O203" s="98">
        <f>2089-N203</f>
        <v>1</v>
      </c>
      <c r="P203" s="86"/>
      <c r="Q203" s="86"/>
    </row>
    <row r="204" spans="1:17">
      <c r="A204" s="6">
        <v>46139</v>
      </c>
      <c r="B204" s="4">
        <v>0</v>
      </c>
      <c r="C204" s="4">
        <v>0</v>
      </c>
      <c r="D204" s="4">
        <v>45</v>
      </c>
      <c r="E204" s="4">
        <v>0</v>
      </c>
      <c r="F204" s="4">
        <v>0</v>
      </c>
      <c r="G204" s="10">
        <f t="shared" si="60"/>
        <v>0</v>
      </c>
      <c r="H204" s="4">
        <v>0</v>
      </c>
      <c r="I204" s="5">
        <f t="shared" ref="I204:I209" si="61">G204*D204</f>
        <v>0</v>
      </c>
      <c r="J204" s="5">
        <f t="shared" ref="J204:J209" si="62">I204-H204</f>
        <v>0</v>
      </c>
      <c r="K204">
        <v>0</v>
      </c>
      <c r="N204" s="51">
        <v>0</v>
      </c>
      <c r="O204" s="51"/>
    </row>
    <row r="205" spans="1:17">
      <c r="A205" s="6">
        <v>46140</v>
      </c>
      <c r="B205" s="4">
        <v>11</v>
      </c>
      <c r="C205" s="4">
        <v>0</v>
      </c>
      <c r="D205" s="4">
        <v>55</v>
      </c>
      <c r="E205" s="4">
        <v>1</v>
      </c>
      <c r="F205" s="4">
        <v>50</v>
      </c>
      <c r="G205" s="10">
        <f t="shared" si="60"/>
        <v>11</v>
      </c>
      <c r="H205" s="4">
        <v>50</v>
      </c>
      <c r="I205" s="5">
        <f t="shared" si="61"/>
        <v>605</v>
      </c>
      <c r="J205" s="5">
        <f t="shared" si="62"/>
        <v>555</v>
      </c>
      <c r="K205">
        <v>31</v>
      </c>
      <c r="N205" s="51">
        <v>532</v>
      </c>
    </row>
    <row r="206" spans="1:17">
      <c r="A206" s="6">
        <v>46141</v>
      </c>
      <c r="B206" s="4">
        <v>10</v>
      </c>
      <c r="C206" s="4">
        <v>2</v>
      </c>
      <c r="D206" s="4">
        <v>45</v>
      </c>
      <c r="E206" s="4">
        <v>1</v>
      </c>
      <c r="F206" s="4">
        <v>50</v>
      </c>
      <c r="G206" s="10">
        <f t="shared" si="60"/>
        <v>10.033333333333333</v>
      </c>
      <c r="H206" s="4">
        <v>50</v>
      </c>
      <c r="I206" s="5">
        <f t="shared" si="61"/>
        <v>451.5</v>
      </c>
      <c r="J206" s="5">
        <f t="shared" si="62"/>
        <v>401.5</v>
      </c>
      <c r="K206">
        <v>24</v>
      </c>
      <c r="N206" s="51">
        <v>220</v>
      </c>
    </row>
    <row r="207" spans="1:17">
      <c r="A207" s="6">
        <v>46142</v>
      </c>
      <c r="B207" s="4">
        <v>11</v>
      </c>
      <c r="C207" s="4">
        <v>0</v>
      </c>
      <c r="D207" s="4">
        <v>45</v>
      </c>
      <c r="E207" s="4">
        <v>1</v>
      </c>
      <c r="F207" s="4">
        <v>50</v>
      </c>
      <c r="G207" s="10">
        <f t="shared" si="60"/>
        <v>11</v>
      </c>
      <c r="H207" s="4">
        <v>50</v>
      </c>
      <c r="I207" s="5">
        <f t="shared" si="61"/>
        <v>495</v>
      </c>
      <c r="J207" s="5">
        <f t="shared" si="62"/>
        <v>445</v>
      </c>
      <c r="K207">
        <v>25</v>
      </c>
      <c r="N207" s="51">
        <v>748</v>
      </c>
    </row>
    <row r="208" spans="1:17">
      <c r="A208" s="6">
        <v>46143</v>
      </c>
      <c r="B208" s="4">
        <v>11</v>
      </c>
      <c r="C208" s="4">
        <v>0</v>
      </c>
      <c r="D208" s="4">
        <v>55</v>
      </c>
      <c r="E208" s="4">
        <v>1</v>
      </c>
      <c r="F208" s="4">
        <v>50</v>
      </c>
      <c r="G208" s="10">
        <f t="shared" si="60"/>
        <v>11</v>
      </c>
      <c r="H208" s="4">
        <v>50</v>
      </c>
      <c r="I208" s="5">
        <f t="shared" si="61"/>
        <v>605</v>
      </c>
      <c r="J208" s="5">
        <f t="shared" si="62"/>
        <v>555</v>
      </c>
      <c r="K208">
        <v>28</v>
      </c>
      <c r="N208" s="51">
        <v>588</v>
      </c>
    </row>
    <row r="209" spans="1:17">
      <c r="A209" s="6">
        <v>46144</v>
      </c>
      <c r="B209" s="4">
        <v>0</v>
      </c>
      <c r="C209" s="4">
        <v>0</v>
      </c>
      <c r="D209" s="4">
        <v>45</v>
      </c>
      <c r="E209" s="4">
        <v>0</v>
      </c>
      <c r="F209" s="4">
        <v>0</v>
      </c>
      <c r="G209" s="10">
        <v>0</v>
      </c>
      <c r="H209" s="4">
        <v>0</v>
      </c>
      <c r="I209" s="5">
        <f t="shared" si="61"/>
        <v>0</v>
      </c>
      <c r="J209" s="5">
        <f t="shared" si="62"/>
        <v>0</v>
      </c>
      <c r="K209">
        <v>0</v>
      </c>
      <c r="N209" s="51"/>
    </row>
    <row r="210" spans="1:17">
      <c r="A210" s="6">
        <v>46145</v>
      </c>
      <c r="B210" s="4">
        <v>0</v>
      </c>
      <c r="C210" s="4">
        <v>0</v>
      </c>
      <c r="D210" s="4">
        <v>45</v>
      </c>
      <c r="E210" s="4">
        <v>0</v>
      </c>
      <c r="F210" s="4">
        <v>0</v>
      </c>
      <c r="G210" s="10"/>
      <c r="H210" s="4"/>
      <c r="I210" s="5"/>
      <c r="J210" s="5"/>
      <c r="K210">
        <v>0</v>
      </c>
      <c r="N210" s="51"/>
    </row>
    <row r="211" spans="1:17" ht="19">
      <c r="A211" s="91" t="s">
        <v>1038</v>
      </c>
      <c r="B211" s="8">
        <f>SUM(B212:B218)</f>
        <v>45</v>
      </c>
      <c r="C211" s="8">
        <f>SUM(C212:C218)</f>
        <v>170</v>
      </c>
      <c r="D211" s="8">
        <f>SUM(D212)</f>
        <v>45</v>
      </c>
      <c r="E211" s="8">
        <f>SUM(E212:E218)</f>
        <v>5</v>
      </c>
      <c r="F211" s="8">
        <f>SUM(F212:F218)</f>
        <v>350</v>
      </c>
      <c r="G211" s="93">
        <f t="shared" ref="G211:G216" si="63">B211+C211/60</f>
        <v>47.833333333333336</v>
      </c>
      <c r="H211" s="8">
        <f>SUM(H212:H218)</f>
        <v>250</v>
      </c>
      <c r="I211" s="9">
        <f>SUM(I212:I218)</f>
        <v>2255.5</v>
      </c>
      <c r="J211" s="14">
        <f>SUM(J212:J218)</f>
        <v>2005.5</v>
      </c>
      <c r="K211" s="8">
        <f>SUM(K212:K218)</f>
        <v>83</v>
      </c>
      <c r="L211" s="9">
        <v>0</v>
      </c>
      <c r="M211" s="96">
        <f>J211</f>
        <v>2005.5</v>
      </c>
      <c r="N211" s="102">
        <f>SUM(N212:N218)</f>
        <v>2019</v>
      </c>
      <c r="O211" s="98">
        <f>1987-N211</f>
        <v>-32</v>
      </c>
      <c r="P211" s="86"/>
      <c r="Q211" s="86"/>
    </row>
    <row r="212" spans="1:17" ht="19">
      <c r="A212" s="6">
        <v>46139</v>
      </c>
      <c r="B212" s="4">
        <v>0</v>
      </c>
      <c r="C212" s="4">
        <v>0</v>
      </c>
      <c r="D212" s="4">
        <v>45</v>
      </c>
      <c r="E212" s="4">
        <v>0</v>
      </c>
      <c r="F212" s="4">
        <v>50</v>
      </c>
      <c r="G212" s="10">
        <f t="shared" si="63"/>
        <v>0</v>
      </c>
      <c r="H212" s="4">
        <v>0</v>
      </c>
      <c r="I212" s="5">
        <f>G212*D212</f>
        <v>0</v>
      </c>
      <c r="J212" s="5">
        <f t="shared" ref="J212:J218" si="64">I212-H212</f>
        <v>0</v>
      </c>
      <c r="K212">
        <v>0</v>
      </c>
      <c r="N212" s="51">
        <v>0</v>
      </c>
      <c r="O212" s="49"/>
    </row>
    <row r="213" spans="1:17">
      <c r="A213" s="6">
        <v>46140</v>
      </c>
      <c r="B213" s="4">
        <v>0</v>
      </c>
      <c r="C213" s="4">
        <v>0</v>
      </c>
      <c r="D213" s="4">
        <v>45</v>
      </c>
      <c r="E213" s="4">
        <v>0</v>
      </c>
      <c r="F213" s="4">
        <v>50</v>
      </c>
      <c r="G213" s="10">
        <f t="shared" si="63"/>
        <v>0</v>
      </c>
      <c r="H213" s="4">
        <v>0</v>
      </c>
      <c r="I213" s="5">
        <f>G213*D213</f>
        <v>0</v>
      </c>
      <c r="J213" s="5">
        <f t="shared" si="64"/>
        <v>0</v>
      </c>
      <c r="K213">
        <v>0</v>
      </c>
      <c r="N213" s="51">
        <v>0</v>
      </c>
    </row>
    <row r="214" spans="1:17">
      <c r="A214" s="6">
        <v>46141</v>
      </c>
      <c r="B214" s="4">
        <v>8</v>
      </c>
      <c r="C214" s="4">
        <v>50</v>
      </c>
      <c r="D214" s="4">
        <v>45</v>
      </c>
      <c r="E214" s="4">
        <v>1</v>
      </c>
      <c r="F214" s="4">
        <v>50</v>
      </c>
      <c r="G214" s="10">
        <f t="shared" si="63"/>
        <v>8.8333333333333339</v>
      </c>
      <c r="H214" s="4">
        <v>50</v>
      </c>
      <c r="I214" s="5">
        <f>G214*D214</f>
        <v>397.5</v>
      </c>
      <c r="J214" s="5">
        <f t="shared" si="64"/>
        <v>347.5</v>
      </c>
      <c r="K214">
        <v>6</v>
      </c>
      <c r="N214" s="51">
        <v>142</v>
      </c>
    </row>
    <row r="215" spans="1:17">
      <c r="A215" s="6">
        <v>46142</v>
      </c>
      <c r="B215" s="4">
        <v>8</v>
      </c>
      <c r="C215" s="4">
        <v>53</v>
      </c>
      <c r="D215" s="4">
        <v>45</v>
      </c>
      <c r="E215" s="4">
        <v>1</v>
      </c>
      <c r="F215" s="4">
        <v>50</v>
      </c>
      <c r="G215" s="10">
        <f t="shared" si="63"/>
        <v>8.8833333333333329</v>
      </c>
      <c r="H215" s="4">
        <v>50</v>
      </c>
      <c r="I215" s="5">
        <f t="shared" ref="I215:I216" si="65">G215*D215</f>
        <v>399.75</v>
      </c>
      <c r="J215" s="5">
        <f t="shared" si="64"/>
        <v>349.75</v>
      </c>
      <c r="K215">
        <v>9</v>
      </c>
      <c r="N215" s="51">
        <v>180</v>
      </c>
    </row>
    <row r="216" spans="1:17">
      <c r="A216" s="6">
        <v>46143</v>
      </c>
      <c r="B216" s="4">
        <v>9</v>
      </c>
      <c r="C216" s="4">
        <v>41</v>
      </c>
      <c r="D216" s="4">
        <v>45</v>
      </c>
      <c r="E216" s="4">
        <v>1</v>
      </c>
      <c r="F216" s="4">
        <v>50</v>
      </c>
      <c r="G216" s="10">
        <f t="shared" si="63"/>
        <v>9.6833333333333336</v>
      </c>
      <c r="H216" s="4">
        <v>50</v>
      </c>
      <c r="I216" s="5">
        <f t="shared" si="65"/>
        <v>435.75</v>
      </c>
      <c r="J216" s="5">
        <f t="shared" si="64"/>
        <v>385.75</v>
      </c>
      <c r="K216">
        <v>16</v>
      </c>
      <c r="N216" s="51">
        <v>330</v>
      </c>
    </row>
    <row r="217" spans="1:17">
      <c r="A217" s="6">
        <v>46144</v>
      </c>
      <c r="B217" s="4">
        <v>10</v>
      </c>
      <c r="C217" s="4">
        <v>8</v>
      </c>
      <c r="D217" s="4">
        <v>45</v>
      </c>
      <c r="E217" s="4">
        <v>1</v>
      </c>
      <c r="F217" s="4">
        <v>50</v>
      </c>
      <c r="G217" s="10">
        <f t="shared" ref="G217:G218" si="66">B217+C217/60</f>
        <v>10.133333333333333</v>
      </c>
      <c r="H217" s="4">
        <v>50</v>
      </c>
      <c r="I217" s="5">
        <f>G217*D217</f>
        <v>456</v>
      </c>
      <c r="J217" s="5">
        <f t="shared" si="64"/>
        <v>406</v>
      </c>
      <c r="K217">
        <v>24</v>
      </c>
      <c r="N217" s="51">
        <f>400+150</f>
        <v>550</v>
      </c>
      <c r="P217" t="s">
        <v>553</v>
      </c>
    </row>
    <row r="218" spans="1:17">
      <c r="A218" s="6">
        <v>46145</v>
      </c>
      <c r="B218" s="4">
        <v>10</v>
      </c>
      <c r="C218" s="4">
        <v>18</v>
      </c>
      <c r="D218" s="4">
        <v>55</v>
      </c>
      <c r="E218" s="4">
        <v>1</v>
      </c>
      <c r="F218" s="4">
        <v>50</v>
      </c>
      <c r="G218" s="10">
        <f t="shared" si="66"/>
        <v>10.3</v>
      </c>
      <c r="H218" s="4">
        <v>50</v>
      </c>
      <c r="I218" s="5">
        <f>G218*D218</f>
        <v>566.5</v>
      </c>
      <c r="J218" s="5">
        <f t="shared" si="64"/>
        <v>516.5</v>
      </c>
      <c r="K218">
        <v>28</v>
      </c>
      <c r="N218" s="51">
        <f>667+150</f>
        <v>817</v>
      </c>
      <c r="P218" t="s">
        <v>553</v>
      </c>
    </row>
    <row r="219" spans="1:17" ht="19">
      <c r="A219" s="91" t="s">
        <v>540</v>
      </c>
      <c r="B219" s="8">
        <f>SUM(B220:B226)</f>
        <v>24</v>
      </c>
      <c r="C219" s="8">
        <f>SUM(C220:C226)</f>
        <v>149</v>
      </c>
      <c r="D219" s="126">
        <f>SUM(D220)</f>
        <v>45</v>
      </c>
      <c r="E219" s="126">
        <f>SUM(E220:E226)</f>
        <v>4</v>
      </c>
      <c r="F219" s="126">
        <f>SUM(F220:F226)</f>
        <v>350</v>
      </c>
      <c r="G219" s="123">
        <f t="shared" ref="G219:G224" si="67">B219+C219/60</f>
        <v>26.483333333333334</v>
      </c>
      <c r="H219" s="8">
        <f>SUM(H220:H226)</f>
        <v>200</v>
      </c>
      <c r="I219" s="14">
        <f>SUM(I220:I226)</f>
        <v>1191.75</v>
      </c>
      <c r="J219" s="14">
        <f>SUM(J220:J226)</f>
        <v>991.75</v>
      </c>
      <c r="K219" s="8">
        <f>SUM(K220:K226)</f>
        <v>56</v>
      </c>
      <c r="L219" s="9">
        <v>0</v>
      </c>
      <c r="M219" s="96">
        <f>J219</f>
        <v>991.75</v>
      </c>
      <c r="N219" s="102">
        <f>SUM(N220:N226)</f>
        <v>1224</v>
      </c>
      <c r="O219" s="98">
        <f>1224-N219</f>
        <v>0</v>
      </c>
      <c r="P219" s="86"/>
      <c r="Q219" s="86"/>
    </row>
    <row r="220" spans="1:17">
      <c r="A220" s="6">
        <v>46139</v>
      </c>
      <c r="B220" s="4">
        <v>6</v>
      </c>
      <c r="C220" s="4">
        <v>36</v>
      </c>
      <c r="D220" s="4">
        <v>45</v>
      </c>
      <c r="E220" s="4">
        <v>1</v>
      </c>
      <c r="F220" s="4">
        <v>50</v>
      </c>
      <c r="G220" s="10">
        <f t="shared" si="67"/>
        <v>6.6</v>
      </c>
      <c r="H220" s="4">
        <v>50</v>
      </c>
      <c r="I220" s="5">
        <f>G220*D220</f>
        <v>297</v>
      </c>
      <c r="J220" s="5">
        <f>I220-H220</f>
        <v>247</v>
      </c>
      <c r="K220">
        <v>11</v>
      </c>
      <c r="N220" s="51">
        <v>522</v>
      </c>
      <c r="O220" s="51"/>
      <c r="P220" t="s">
        <v>1039</v>
      </c>
    </row>
    <row r="221" spans="1:17">
      <c r="A221" s="6">
        <v>46140</v>
      </c>
      <c r="B221" s="4">
        <v>6</v>
      </c>
      <c r="C221" s="4">
        <v>9</v>
      </c>
      <c r="D221" s="4">
        <v>45</v>
      </c>
      <c r="E221" s="4">
        <v>1</v>
      </c>
      <c r="F221" s="4">
        <v>50</v>
      </c>
      <c r="G221" s="10">
        <f t="shared" si="67"/>
        <v>6.15</v>
      </c>
      <c r="H221" s="4">
        <v>50</v>
      </c>
      <c r="I221" s="5">
        <f>G221*D221</f>
        <v>276.75</v>
      </c>
      <c r="J221" s="5">
        <f>I221-H221</f>
        <v>226.75</v>
      </c>
      <c r="K221">
        <v>14</v>
      </c>
      <c r="N221" s="51">
        <v>218</v>
      </c>
      <c r="P221" t="s">
        <v>1040</v>
      </c>
    </row>
    <row r="222" spans="1:17">
      <c r="A222" s="6">
        <v>46141</v>
      </c>
      <c r="B222" s="4">
        <v>6</v>
      </c>
      <c r="C222" s="4">
        <v>58</v>
      </c>
      <c r="D222" s="4">
        <v>45</v>
      </c>
      <c r="E222" s="4">
        <v>1</v>
      </c>
      <c r="F222" s="4">
        <v>50</v>
      </c>
      <c r="G222" s="10">
        <f t="shared" si="67"/>
        <v>6.9666666666666668</v>
      </c>
      <c r="H222" s="4">
        <v>50</v>
      </c>
      <c r="I222" s="5">
        <f>G222*D222</f>
        <v>313.5</v>
      </c>
      <c r="J222" s="5">
        <f>I222-H222</f>
        <v>263.5</v>
      </c>
      <c r="K222">
        <v>15</v>
      </c>
      <c r="N222" s="51">
        <v>202</v>
      </c>
      <c r="P222" t="s">
        <v>1041</v>
      </c>
      <c r="Q222" t="s">
        <v>64</v>
      </c>
    </row>
    <row r="223" spans="1:17">
      <c r="A223" s="6">
        <v>46142</v>
      </c>
      <c r="B223" s="4">
        <v>6</v>
      </c>
      <c r="C223" s="4">
        <v>46</v>
      </c>
      <c r="D223" s="4">
        <v>45</v>
      </c>
      <c r="E223" s="4">
        <v>1</v>
      </c>
      <c r="F223" s="4">
        <v>50</v>
      </c>
      <c r="G223" s="10">
        <f t="shared" si="67"/>
        <v>6.7666666666666666</v>
      </c>
      <c r="H223" s="4">
        <v>50</v>
      </c>
      <c r="I223" s="5">
        <f>G223*D223</f>
        <v>304.5</v>
      </c>
      <c r="J223" s="5">
        <f>I223-H223</f>
        <v>254.5</v>
      </c>
      <c r="K223">
        <v>16</v>
      </c>
      <c r="N223" s="51">
        <v>103</v>
      </c>
      <c r="P223" t="s">
        <v>1042</v>
      </c>
    </row>
    <row r="224" spans="1:17">
      <c r="A224" s="6">
        <v>46143</v>
      </c>
      <c r="B224" s="4">
        <v>0</v>
      </c>
      <c r="C224" s="4">
        <v>0</v>
      </c>
      <c r="D224" s="4">
        <v>45</v>
      </c>
      <c r="E224" s="4">
        <v>0</v>
      </c>
      <c r="F224" s="4">
        <v>50</v>
      </c>
      <c r="G224" s="10">
        <f t="shared" si="67"/>
        <v>0</v>
      </c>
      <c r="H224" s="4">
        <v>0</v>
      </c>
      <c r="I224" s="5">
        <f>G224*D224</f>
        <v>0</v>
      </c>
      <c r="J224" s="5">
        <f>I224-H224</f>
        <v>0</v>
      </c>
      <c r="K224">
        <v>0</v>
      </c>
      <c r="N224" s="51">
        <v>0</v>
      </c>
    </row>
    <row r="225" spans="1:17">
      <c r="A225" s="6">
        <v>46144</v>
      </c>
      <c r="B225" s="4">
        <v>0</v>
      </c>
      <c r="C225" s="4">
        <v>0</v>
      </c>
      <c r="D225" s="4">
        <v>45</v>
      </c>
      <c r="E225" s="4">
        <v>0</v>
      </c>
      <c r="F225" s="4">
        <v>50</v>
      </c>
      <c r="G225" s="10">
        <v>0</v>
      </c>
      <c r="H225" s="4">
        <v>0</v>
      </c>
      <c r="I225" s="5">
        <v>0</v>
      </c>
      <c r="J225" s="5">
        <v>0</v>
      </c>
      <c r="K225">
        <v>0</v>
      </c>
      <c r="N225" s="51">
        <v>0</v>
      </c>
    </row>
    <row r="226" spans="1:17" ht="16" thickBot="1">
      <c r="A226" s="6">
        <v>46145</v>
      </c>
      <c r="B226" s="4">
        <v>0</v>
      </c>
      <c r="C226" s="4">
        <v>0</v>
      </c>
      <c r="D226" s="4">
        <v>45</v>
      </c>
      <c r="E226" s="4">
        <v>0</v>
      </c>
      <c r="F226" s="4">
        <v>50</v>
      </c>
      <c r="G226" s="10">
        <f t="shared" ref="G226:G230" si="68">B226+C226/60</f>
        <v>0</v>
      </c>
      <c r="H226" s="4">
        <v>0</v>
      </c>
      <c r="I226" s="5">
        <f>G226*D226</f>
        <v>0</v>
      </c>
      <c r="J226" s="5">
        <f>I226-H226</f>
        <v>0</v>
      </c>
      <c r="K226">
        <v>0</v>
      </c>
      <c r="N226" s="51">
        <v>179</v>
      </c>
    </row>
    <row r="227" spans="1:17" ht="20" thickBot="1">
      <c r="A227" s="91" t="s">
        <v>542</v>
      </c>
      <c r="B227" s="8">
        <f>SUM(B228:B234)</f>
        <v>46</v>
      </c>
      <c r="C227" s="8">
        <f>SUM(C228:C234)</f>
        <v>166</v>
      </c>
      <c r="D227" s="126">
        <f>SUM(D228)</f>
        <v>45</v>
      </c>
      <c r="E227" s="126">
        <f>SUM(E228:E234)</f>
        <v>6</v>
      </c>
      <c r="F227" s="126">
        <f>SUM(F228:F233)</f>
        <v>300</v>
      </c>
      <c r="G227" s="123">
        <f t="shared" si="68"/>
        <v>48.766666666666666</v>
      </c>
      <c r="H227" s="8">
        <f>SUM(H228:H234)</f>
        <v>300</v>
      </c>
      <c r="I227" s="14">
        <f>SUM(I228:I234)</f>
        <v>2504.8333333333335</v>
      </c>
      <c r="J227" s="14">
        <f>SUM(J228:J234)</f>
        <v>2204.8333333333335</v>
      </c>
      <c r="K227" s="8">
        <f>SUM(K228:K234)</f>
        <v>150</v>
      </c>
      <c r="L227" s="9">
        <v>0</v>
      </c>
      <c r="M227" s="96">
        <f>J227</f>
        <v>2204.8333333333335</v>
      </c>
      <c r="N227" s="102">
        <f>SUM(N228:N234)</f>
        <v>3238</v>
      </c>
      <c r="O227" s="98">
        <f>3426-N227</f>
        <v>188</v>
      </c>
      <c r="P227" s="86"/>
      <c r="Q227" s="86"/>
    </row>
    <row r="228" spans="1:17">
      <c r="A228" s="80" t="s">
        <v>961</v>
      </c>
      <c r="B228" s="4">
        <v>0</v>
      </c>
      <c r="C228" s="4">
        <v>0</v>
      </c>
      <c r="D228" s="4">
        <v>45</v>
      </c>
      <c r="E228" s="4">
        <v>0</v>
      </c>
      <c r="F228" s="4">
        <v>50</v>
      </c>
      <c r="G228" s="10">
        <f t="shared" si="68"/>
        <v>0</v>
      </c>
      <c r="H228" s="4">
        <v>0</v>
      </c>
      <c r="I228" s="5">
        <f>G228*D228</f>
        <v>0</v>
      </c>
      <c r="J228" s="5">
        <f>I228-H228</f>
        <v>0</v>
      </c>
      <c r="K228">
        <v>0</v>
      </c>
      <c r="N228" s="51">
        <v>0</v>
      </c>
      <c r="O228" s="51"/>
    </row>
    <row r="229" spans="1:17">
      <c r="A229" s="80" t="s">
        <v>963</v>
      </c>
      <c r="B229" s="4">
        <v>6</v>
      </c>
      <c r="C229" s="4">
        <v>36</v>
      </c>
      <c r="D229" s="4">
        <v>45</v>
      </c>
      <c r="E229" s="4">
        <v>1</v>
      </c>
      <c r="F229" s="4">
        <v>50</v>
      </c>
      <c r="G229" s="10">
        <f t="shared" si="68"/>
        <v>6.6</v>
      </c>
      <c r="H229" s="4">
        <v>50</v>
      </c>
      <c r="I229" s="5">
        <f>G229*D229</f>
        <v>297</v>
      </c>
      <c r="J229" s="5">
        <f>I229-H229</f>
        <v>247</v>
      </c>
      <c r="K229">
        <v>21</v>
      </c>
      <c r="N229" s="51">
        <v>80</v>
      </c>
      <c r="O229" t="s">
        <v>1043</v>
      </c>
    </row>
    <row r="230" spans="1:17">
      <c r="A230" s="80" t="s">
        <v>965</v>
      </c>
      <c r="B230" s="4">
        <v>7</v>
      </c>
      <c r="C230" s="4">
        <v>2</v>
      </c>
      <c r="D230" s="4">
        <v>45</v>
      </c>
      <c r="E230" s="4">
        <v>1</v>
      </c>
      <c r="F230" s="4">
        <v>50</v>
      </c>
      <c r="G230" s="10">
        <f t="shared" si="68"/>
        <v>7.0333333333333332</v>
      </c>
      <c r="H230" s="4">
        <v>50</v>
      </c>
      <c r="I230" s="5">
        <f>G230*D230</f>
        <v>316.5</v>
      </c>
      <c r="J230" s="5">
        <f>I230-H230</f>
        <v>266.5</v>
      </c>
      <c r="K230">
        <v>20</v>
      </c>
      <c r="N230" s="51">
        <v>602</v>
      </c>
      <c r="P230" t="s">
        <v>942</v>
      </c>
      <c r="Q230" t="s">
        <v>64</v>
      </c>
    </row>
    <row r="231" spans="1:17">
      <c r="A231" s="80" t="s">
        <v>967</v>
      </c>
      <c r="B231" s="4">
        <v>7</v>
      </c>
      <c r="C231" s="4">
        <v>46</v>
      </c>
      <c r="D231" s="4">
        <v>45</v>
      </c>
      <c r="E231" s="4">
        <v>1</v>
      </c>
      <c r="F231" s="4">
        <v>50</v>
      </c>
      <c r="G231" s="10">
        <f>B231+C231/60</f>
        <v>7.7666666666666666</v>
      </c>
      <c r="H231" s="4">
        <v>50</v>
      </c>
      <c r="I231" s="5">
        <f>G231*D231</f>
        <v>349.5</v>
      </c>
      <c r="J231" s="5">
        <f>I231-H231</f>
        <v>299.5</v>
      </c>
      <c r="K231">
        <v>26</v>
      </c>
      <c r="N231" s="51">
        <v>543</v>
      </c>
      <c r="P231" t="s">
        <v>1044</v>
      </c>
    </row>
    <row r="232" spans="1:17">
      <c r="A232" s="80" t="s">
        <v>969</v>
      </c>
      <c r="B232" s="4">
        <v>7</v>
      </c>
      <c r="C232" s="4">
        <v>18</v>
      </c>
      <c r="D232" s="4">
        <v>45</v>
      </c>
      <c r="E232" s="4">
        <v>1</v>
      </c>
      <c r="F232" s="4">
        <v>50</v>
      </c>
      <c r="G232" s="10">
        <f t="shared" ref="G232:G234" si="69">B232+C232/60</f>
        <v>7.3</v>
      </c>
      <c r="H232" s="4">
        <v>50</v>
      </c>
      <c r="I232" s="5">
        <f t="shared" ref="I232:I234" si="70">G232*D232</f>
        <v>328.5</v>
      </c>
      <c r="J232" s="5">
        <f t="shared" ref="J232:J234" si="71">I232-H232</f>
        <v>278.5</v>
      </c>
      <c r="K232">
        <v>22</v>
      </c>
      <c r="N232" s="51">
        <v>377</v>
      </c>
      <c r="P232" t="s">
        <v>1045</v>
      </c>
    </row>
    <row r="233" spans="1:17">
      <c r="A233" s="80" t="s">
        <v>971</v>
      </c>
      <c r="B233" s="4">
        <v>10</v>
      </c>
      <c r="C233" s="4">
        <v>58</v>
      </c>
      <c r="D233" s="4">
        <v>65</v>
      </c>
      <c r="E233" s="4">
        <v>1</v>
      </c>
      <c r="F233" s="4">
        <v>50</v>
      </c>
      <c r="G233" s="10">
        <f t="shared" si="69"/>
        <v>10.966666666666667</v>
      </c>
      <c r="H233" s="4">
        <v>50</v>
      </c>
      <c r="I233" s="5">
        <f t="shared" si="70"/>
        <v>712.83333333333337</v>
      </c>
      <c r="J233" s="5">
        <f t="shared" si="71"/>
        <v>662.83333333333337</v>
      </c>
      <c r="K233">
        <v>33</v>
      </c>
      <c r="N233" s="51">
        <v>714</v>
      </c>
    </row>
    <row r="234" spans="1:17">
      <c r="A234" s="80" t="s">
        <v>973</v>
      </c>
      <c r="B234" s="4">
        <v>9</v>
      </c>
      <c r="C234" s="4">
        <v>6</v>
      </c>
      <c r="D234" s="7">
        <v>55</v>
      </c>
      <c r="E234" s="7">
        <v>1</v>
      </c>
      <c r="F234" s="7">
        <v>50</v>
      </c>
      <c r="G234" s="10">
        <f t="shared" si="69"/>
        <v>9.1</v>
      </c>
      <c r="H234" s="4">
        <v>50</v>
      </c>
      <c r="I234" s="5">
        <f t="shared" si="70"/>
        <v>500.5</v>
      </c>
      <c r="J234" s="5">
        <f t="shared" si="71"/>
        <v>450.5</v>
      </c>
      <c r="K234">
        <v>28</v>
      </c>
      <c r="N234" s="51">
        <v>922</v>
      </c>
      <c r="P234" t="s">
        <v>1046</v>
      </c>
    </row>
    <row r="235" spans="1:17" ht="20" thickBot="1">
      <c r="A235" s="91" t="s">
        <v>548</v>
      </c>
      <c r="B235" s="8">
        <f>SUM(B236:B242)</f>
        <v>60</v>
      </c>
      <c r="C235" s="8">
        <f>SUM(C236:C242)</f>
        <v>168</v>
      </c>
      <c r="D235" s="126">
        <f>SUM(D236)</f>
        <v>65</v>
      </c>
      <c r="E235" s="126">
        <f>SUM(E236:E242)</f>
        <v>6</v>
      </c>
      <c r="F235" s="126">
        <f>SUM(F236:F242)</f>
        <v>350</v>
      </c>
      <c r="G235" s="123">
        <f t="shared" ref="G235:G241" si="72">B235+C235/60</f>
        <v>62.8</v>
      </c>
      <c r="H235" s="8">
        <f>SUM(H236:H242)</f>
        <v>300</v>
      </c>
      <c r="I235" s="14">
        <f>SUM(I236:I242)</f>
        <v>3251</v>
      </c>
      <c r="J235" s="14">
        <f>SUM(J236:J242)</f>
        <v>2951</v>
      </c>
      <c r="K235" s="8">
        <f>SUM(K236:K242)</f>
        <v>168</v>
      </c>
      <c r="L235" s="9">
        <v>0</v>
      </c>
      <c r="M235" s="96">
        <f>J235</f>
        <v>2951</v>
      </c>
      <c r="N235" s="102">
        <f>SUM(N236:N242)</f>
        <v>4580</v>
      </c>
      <c r="O235" s="98">
        <f>4632-N235</f>
        <v>52</v>
      </c>
      <c r="P235" s="86"/>
      <c r="Q235" s="86"/>
    </row>
    <row r="236" spans="1:17">
      <c r="A236" s="6">
        <v>46139</v>
      </c>
      <c r="B236" s="4">
        <v>10</v>
      </c>
      <c r="C236" s="4">
        <v>52</v>
      </c>
      <c r="D236" s="4">
        <v>65</v>
      </c>
      <c r="E236" s="4">
        <v>1</v>
      </c>
      <c r="F236" s="4">
        <v>50</v>
      </c>
      <c r="G236" s="10">
        <f t="shared" si="72"/>
        <v>10.866666666666667</v>
      </c>
      <c r="H236" s="4">
        <v>50</v>
      </c>
      <c r="I236" s="5">
        <f>G236*D236</f>
        <v>706.33333333333337</v>
      </c>
      <c r="J236" s="5">
        <f>I236-H236</f>
        <v>656.33333333333337</v>
      </c>
      <c r="K236">
        <v>33</v>
      </c>
      <c r="N236" s="51">
        <v>824</v>
      </c>
      <c r="O236" s="51"/>
    </row>
    <row r="237" spans="1:17">
      <c r="A237" s="6">
        <v>46140</v>
      </c>
      <c r="B237" s="4">
        <v>11</v>
      </c>
      <c r="C237" s="4">
        <v>0</v>
      </c>
      <c r="D237" s="4">
        <v>55</v>
      </c>
      <c r="E237" s="4">
        <v>1</v>
      </c>
      <c r="F237" s="4">
        <v>50</v>
      </c>
      <c r="G237" s="10">
        <f t="shared" si="72"/>
        <v>11</v>
      </c>
      <c r="H237" s="4">
        <v>50</v>
      </c>
      <c r="I237" s="5">
        <f>G237*D237</f>
        <v>605</v>
      </c>
      <c r="J237" s="5">
        <f>I237-H237</f>
        <v>555</v>
      </c>
      <c r="K237">
        <v>30</v>
      </c>
      <c r="N237" s="51">
        <v>858</v>
      </c>
    </row>
    <row r="238" spans="1:17">
      <c r="A238" s="6">
        <v>46141</v>
      </c>
      <c r="B238" s="4">
        <v>10</v>
      </c>
      <c r="C238" s="4">
        <v>14</v>
      </c>
      <c r="D238" s="4">
        <v>45</v>
      </c>
      <c r="E238" s="4">
        <v>1</v>
      </c>
      <c r="F238" s="4">
        <v>50</v>
      </c>
      <c r="G238" s="10">
        <f t="shared" si="72"/>
        <v>10.233333333333333</v>
      </c>
      <c r="H238" s="4">
        <v>50</v>
      </c>
      <c r="I238" s="5">
        <f>G238*D238</f>
        <v>460.49999999999994</v>
      </c>
      <c r="J238" s="5">
        <f>I238-H238</f>
        <v>410.49999999999994</v>
      </c>
      <c r="K238">
        <v>26</v>
      </c>
      <c r="N238" s="51">
        <v>794</v>
      </c>
      <c r="P238" t="s">
        <v>550</v>
      </c>
    </row>
    <row r="239" spans="1:17">
      <c r="A239" s="6">
        <v>46142</v>
      </c>
      <c r="B239" s="4">
        <v>10</v>
      </c>
      <c r="C239" s="4">
        <v>30</v>
      </c>
      <c r="D239" s="4">
        <v>45</v>
      </c>
      <c r="E239" s="4">
        <v>1</v>
      </c>
      <c r="F239" s="4">
        <v>50</v>
      </c>
      <c r="G239" s="10">
        <f t="shared" si="72"/>
        <v>10.5</v>
      </c>
      <c r="H239" s="4">
        <v>50</v>
      </c>
      <c r="I239" s="5">
        <f>G239*D239</f>
        <v>472.5</v>
      </c>
      <c r="J239" s="5">
        <f>I239-H239</f>
        <v>422.5</v>
      </c>
      <c r="K239">
        <v>26</v>
      </c>
      <c r="N239" s="51">
        <v>574</v>
      </c>
    </row>
    <row r="240" spans="1:17">
      <c r="A240" s="6">
        <v>46143</v>
      </c>
      <c r="B240" s="4">
        <v>9</v>
      </c>
      <c r="C240" s="4">
        <v>46</v>
      </c>
      <c r="D240" s="4">
        <v>55</v>
      </c>
      <c r="E240" s="4">
        <v>1</v>
      </c>
      <c r="F240" s="4">
        <v>50</v>
      </c>
      <c r="G240" s="10">
        <f t="shared" si="72"/>
        <v>9.7666666666666675</v>
      </c>
      <c r="H240" s="4">
        <v>50</v>
      </c>
      <c r="I240" s="5">
        <f t="shared" ref="I240:I241" si="73">G240*D240</f>
        <v>537.16666666666674</v>
      </c>
      <c r="J240" s="5">
        <f t="shared" ref="J240:J241" si="74">I240-H240</f>
        <v>487.16666666666674</v>
      </c>
      <c r="K240">
        <v>28</v>
      </c>
      <c r="N240" s="51">
        <v>720</v>
      </c>
    </row>
    <row r="241" spans="1:17">
      <c r="A241" s="6">
        <v>46144</v>
      </c>
      <c r="B241" s="4">
        <v>10</v>
      </c>
      <c r="C241" s="4">
        <v>26</v>
      </c>
      <c r="D241" s="4">
        <v>45</v>
      </c>
      <c r="E241" s="4">
        <v>1</v>
      </c>
      <c r="F241" s="4">
        <v>50</v>
      </c>
      <c r="G241" s="10">
        <f t="shared" si="72"/>
        <v>10.433333333333334</v>
      </c>
      <c r="H241" s="4">
        <v>50</v>
      </c>
      <c r="I241" s="5">
        <f t="shared" si="73"/>
        <v>469.5</v>
      </c>
      <c r="J241" s="5">
        <f t="shared" si="74"/>
        <v>419.5</v>
      </c>
      <c r="K241">
        <v>25</v>
      </c>
      <c r="N241" s="51">
        <v>810</v>
      </c>
    </row>
    <row r="242" spans="1:17" ht="16" thickBot="1">
      <c r="A242" s="6">
        <v>46145</v>
      </c>
      <c r="B242" s="4">
        <v>0</v>
      </c>
      <c r="C242" s="4">
        <v>0</v>
      </c>
      <c r="D242" s="4">
        <v>45</v>
      </c>
      <c r="E242" s="4">
        <v>0</v>
      </c>
      <c r="F242" s="4">
        <v>50</v>
      </c>
      <c r="G242" s="10">
        <f t="shared" ref="G242:G284" si="75">B242+C242/60</f>
        <v>0</v>
      </c>
      <c r="H242" s="4">
        <v>0</v>
      </c>
      <c r="I242" s="5">
        <f t="shared" ref="I242:I250" si="76">G242*D242</f>
        <v>0</v>
      </c>
      <c r="J242" s="5">
        <f>I242-H242</f>
        <v>0</v>
      </c>
      <c r="K242">
        <v>0</v>
      </c>
      <c r="N242" s="51">
        <v>0</v>
      </c>
    </row>
    <row r="243" spans="1:17" ht="19">
      <c r="A243" s="91" t="s">
        <v>549</v>
      </c>
      <c r="B243" s="8">
        <f>SUM(B244:B250)</f>
        <v>64</v>
      </c>
      <c r="C243" s="8">
        <f>SUM(C244:C250)</f>
        <v>202</v>
      </c>
      <c r="D243" s="126">
        <f>SUM(D244)</f>
        <v>45</v>
      </c>
      <c r="E243" s="126">
        <f>SUM(E244:E250)</f>
        <v>7</v>
      </c>
      <c r="F243" s="126">
        <f>SUM(F244:F250)</f>
        <v>350</v>
      </c>
      <c r="G243" s="123">
        <f t="shared" si="75"/>
        <v>67.36666666666666</v>
      </c>
      <c r="H243" s="8">
        <f>SUM(H244:H250)</f>
        <v>350</v>
      </c>
      <c r="I243" s="9">
        <f>SUM(I244:I250)</f>
        <v>3712.6666666666665</v>
      </c>
      <c r="J243" s="9">
        <f>SUM(J244:J250)</f>
        <v>3362.6666666666665</v>
      </c>
      <c r="K243" s="8">
        <f>SUM(K244:K250)</f>
        <v>207</v>
      </c>
      <c r="L243" s="9">
        <v>0</v>
      </c>
      <c r="M243" s="96">
        <f>J243</f>
        <v>3362.6666666666665</v>
      </c>
      <c r="N243" s="102">
        <f>SUM(N244:N250)</f>
        <v>5150</v>
      </c>
      <c r="O243" s="98">
        <f>5212-N243</f>
        <v>62</v>
      </c>
      <c r="P243" s="86"/>
      <c r="Q243" s="86"/>
    </row>
    <row r="244" spans="1:17">
      <c r="A244" s="6">
        <v>46139</v>
      </c>
      <c r="B244" s="7">
        <v>9</v>
      </c>
      <c r="C244" s="7">
        <v>43</v>
      </c>
      <c r="D244" s="4">
        <v>45</v>
      </c>
      <c r="E244" s="4">
        <v>1</v>
      </c>
      <c r="F244" s="4">
        <v>50</v>
      </c>
      <c r="G244" s="10">
        <f t="shared" si="75"/>
        <v>9.7166666666666668</v>
      </c>
      <c r="H244" s="4">
        <v>50</v>
      </c>
      <c r="I244" s="5">
        <f t="shared" si="76"/>
        <v>437.25</v>
      </c>
      <c r="J244" s="5">
        <f t="shared" ref="J244:J250" si="77">I244-H244</f>
        <v>387.25</v>
      </c>
      <c r="K244">
        <v>24</v>
      </c>
      <c r="N244" s="51">
        <v>824</v>
      </c>
      <c r="O244" s="51"/>
    </row>
    <row r="245" spans="1:17">
      <c r="A245" s="6">
        <v>46140</v>
      </c>
      <c r="B245" s="4">
        <v>9</v>
      </c>
      <c r="C245" s="4">
        <v>30</v>
      </c>
      <c r="D245" s="4">
        <v>55</v>
      </c>
      <c r="E245" s="4">
        <v>1</v>
      </c>
      <c r="F245" s="4">
        <v>50</v>
      </c>
      <c r="G245" s="10">
        <f t="shared" si="75"/>
        <v>9.5</v>
      </c>
      <c r="H245" s="4">
        <v>50</v>
      </c>
      <c r="I245" s="5">
        <f t="shared" si="76"/>
        <v>522.5</v>
      </c>
      <c r="J245" s="5">
        <f t="shared" si="77"/>
        <v>472.5</v>
      </c>
      <c r="K245">
        <v>28</v>
      </c>
      <c r="N245" s="51">
        <v>470</v>
      </c>
    </row>
    <row r="246" spans="1:17">
      <c r="A246" s="6">
        <v>46141</v>
      </c>
      <c r="B246" s="4">
        <v>9</v>
      </c>
      <c r="C246" s="4">
        <v>1</v>
      </c>
      <c r="D246" s="4">
        <v>55</v>
      </c>
      <c r="E246" s="4">
        <v>1</v>
      </c>
      <c r="F246" s="4">
        <v>50</v>
      </c>
      <c r="G246" s="10">
        <f t="shared" si="75"/>
        <v>9.0166666666666675</v>
      </c>
      <c r="H246" s="4">
        <v>50</v>
      </c>
      <c r="I246" s="5">
        <f t="shared" si="76"/>
        <v>495.91666666666669</v>
      </c>
      <c r="J246" s="5">
        <f t="shared" si="77"/>
        <v>445.91666666666669</v>
      </c>
      <c r="K246">
        <v>27</v>
      </c>
      <c r="N246" s="51">
        <v>450</v>
      </c>
      <c r="Q246" t="s">
        <v>64</v>
      </c>
    </row>
    <row r="247" spans="1:17">
      <c r="A247" s="6">
        <v>46142</v>
      </c>
      <c r="B247" s="4">
        <v>10</v>
      </c>
      <c r="C247" s="4">
        <v>28</v>
      </c>
      <c r="D247" s="4">
        <v>65</v>
      </c>
      <c r="E247" s="4">
        <v>1</v>
      </c>
      <c r="F247" s="4">
        <v>50</v>
      </c>
      <c r="G247" s="10">
        <f t="shared" si="75"/>
        <v>10.466666666666667</v>
      </c>
      <c r="H247" s="4">
        <v>50</v>
      </c>
      <c r="I247" s="5">
        <f t="shared" si="76"/>
        <v>680.33333333333337</v>
      </c>
      <c r="J247" s="5">
        <f t="shared" si="77"/>
        <v>630.33333333333337</v>
      </c>
      <c r="K247">
        <v>36</v>
      </c>
      <c r="N247" s="51">
        <v>840</v>
      </c>
    </row>
    <row r="248" spans="1:17">
      <c r="A248" s="6">
        <v>46143</v>
      </c>
      <c r="B248" s="4">
        <v>10</v>
      </c>
      <c r="C248" s="4">
        <v>33</v>
      </c>
      <c r="D248" s="4">
        <v>55</v>
      </c>
      <c r="E248" s="4">
        <v>1</v>
      </c>
      <c r="F248" s="4">
        <v>50</v>
      </c>
      <c r="G248" s="10">
        <f t="shared" si="75"/>
        <v>10.55</v>
      </c>
      <c r="H248" s="4">
        <v>50</v>
      </c>
      <c r="I248" s="5">
        <f t="shared" si="76"/>
        <v>580.25</v>
      </c>
      <c r="J248" s="5">
        <f t="shared" si="77"/>
        <v>530.25</v>
      </c>
      <c r="K248">
        <v>30</v>
      </c>
      <c r="N248" s="51">
        <v>606</v>
      </c>
    </row>
    <row r="249" spans="1:17">
      <c r="A249" s="6">
        <v>46144</v>
      </c>
      <c r="B249" s="4">
        <v>10</v>
      </c>
      <c r="C249" s="4">
        <v>12</v>
      </c>
      <c r="D249" s="4">
        <v>55</v>
      </c>
      <c r="E249" s="4">
        <v>1</v>
      </c>
      <c r="F249" s="4">
        <v>50</v>
      </c>
      <c r="G249" s="10">
        <f t="shared" si="75"/>
        <v>10.199999999999999</v>
      </c>
      <c r="H249" s="4">
        <v>50</v>
      </c>
      <c r="I249" s="5">
        <f t="shared" si="76"/>
        <v>561</v>
      </c>
      <c r="J249" s="5">
        <f t="shared" si="77"/>
        <v>511</v>
      </c>
      <c r="K249">
        <v>31</v>
      </c>
      <c r="N249" s="51">
        <v>1215</v>
      </c>
    </row>
    <row r="250" spans="1:17" ht="16" thickBot="1">
      <c r="A250" s="6">
        <v>46145</v>
      </c>
      <c r="B250" s="4">
        <v>7</v>
      </c>
      <c r="C250" s="4">
        <v>55</v>
      </c>
      <c r="D250" s="7">
        <v>55</v>
      </c>
      <c r="E250" s="7">
        <v>1</v>
      </c>
      <c r="F250" s="7">
        <v>50</v>
      </c>
      <c r="G250" s="10">
        <f t="shared" si="75"/>
        <v>7.916666666666667</v>
      </c>
      <c r="H250" s="4">
        <v>50</v>
      </c>
      <c r="I250" s="5">
        <f t="shared" si="76"/>
        <v>435.41666666666669</v>
      </c>
      <c r="J250" s="5">
        <f t="shared" si="77"/>
        <v>385.41666666666669</v>
      </c>
      <c r="K250">
        <v>31</v>
      </c>
      <c r="N250" s="51">
        <v>745</v>
      </c>
    </row>
    <row r="251" spans="1:17" ht="20" thickBot="1">
      <c r="A251" s="91" t="s">
        <v>932</v>
      </c>
      <c r="B251" s="8">
        <f>SUM(B252:B258)</f>
        <v>35</v>
      </c>
      <c r="C251" s="173">
        <f>SUM(C252:C258)</f>
        <v>62</v>
      </c>
      <c r="D251" s="171">
        <f>SUM(D252)</f>
        <v>45</v>
      </c>
      <c r="E251" s="171">
        <f>SUM(E252:E258)</f>
        <v>4</v>
      </c>
      <c r="F251" s="171">
        <f>SUM(F252:F258)</f>
        <v>350</v>
      </c>
      <c r="G251" s="175">
        <f t="shared" ref="G251:G256" si="78">B251+C251/60</f>
        <v>36.033333333333331</v>
      </c>
      <c r="H251" s="8">
        <f>SUM(H252:H258)</f>
        <v>200</v>
      </c>
      <c r="I251" s="14">
        <f>SUM(I252:I258)</f>
        <v>1621.5</v>
      </c>
      <c r="J251" s="14">
        <f>SUM(J252:J258)</f>
        <v>1421.5</v>
      </c>
      <c r="K251" s="8">
        <f>SUM(K252:K258)</f>
        <v>65</v>
      </c>
      <c r="L251" s="9">
        <v>0</v>
      </c>
      <c r="M251" s="96">
        <f>J251</f>
        <v>1421.5</v>
      </c>
      <c r="N251" s="102">
        <f>SUM(N252:N258)</f>
        <v>1600</v>
      </c>
      <c r="O251" s="98">
        <f>1596-N251</f>
        <v>-4</v>
      </c>
      <c r="P251" s="86"/>
      <c r="Q251" s="86"/>
    </row>
    <row r="252" spans="1:17">
      <c r="A252" s="6">
        <v>46139</v>
      </c>
      <c r="B252" s="4">
        <v>11</v>
      </c>
      <c r="C252" s="4">
        <v>0</v>
      </c>
      <c r="D252" s="141">
        <v>45</v>
      </c>
      <c r="E252" s="141">
        <v>1</v>
      </c>
      <c r="F252" s="141">
        <v>50</v>
      </c>
      <c r="G252" s="10">
        <f t="shared" si="78"/>
        <v>11</v>
      </c>
      <c r="H252" s="4">
        <v>50</v>
      </c>
      <c r="I252" s="5">
        <f>G252*D252</f>
        <v>495</v>
      </c>
      <c r="J252" s="5">
        <f>I252-H252</f>
        <v>445</v>
      </c>
      <c r="K252">
        <v>22</v>
      </c>
      <c r="N252" s="51">
        <v>609</v>
      </c>
      <c r="O252" s="51"/>
    </row>
    <row r="253" spans="1:17">
      <c r="A253" s="6">
        <v>46140</v>
      </c>
      <c r="B253" s="4">
        <v>5</v>
      </c>
      <c r="C253" s="4">
        <v>48</v>
      </c>
      <c r="D253" s="4">
        <v>45</v>
      </c>
      <c r="E253" s="4">
        <v>1</v>
      </c>
      <c r="F253" s="4">
        <v>50</v>
      </c>
      <c r="G253" s="10">
        <f t="shared" si="78"/>
        <v>5.8</v>
      </c>
      <c r="H253" s="4">
        <v>50</v>
      </c>
      <c r="I253" s="5">
        <f>G253*D253</f>
        <v>261</v>
      </c>
      <c r="J253" s="5">
        <f>I253-H253</f>
        <v>211</v>
      </c>
      <c r="K253">
        <v>12</v>
      </c>
      <c r="N253" s="51">
        <v>143</v>
      </c>
      <c r="P253" s="128" t="s">
        <v>1047</v>
      </c>
    </row>
    <row r="254" spans="1:17">
      <c r="A254" s="6">
        <v>46141</v>
      </c>
      <c r="B254" s="4">
        <v>8</v>
      </c>
      <c r="C254" s="4">
        <v>14</v>
      </c>
      <c r="D254" s="4">
        <v>45</v>
      </c>
      <c r="E254" s="4">
        <v>1</v>
      </c>
      <c r="F254" s="4">
        <v>50</v>
      </c>
      <c r="G254" s="10">
        <f t="shared" si="78"/>
        <v>8.2333333333333325</v>
      </c>
      <c r="H254" s="4">
        <v>50</v>
      </c>
      <c r="I254" s="5">
        <f>G254*D254</f>
        <v>370.49999999999994</v>
      </c>
      <c r="J254" s="5">
        <f>I254-H254</f>
        <v>320.49999999999994</v>
      </c>
      <c r="K254">
        <v>14</v>
      </c>
      <c r="N254" s="51">
        <v>371</v>
      </c>
      <c r="Q254" t="s">
        <v>64</v>
      </c>
    </row>
    <row r="255" spans="1:17">
      <c r="A255" s="6">
        <v>46142</v>
      </c>
      <c r="B255" s="4">
        <v>11</v>
      </c>
      <c r="C255" s="4">
        <v>0</v>
      </c>
      <c r="D255" s="4">
        <v>45</v>
      </c>
      <c r="E255" s="4">
        <v>1</v>
      </c>
      <c r="F255" s="4">
        <v>50</v>
      </c>
      <c r="G255" s="10">
        <f t="shared" si="78"/>
        <v>11</v>
      </c>
      <c r="H255" s="4">
        <v>50</v>
      </c>
      <c r="I255" s="5">
        <f>G255*D255</f>
        <v>495</v>
      </c>
      <c r="J255" s="5">
        <f>I255-H255</f>
        <v>445</v>
      </c>
      <c r="K255">
        <v>17</v>
      </c>
      <c r="N255" s="51">
        <v>477</v>
      </c>
    </row>
    <row r="256" spans="1:17">
      <c r="A256" s="6">
        <v>46143</v>
      </c>
      <c r="B256" s="4">
        <v>0</v>
      </c>
      <c r="C256" s="4">
        <v>0</v>
      </c>
      <c r="D256" s="4">
        <v>45</v>
      </c>
      <c r="E256" s="4">
        <v>0</v>
      </c>
      <c r="F256" s="4">
        <v>50</v>
      </c>
      <c r="G256" s="10">
        <f t="shared" si="78"/>
        <v>0</v>
      </c>
      <c r="H256" s="4">
        <v>0</v>
      </c>
      <c r="I256" s="5">
        <f>G256*D256</f>
        <v>0</v>
      </c>
      <c r="J256" s="5">
        <f>I256-H256</f>
        <v>0</v>
      </c>
      <c r="K256">
        <v>0</v>
      </c>
      <c r="N256" s="51">
        <v>0</v>
      </c>
    </row>
    <row r="257" spans="1:17">
      <c r="A257" s="6">
        <v>46144</v>
      </c>
      <c r="B257" s="4">
        <v>0</v>
      </c>
      <c r="C257" s="4">
        <v>0</v>
      </c>
      <c r="D257" s="4">
        <v>45</v>
      </c>
      <c r="E257" s="4">
        <v>0</v>
      </c>
      <c r="F257" s="4">
        <v>50</v>
      </c>
      <c r="G257" s="10">
        <v>0</v>
      </c>
      <c r="H257" s="4">
        <v>0</v>
      </c>
      <c r="I257" s="5">
        <v>0</v>
      </c>
      <c r="J257" s="5">
        <v>0</v>
      </c>
      <c r="K257">
        <v>0</v>
      </c>
      <c r="N257" s="51">
        <v>0</v>
      </c>
    </row>
    <row r="258" spans="1:17" ht="16" thickBot="1">
      <c r="A258" s="6">
        <v>46145</v>
      </c>
      <c r="B258" s="4">
        <v>0</v>
      </c>
      <c r="C258" s="4">
        <v>0</v>
      </c>
      <c r="D258" s="4">
        <v>45</v>
      </c>
      <c r="E258" s="4">
        <v>0</v>
      </c>
      <c r="F258" s="4">
        <v>50</v>
      </c>
      <c r="G258" s="10">
        <f t="shared" ref="G258:G274" si="79">B258+C258/60</f>
        <v>0</v>
      </c>
      <c r="H258" s="4">
        <v>0</v>
      </c>
      <c r="I258" s="5">
        <f>G258*D258</f>
        <v>0</v>
      </c>
      <c r="J258" s="5">
        <f>I258-H258</f>
        <v>0</v>
      </c>
      <c r="K258">
        <v>0</v>
      </c>
      <c r="N258" s="51">
        <v>0</v>
      </c>
    </row>
    <row r="259" spans="1:17" ht="19">
      <c r="A259" s="91" t="s">
        <v>936</v>
      </c>
      <c r="B259" s="8">
        <f>SUM(B260:B266)</f>
        <v>50</v>
      </c>
      <c r="C259" s="8">
        <f>SUM(C260:C266)</f>
        <v>224</v>
      </c>
      <c r="D259" s="8">
        <f>SUM(D260)</f>
        <v>45</v>
      </c>
      <c r="E259" s="8">
        <f>SUM(E260:E266)</f>
        <v>7</v>
      </c>
      <c r="F259" s="8">
        <f>SUM(F260:F265)</f>
        <v>300</v>
      </c>
      <c r="G259" s="93">
        <f t="shared" si="79"/>
        <v>53.733333333333334</v>
      </c>
      <c r="H259" s="8">
        <f>SUM(H260:H266)</f>
        <v>350</v>
      </c>
      <c r="I259" s="9">
        <f>SUM(I260:I266)</f>
        <v>2418</v>
      </c>
      <c r="J259" s="9">
        <f>SUM(J260:J266)</f>
        <v>2068</v>
      </c>
      <c r="K259" s="8">
        <f>SUM(K260:K266)</f>
        <v>138</v>
      </c>
      <c r="L259" s="9">
        <v>0</v>
      </c>
      <c r="M259" s="96">
        <f>J259</f>
        <v>2068</v>
      </c>
      <c r="N259" s="102">
        <f>SUM(N260:N266)</f>
        <v>3719</v>
      </c>
      <c r="O259" s="98">
        <f>4091-N259</f>
        <v>372</v>
      </c>
      <c r="P259" s="86"/>
      <c r="Q259" s="86"/>
    </row>
    <row r="260" spans="1:17">
      <c r="A260" s="6">
        <v>46139</v>
      </c>
      <c r="B260" s="4">
        <v>7</v>
      </c>
      <c r="C260" s="4">
        <v>12</v>
      </c>
      <c r="D260" s="4">
        <v>45</v>
      </c>
      <c r="E260" s="4">
        <v>1</v>
      </c>
      <c r="F260" s="4">
        <v>50</v>
      </c>
      <c r="G260" s="10">
        <f t="shared" si="79"/>
        <v>7.2</v>
      </c>
      <c r="H260" s="4">
        <v>50</v>
      </c>
      <c r="I260" s="5">
        <f t="shared" ref="I260:I266" si="80">G260*D260</f>
        <v>324</v>
      </c>
      <c r="J260" s="5">
        <f t="shared" ref="J260:J266" si="81">I260-H260</f>
        <v>274</v>
      </c>
      <c r="K260">
        <v>15</v>
      </c>
      <c r="N260" s="51">
        <v>88</v>
      </c>
      <c r="O260" s="51"/>
    </row>
    <row r="261" spans="1:17">
      <c r="A261" s="6">
        <v>46140</v>
      </c>
      <c r="B261" s="4">
        <v>7</v>
      </c>
      <c r="C261" s="4">
        <v>55</v>
      </c>
      <c r="D261" s="4">
        <v>45</v>
      </c>
      <c r="E261" s="4">
        <v>1</v>
      </c>
      <c r="F261" s="4">
        <v>50</v>
      </c>
      <c r="G261" s="10">
        <f t="shared" si="79"/>
        <v>7.916666666666667</v>
      </c>
      <c r="H261" s="4">
        <v>50</v>
      </c>
      <c r="I261" s="5">
        <f t="shared" si="80"/>
        <v>356.25</v>
      </c>
      <c r="J261" s="5">
        <f t="shared" si="81"/>
        <v>306.25</v>
      </c>
      <c r="K261">
        <v>22</v>
      </c>
      <c r="N261" s="51">
        <v>400</v>
      </c>
      <c r="Q261" t="s">
        <v>1048</v>
      </c>
    </row>
    <row r="262" spans="1:17">
      <c r="A262" s="6">
        <v>46141</v>
      </c>
      <c r="B262" s="4">
        <v>9</v>
      </c>
      <c r="C262" s="4">
        <v>2</v>
      </c>
      <c r="D262" s="4">
        <v>45</v>
      </c>
      <c r="E262" s="4">
        <v>1</v>
      </c>
      <c r="F262" s="4">
        <v>50</v>
      </c>
      <c r="G262" s="10">
        <f t="shared" si="79"/>
        <v>9.0333333333333332</v>
      </c>
      <c r="H262" s="4">
        <v>50</v>
      </c>
      <c r="I262" s="5">
        <f t="shared" si="80"/>
        <v>406.5</v>
      </c>
      <c r="J262" s="5">
        <f t="shared" si="81"/>
        <v>356.5</v>
      </c>
      <c r="K262">
        <v>20</v>
      </c>
      <c r="N262" s="83">
        <v>520</v>
      </c>
    </row>
    <row r="263" spans="1:17">
      <c r="A263" s="6">
        <v>46142</v>
      </c>
      <c r="B263" s="4">
        <v>8</v>
      </c>
      <c r="C263" s="4">
        <v>16</v>
      </c>
      <c r="D263" s="4">
        <v>45</v>
      </c>
      <c r="E263" s="4">
        <v>1</v>
      </c>
      <c r="F263" s="4">
        <v>50</v>
      </c>
      <c r="G263" s="10">
        <f t="shared" si="79"/>
        <v>8.2666666666666675</v>
      </c>
      <c r="H263" s="4">
        <v>50</v>
      </c>
      <c r="I263" s="5">
        <f t="shared" si="80"/>
        <v>372.00000000000006</v>
      </c>
      <c r="J263" s="5">
        <f t="shared" si="81"/>
        <v>322.00000000000006</v>
      </c>
      <c r="K263">
        <v>23</v>
      </c>
      <c r="N263" s="51">
        <v>470</v>
      </c>
    </row>
    <row r="264" spans="1:17">
      <c r="A264" s="6">
        <v>46143</v>
      </c>
      <c r="B264" s="4">
        <v>7</v>
      </c>
      <c r="C264" s="4">
        <v>40</v>
      </c>
      <c r="D264" s="4">
        <v>45</v>
      </c>
      <c r="E264" s="4">
        <v>1</v>
      </c>
      <c r="F264" s="4">
        <v>50</v>
      </c>
      <c r="G264" s="10">
        <f t="shared" si="79"/>
        <v>7.666666666666667</v>
      </c>
      <c r="H264" s="4">
        <v>50</v>
      </c>
      <c r="I264" s="5">
        <f t="shared" si="80"/>
        <v>345</v>
      </c>
      <c r="J264" s="5">
        <f t="shared" si="81"/>
        <v>295</v>
      </c>
      <c r="K264">
        <v>17</v>
      </c>
      <c r="N264" s="51">
        <v>870</v>
      </c>
    </row>
    <row r="265" spans="1:17">
      <c r="A265" s="6">
        <v>46144</v>
      </c>
      <c r="B265" s="4">
        <v>6</v>
      </c>
      <c r="C265" s="4">
        <v>42</v>
      </c>
      <c r="D265" s="4">
        <v>45</v>
      </c>
      <c r="E265" s="4">
        <v>1</v>
      </c>
      <c r="F265" s="4">
        <v>50</v>
      </c>
      <c r="G265" s="10">
        <f t="shared" si="79"/>
        <v>6.7</v>
      </c>
      <c r="H265" s="4">
        <v>50</v>
      </c>
      <c r="I265" s="5">
        <f t="shared" si="80"/>
        <v>301.5</v>
      </c>
      <c r="J265" s="5">
        <f t="shared" si="81"/>
        <v>251.5</v>
      </c>
      <c r="K265">
        <v>19</v>
      </c>
      <c r="N265" s="51">
        <v>622</v>
      </c>
    </row>
    <row r="266" spans="1:17">
      <c r="A266" s="6">
        <v>46145</v>
      </c>
      <c r="B266" s="4">
        <v>6</v>
      </c>
      <c r="C266" s="4">
        <v>57</v>
      </c>
      <c r="D266" s="4">
        <v>45</v>
      </c>
      <c r="E266" s="4">
        <v>1</v>
      </c>
      <c r="F266" s="4">
        <v>50</v>
      </c>
      <c r="G266" s="10">
        <f t="shared" si="79"/>
        <v>6.95</v>
      </c>
      <c r="H266" s="4">
        <v>50</v>
      </c>
      <c r="I266" s="5">
        <f t="shared" si="80"/>
        <v>312.75</v>
      </c>
      <c r="J266" s="5">
        <f t="shared" si="81"/>
        <v>262.75</v>
      </c>
      <c r="K266">
        <v>22</v>
      </c>
      <c r="N266" s="51">
        <v>749</v>
      </c>
    </row>
    <row r="267" spans="1:17" ht="19">
      <c r="A267" s="91" t="s">
        <v>922</v>
      </c>
      <c r="B267" s="8">
        <f>SUM(B268:B273)</f>
        <v>48</v>
      </c>
      <c r="C267" s="8">
        <f>SUM(C268:C273)</f>
        <v>132</v>
      </c>
      <c r="D267" s="8">
        <f>SUM(D268)</f>
        <v>45</v>
      </c>
      <c r="E267" s="8">
        <f>SUM(E268:E273)</f>
        <v>5</v>
      </c>
      <c r="F267" s="8">
        <f>SUM(F268:F273)</f>
        <v>300</v>
      </c>
      <c r="G267" s="93">
        <f t="shared" si="79"/>
        <v>50.2</v>
      </c>
      <c r="H267" s="8">
        <f>SUM(H268:H273)</f>
        <v>250</v>
      </c>
      <c r="I267" s="9">
        <f>SUM(I268:I273)</f>
        <v>2467.666666666667</v>
      </c>
      <c r="J267" s="14">
        <f>SUM(J268:J273)</f>
        <v>2217.666666666667</v>
      </c>
      <c r="K267" s="8">
        <f>SUM(K268:K273)</f>
        <v>122</v>
      </c>
      <c r="L267" s="9">
        <v>0</v>
      </c>
      <c r="M267" s="96">
        <f>J267</f>
        <v>2217.666666666667</v>
      </c>
      <c r="N267" s="129">
        <f>SUM(N268:N274)</f>
        <v>3652.5</v>
      </c>
      <c r="O267" s="98">
        <f>3692-N267</f>
        <v>39.5</v>
      </c>
      <c r="P267" s="86"/>
      <c r="Q267" s="86"/>
    </row>
    <row r="268" spans="1:17">
      <c r="A268" s="80" t="s">
        <v>961</v>
      </c>
      <c r="B268" s="4">
        <v>11</v>
      </c>
      <c r="C268" s="4">
        <v>0</v>
      </c>
      <c r="D268" s="4">
        <v>45</v>
      </c>
      <c r="E268" s="4">
        <v>1</v>
      </c>
      <c r="F268" s="4">
        <v>50</v>
      </c>
      <c r="G268" s="10">
        <f t="shared" si="79"/>
        <v>11</v>
      </c>
      <c r="H268" s="4">
        <v>50</v>
      </c>
      <c r="I268" s="5">
        <f t="shared" ref="I268:I274" si="82">G268*D268</f>
        <v>495</v>
      </c>
      <c r="J268" s="5">
        <f t="shared" ref="J268:J274" si="83">I268-H268</f>
        <v>445</v>
      </c>
      <c r="K268">
        <v>26</v>
      </c>
      <c r="N268" s="51">
        <v>719</v>
      </c>
      <c r="O268" s="51"/>
    </row>
    <row r="269" spans="1:17">
      <c r="A269" s="80" t="s">
        <v>963</v>
      </c>
      <c r="B269" s="4">
        <v>9</v>
      </c>
      <c r="C269" s="4">
        <v>35</v>
      </c>
      <c r="D269" s="4">
        <v>45</v>
      </c>
      <c r="E269" s="4">
        <v>1</v>
      </c>
      <c r="F269" s="4">
        <v>50</v>
      </c>
      <c r="G269" s="10">
        <f t="shared" si="79"/>
        <v>9.5833333333333339</v>
      </c>
      <c r="H269" s="4">
        <v>50</v>
      </c>
      <c r="I269" s="5">
        <f t="shared" si="82"/>
        <v>431.25</v>
      </c>
      <c r="J269" s="5">
        <f t="shared" si="83"/>
        <v>381.25</v>
      </c>
      <c r="K269">
        <v>12</v>
      </c>
      <c r="N269" s="51">
        <f>217.5+150</f>
        <v>367.5</v>
      </c>
      <c r="P269" t="s">
        <v>553</v>
      </c>
    </row>
    <row r="270" spans="1:17">
      <c r="A270" s="80" t="s">
        <v>965</v>
      </c>
      <c r="B270" s="4">
        <v>11</v>
      </c>
      <c r="C270" s="4">
        <v>0</v>
      </c>
      <c r="D270" s="4">
        <v>55</v>
      </c>
      <c r="E270" s="4">
        <v>1</v>
      </c>
      <c r="F270" s="4">
        <v>50</v>
      </c>
      <c r="G270" s="10">
        <f t="shared" si="79"/>
        <v>11</v>
      </c>
      <c r="H270" s="4">
        <v>50</v>
      </c>
      <c r="I270" s="5">
        <f t="shared" si="82"/>
        <v>605</v>
      </c>
      <c r="J270" s="5">
        <f t="shared" si="83"/>
        <v>555</v>
      </c>
      <c r="K270">
        <v>27</v>
      </c>
      <c r="N270" s="83">
        <v>716</v>
      </c>
      <c r="Q270" t="s">
        <v>64</v>
      </c>
    </row>
    <row r="271" spans="1:17">
      <c r="A271" s="80" t="s">
        <v>967</v>
      </c>
      <c r="B271" s="4">
        <v>8</v>
      </c>
      <c r="C271" s="4">
        <v>45</v>
      </c>
      <c r="D271" s="4">
        <v>45</v>
      </c>
      <c r="E271" s="4">
        <v>1</v>
      </c>
      <c r="F271" s="4">
        <v>50</v>
      </c>
      <c r="G271" s="10">
        <f t="shared" si="79"/>
        <v>8.75</v>
      </c>
      <c r="H271" s="4">
        <v>50</v>
      </c>
      <c r="I271" s="5">
        <f t="shared" si="82"/>
        <v>393.75</v>
      </c>
      <c r="J271" s="5">
        <f t="shared" si="83"/>
        <v>343.75</v>
      </c>
      <c r="K271">
        <v>26</v>
      </c>
      <c r="N271" s="51">
        <f>150+600</f>
        <v>750</v>
      </c>
    </row>
    <row r="272" spans="1:17">
      <c r="A272" s="80" t="s">
        <v>969</v>
      </c>
      <c r="B272" s="4">
        <v>9</v>
      </c>
      <c r="C272" s="4">
        <v>52</v>
      </c>
      <c r="D272" s="4">
        <v>55</v>
      </c>
      <c r="E272" s="4">
        <v>1</v>
      </c>
      <c r="F272" s="4">
        <v>50</v>
      </c>
      <c r="G272" s="10">
        <f t="shared" si="79"/>
        <v>9.8666666666666671</v>
      </c>
      <c r="H272" s="4">
        <v>50</v>
      </c>
      <c r="I272" s="5">
        <f t="shared" si="82"/>
        <v>542.66666666666674</v>
      </c>
      <c r="J272" s="5">
        <f t="shared" si="83"/>
        <v>492.66666666666674</v>
      </c>
      <c r="K272">
        <v>31</v>
      </c>
      <c r="N272" s="51">
        <v>830</v>
      </c>
    </row>
    <row r="273" spans="1:17">
      <c r="A273" s="80" t="s">
        <v>971</v>
      </c>
      <c r="B273" s="4">
        <v>0</v>
      </c>
      <c r="C273" s="4">
        <v>0</v>
      </c>
      <c r="D273" s="4">
        <v>45</v>
      </c>
      <c r="E273" s="4">
        <v>0</v>
      </c>
      <c r="F273" s="4">
        <v>50</v>
      </c>
      <c r="G273" s="10">
        <f t="shared" si="79"/>
        <v>0</v>
      </c>
      <c r="H273" s="4">
        <v>0</v>
      </c>
      <c r="I273" s="5">
        <f t="shared" si="82"/>
        <v>0</v>
      </c>
      <c r="J273" s="5">
        <f t="shared" si="83"/>
        <v>0</v>
      </c>
      <c r="K273">
        <v>0</v>
      </c>
      <c r="N273" s="51">
        <v>270</v>
      </c>
    </row>
    <row r="274" spans="1:17">
      <c r="A274" s="6">
        <v>46145</v>
      </c>
      <c r="B274" s="4">
        <v>0</v>
      </c>
      <c r="C274" s="4">
        <v>0</v>
      </c>
      <c r="D274" s="4">
        <v>45</v>
      </c>
      <c r="E274" s="4">
        <v>0</v>
      </c>
      <c r="F274" s="4">
        <v>50</v>
      </c>
      <c r="G274" s="10">
        <f t="shared" si="79"/>
        <v>0</v>
      </c>
      <c r="H274" s="4">
        <v>0</v>
      </c>
      <c r="I274" s="5">
        <f t="shared" si="82"/>
        <v>0</v>
      </c>
      <c r="J274" s="5">
        <f t="shared" si="83"/>
        <v>0</v>
      </c>
      <c r="K274">
        <v>0</v>
      </c>
      <c r="N274" s="51">
        <v>0</v>
      </c>
    </row>
    <row r="275" spans="1:17" ht="19">
      <c r="A275" s="91" t="s">
        <v>551</v>
      </c>
      <c r="B275" s="8">
        <f>SUM(B276:B282)</f>
        <v>39</v>
      </c>
      <c r="C275" s="8">
        <f>SUM(C276:C282)</f>
        <v>145</v>
      </c>
      <c r="D275" s="8">
        <v>45</v>
      </c>
      <c r="E275" s="8">
        <f>SUM(E276:E282)</f>
        <v>5</v>
      </c>
      <c r="F275" s="8">
        <f>SUM(F276:F282)</f>
        <v>350</v>
      </c>
      <c r="G275" s="93">
        <f t="shared" si="75"/>
        <v>41.416666666666664</v>
      </c>
      <c r="H275" s="8">
        <f>SUM(H276:H282)</f>
        <v>346.6</v>
      </c>
      <c r="I275" s="9">
        <f>SUM(I276:I282)</f>
        <v>1863.75</v>
      </c>
      <c r="J275" s="14">
        <f>SUM(J276:J282)</f>
        <v>1517.15</v>
      </c>
      <c r="K275" s="8">
        <f>SUM(K276:K282)</f>
        <v>78</v>
      </c>
      <c r="L275" s="9">
        <v>0</v>
      </c>
      <c r="M275" s="96">
        <f>J275</f>
        <v>1517.15</v>
      </c>
      <c r="N275" s="102">
        <f>SUM(N276:N282)</f>
        <v>2791</v>
      </c>
      <c r="O275" s="98">
        <f>2790-N275</f>
        <v>-1</v>
      </c>
      <c r="P275" s="86"/>
      <c r="Q275" s="86"/>
    </row>
    <row r="276" spans="1:17">
      <c r="A276" s="6">
        <v>46139</v>
      </c>
      <c r="B276" s="4">
        <v>7</v>
      </c>
      <c r="C276" s="4">
        <v>50</v>
      </c>
      <c r="D276" s="4">
        <v>45</v>
      </c>
      <c r="E276" s="4">
        <v>1</v>
      </c>
      <c r="F276" s="4">
        <v>50</v>
      </c>
      <c r="G276" s="10">
        <f t="shared" si="75"/>
        <v>7.833333333333333</v>
      </c>
      <c r="H276" s="4">
        <v>50</v>
      </c>
      <c r="I276" s="5">
        <f t="shared" ref="I276:I282" si="84">G276*D276</f>
        <v>352.5</v>
      </c>
      <c r="J276" s="5">
        <f t="shared" ref="J276:J282" si="85">I276-H276</f>
        <v>302.5</v>
      </c>
      <c r="K276">
        <v>21</v>
      </c>
      <c r="N276" s="51">
        <v>880</v>
      </c>
      <c r="O276" s="51"/>
      <c r="P276" t="s">
        <v>1049</v>
      </c>
    </row>
    <row r="277" spans="1:17">
      <c r="A277" s="6">
        <v>46140</v>
      </c>
      <c r="B277" s="4">
        <v>9</v>
      </c>
      <c r="C277" s="4">
        <v>7</v>
      </c>
      <c r="D277" s="4">
        <v>45</v>
      </c>
      <c r="E277" s="4">
        <v>1</v>
      </c>
      <c r="F277" s="4">
        <v>50</v>
      </c>
      <c r="G277" s="10">
        <f t="shared" si="75"/>
        <v>9.1166666666666671</v>
      </c>
      <c r="H277" s="4">
        <v>50</v>
      </c>
      <c r="I277" s="5">
        <f t="shared" si="84"/>
        <v>410.25</v>
      </c>
      <c r="J277" s="5">
        <f t="shared" si="85"/>
        <v>360.25</v>
      </c>
      <c r="K277">
        <v>17</v>
      </c>
      <c r="N277" s="51">
        <v>655</v>
      </c>
      <c r="P277" t="s">
        <v>852</v>
      </c>
    </row>
    <row r="278" spans="1:17">
      <c r="A278" s="6">
        <v>46141</v>
      </c>
      <c r="B278" s="4">
        <v>11</v>
      </c>
      <c r="C278" s="4">
        <v>0</v>
      </c>
      <c r="D278" s="4">
        <v>45</v>
      </c>
      <c r="E278" s="4">
        <v>1</v>
      </c>
      <c r="F278" s="4">
        <v>50</v>
      </c>
      <c r="G278" s="10">
        <f t="shared" si="75"/>
        <v>11</v>
      </c>
      <c r="H278" s="4">
        <v>50</v>
      </c>
      <c r="I278" s="5">
        <f t="shared" si="84"/>
        <v>495</v>
      </c>
      <c r="J278" s="5">
        <f t="shared" si="85"/>
        <v>445</v>
      </c>
      <c r="K278">
        <v>11</v>
      </c>
      <c r="N278" s="51">
        <v>242</v>
      </c>
      <c r="P278" s="181" t="s">
        <v>1050</v>
      </c>
    </row>
    <row r="279" spans="1:17">
      <c r="A279" s="6">
        <v>46142</v>
      </c>
      <c r="B279" s="4">
        <v>7</v>
      </c>
      <c r="C279" s="4">
        <v>42</v>
      </c>
      <c r="D279" s="4">
        <v>45</v>
      </c>
      <c r="E279" s="4">
        <v>1</v>
      </c>
      <c r="F279" s="4">
        <v>50</v>
      </c>
      <c r="G279" s="10">
        <f t="shared" si="75"/>
        <v>7.7</v>
      </c>
      <c r="H279" s="4">
        <f>50+96.6</f>
        <v>146.6</v>
      </c>
      <c r="I279" s="5">
        <f t="shared" si="84"/>
        <v>346.5</v>
      </c>
      <c r="J279" s="5">
        <f t="shared" si="85"/>
        <v>199.9</v>
      </c>
      <c r="K279">
        <v>18</v>
      </c>
      <c r="N279" s="51">
        <v>592</v>
      </c>
      <c r="P279" t="s">
        <v>1051</v>
      </c>
    </row>
    <row r="280" spans="1:17">
      <c r="A280" s="6">
        <v>46143</v>
      </c>
      <c r="B280" s="4">
        <v>5</v>
      </c>
      <c r="C280" s="4">
        <v>46</v>
      </c>
      <c r="D280" s="4">
        <v>45</v>
      </c>
      <c r="E280" s="4">
        <v>1</v>
      </c>
      <c r="F280" s="4">
        <v>50</v>
      </c>
      <c r="G280" s="10">
        <f t="shared" si="75"/>
        <v>5.7666666666666666</v>
      </c>
      <c r="H280" s="4">
        <v>50</v>
      </c>
      <c r="I280" s="5">
        <f t="shared" si="84"/>
        <v>259.5</v>
      </c>
      <c r="J280" s="5">
        <f t="shared" si="85"/>
        <v>209.5</v>
      </c>
      <c r="K280">
        <v>11</v>
      </c>
      <c r="N280" s="51">
        <v>422</v>
      </c>
      <c r="P280" t="s">
        <v>1052</v>
      </c>
    </row>
    <row r="281" spans="1:17">
      <c r="A281" s="6">
        <v>46144</v>
      </c>
      <c r="B281" s="4">
        <v>0</v>
      </c>
      <c r="C281" s="4">
        <v>0</v>
      </c>
      <c r="D281" s="4">
        <v>45</v>
      </c>
      <c r="E281" s="4">
        <v>0</v>
      </c>
      <c r="F281" s="4">
        <v>50</v>
      </c>
      <c r="G281" s="10">
        <f t="shared" si="75"/>
        <v>0</v>
      </c>
      <c r="H281" s="4">
        <v>0</v>
      </c>
      <c r="I281" s="5">
        <f t="shared" si="84"/>
        <v>0</v>
      </c>
      <c r="J281" s="5">
        <f t="shared" si="85"/>
        <v>0</v>
      </c>
      <c r="K281">
        <v>0</v>
      </c>
      <c r="N281" s="51">
        <v>0</v>
      </c>
    </row>
    <row r="282" spans="1:17" ht="16" thickBot="1">
      <c r="A282" s="6">
        <v>46145</v>
      </c>
      <c r="B282" s="4">
        <v>0</v>
      </c>
      <c r="C282" s="4">
        <v>0</v>
      </c>
      <c r="D282" s="4">
        <v>45</v>
      </c>
      <c r="E282" s="4">
        <v>0</v>
      </c>
      <c r="F282" s="4">
        <v>50</v>
      </c>
      <c r="G282" s="10">
        <f t="shared" si="75"/>
        <v>0</v>
      </c>
      <c r="H282" s="4">
        <v>0</v>
      </c>
      <c r="I282" s="5">
        <f t="shared" si="84"/>
        <v>0</v>
      </c>
      <c r="J282" s="5">
        <f t="shared" si="85"/>
        <v>0</v>
      </c>
      <c r="K282">
        <v>0</v>
      </c>
      <c r="N282" s="51">
        <v>0</v>
      </c>
    </row>
    <row r="283" spans="1:17" ht="19">
      <c r="A283" s="91" t="s">
        <v>1053</v>
      </c>
      <c r="B283" s="8">
        <f>SUM(B284:B289)</f>
        <v>22</v>
      </c>
      <c r="C283" s="8">
        <f>SUM(C284:C289)</f>
        <v>0</v>
      </c>
      <c r="D283" s="8">
        <f>SUM(D284)</f>
        <v>45</v>
      </c>
      <c r="E283" s="8">
        <f>SUM(E284:E289)</f>
        <v>2</v>
      </c>
      <c r="F283" s="8">
        <f>SUM(F284:F289)</f>
        <v>300</v>
      </c>
      <c r="G283" s="93">
        <f t="shared" si="75"/>
        <v>22</v>
      </c>
      <c r="H283" s="8">
        <f>SUM(H284:H289)</f>
        <v>100</v>
      </c>
      <c r="I283" s="9">
        <f>SUM(I284:I289)</f>
        <v>1430</v>
      </c>
      <c r="J283" s="9">
        <f>SUM(J284:J289)</f>
        <v>1330</v>
      </c>
      <c r="K283" s="8">
        <f>SUM(K284:K289)</f>
        <v>80</v>
      </c>
      <c r="L283" s="9">
        <v>0</v>
      </c>
      <c r="M283" s="96">
        <f>J283</f>
        <v>1330</v>
      </c>
      <c r="N283" s="102">
        <f>SUM(N284:N289)</f>
        <v>2250</v>
      </c>
      <c r="O283" s="98">
        <f>2628-N283</f>
        <v>378</v>
      </c>
      <c r="P283" s="86"/>
      <c r="Q283" s="86"/>
    </row>
    <row r="284" spans="1:17">
      <c r="A284" s="80" t="s">
        <v>961</v>
      </c>
      <c r="B284" s="4">
        <v>0</v>
      </c>
      <c r="C284" s="4">
        <v>0</v>
      </c>
      <c r="D284" s="4">
        <v>45</v>
      </c>
      <c r="E284" s="4">
        <v>0</v>
      </c>
      <c r="F284" s="4">
        <v>50</v>
      </c>
      <c r="G284" s="10">
        <f t="shared" si="75"/>
        <v>0</v>
      </c>
      <c r="H284" s="4">
        <v>0</v>
      </c>
      <c r="I284" s="5">
        <f t="shared" ref="I284:I289" si="86">G284*D284</f>
        <v>0</v>
      </c>
      <c r="J284" s="5">
        <f>I284-H284</f>
        <v>0</v>
      </c>
      <c r="K284">
        <v>0</v>
      </c>
      <c r="N284" s="51">
        <v>0</v>
      </c>
      <c r="O284" s="51"/>
    </row>
    <row r="285" spans="1:17">
      <c r="A285" s="80" t="s">
        <v>963</v>
      </c>
      <c r="B285" s="4">
        <v>0</v>
      </c>
      <c r="C285" s="4">
        <v>0</v>
      </c>
      <c r="D285" s="4">
        <v>45</v>
      </c>
      <c r="E285" s="4">
        <v>0</v>
      </c>
      <c r="F285" s="4">
        <v>50</v>
      </c>
      <c r="G285" s="10">
        <v>0</v>
      </c>
      <c r="H285" s="4">
        <v>0</v>
      </c>
      <c r="I285" s="5">
        <f t="shared" si="86"/>
        <v>0</v>
      </c>
      <c r="J285" s="5">
        <f>I285-H285</f>
        <v>0</v>
      </c>
      <c r="K285">
        <v>0</v>
      </c>
      <c r="N285" s="51">
        <v>0</v>
      </c>
    </row>
    <row r="286" spans="1:17">
      <c r="A286" s="80" t="s">
        <v>965</v>
      </c>
      <c r="B286" s="4">
        <v>0</v>
      </c>
      <c r="C286" s="4">
        <v>0</v>
      </c>
      <c r="D286" s="4">
        <v>45</v>
      </c>
      <c r="E286" s="4">
        <v>0</v>
      </c>
      <c r="F286" s="4">
        <v>50</v>
      </c>
      <c r="G286" s="10">
        <f>B286+C286/60</f>
        <v>0</v>
      </c>
      <c r="H286" s="4">
        <v>0</v>
      </c>
      <c r="I286" s="5">
        <f t="shared" si="86"/>
        <v>0</v>
      </c>
      <c r="J286" s="5">
        <v>0</v>
      </c>
      <c r="K286">
        <v>0</v>
      </c>
      <c r="N286" s="51">
        <v>0</v>
      </c>
    </row>
    <row r="287" spans="1:17">
      <c r="A287" s="80" t="s">
        <v>967</v>
      </c>
      <c r="B287" s="4">
        <v>0</v>
      </c>
      <c r="C287" s="4">
        <v>0</v>
      </c>
      <c r="D287" s="4">
        <v>45</v>
      </c>
      <c r="E287" s="4">
        <v>0</v>
      </c>
      <c r="F287" s="4">
        <v>50</v>
      </c>
      <c r="G287" s="10">
        <f>B287+C287/60</f>
        <v>0</v>
      </c>
      <c r="H287" s="4">
        <v>0</v>
      </c>
      <c r="I287" s="5">
        <f t="shared" si="86"/>
        <v>0</v>
      </c>
      <c r="J287" s="5">
        <v>0</v>
      </c>
      <c r="K287">
        <v>0</v>
      </c>
      <c r="N287" s="51">
        <v>500</v>
      </c>
    </row>
    <row r="288" spans="1:17">
      <c r="A288" s="80" t="s">
        <v>969</v>
      </c>
      <c r="B288" s="4">
        <v>11</v>
      </c>
      <c r="C288" s="4">
        <v>0</v>
      </c>
      <c r="D288" s="4">
        <v>65</v>
      </c>
      <c r="E288" s="4">
        <v>1</v>
      </c>
      <c r="F288" s="4">
        <v>50</v>
      </c>
      <c r="G288" s="10">
        <f>B288+C288/60</f>
        <v>11</v>
      </c>
      <c r="H288" s="4">
        <v>50</v>
      </c>
      <c r="I288" s="5">
        <f t="shared" si="86"/>
        <v>715</v>
      </c>
      <c r="J288" s="5">
        <f>I288-H288</f>
        <v>665</v>
      </c>
      <c r="K288">
        <v>43</v>
      </c>
      <c r="N288" s="51">
        <v>900</v>
      </c>
    </row>
    <row r="289" spans="1:17">
      <c r="A289" s="80" t="s">
        <v>971</v>
      </c>
      <c r="B289" s="4">
        <v>11</v>
      </c>
      <c r="C289" s="4">
        <v>0</v>
      </c>
      <c r="D289" s="4">
        <v>65</v>
      </c>
      <c r="E289" s="4">
        <v>1</v>
      </c>
      <c r="F289" s="4">
        <v>50</v>
      </c>
      <c r="G289" s="10">
        <f>B289+C289/60</f>
        <v>11</v>
      </c>
      <c r="H289" s="4">
        <v>50</v>
      </c>
      <c r="I289" s="5">
        <f t="shared" si="86"/>
        <v>715</v>
      </c>
      <c r="J289" s="5">
        <f>I289-H289</f>
        <v>665</v>
      </c>
      <c r="K289">
        <v>37</v>
      </c>
      <c r="N289" s="51">
        <v>850</v>
      </c>
    </row>
    <row r="290" spans="1:17" ht="20" thickBot="1">
      <c r="A290" s="91" t="s">
        <v>559</v>
      </c>
      <c r="B290" s="8">
        <f>SUM(B291:B297)</f>
        <v>65</v>
      </c>
      <c r="C290" s="8">
        <f>SUM(C291:C297)</f>
        <v>23</v>
      </c>
      <c r="D290" s="8">
        <f>SUM(D291)</f>
        <v>65</v>
      </c>
      <c r="E290" s="8">
        <f>SUM(E291:E297)</f>
        <v>6</v>
      </c>
      <c r="F290" s="8">
        <f>SUM(F291:F297)</f>
        <v>350</v>
      </c>
      <c r="G290" s="93">
        <f t="shared" ref="G290:G296" si="87">B290+C290/60</f>
        <v>65.38333333333334</v>
      </c>
      <c r="H290" s="8">
        <f>SUM(H291:H297)</f>
        <v>300</v>
      </c>
      <c r="I290" s="9">
        <f>SUM(I291:I297)</f>
        <v>4029.9166666666665</v>
      </c>
      <c r="J290" s="14">
        <f>SUM(J291:J297)</f>
        <v>3729.9166666666665</v>
      </c>
      <c r="K290" s="8">
        <f>SUM(K291:K297)</f>
        <v>243</v>
      </c>
      <c r="L290" s="9">
        <v>0</v>
      </c>
      <c r="M290" s="96">
        <f>J290</f>
        <v>3729.9166666666665</v>
      </c>
      <c r="N290" s="102">
        <f>SUM(N291:N297)</f>
        <v>7116</v>
      </c>
      <c r="O290" s="98">
        <f>7276-N290</f>
        <v>160</v>
      </c>
      <c r="P290" s="86"/>
      <c r="Q290" s="86"/>
    </row>
    <row r="291" spans="1:17">
      <c r="A291" s="6">
        <v>46139</v>
      </c>
      <c r="B291" s="4">
        <v>10</v>
      </c>
      <c r="C291" s="4">
        <v>23</v>
      </c>
      <c r="D291" s="4">
        <v>65</v>
      </c>
      <c r="E291" s="4">
        <v>1</v>
      </c>
      <c r="F291" s="4">
        <v>50</v>
      </c>
      <c r="G291" s="10">
        <f t="shared" si="87"/>
        <v>10.383333333333333</v>
      </c>
      <c r="H291" s="4">
        <v>50</v>
      </c>
      <c r="I291" s="5">
        <f t="shared" ref="I291:I296" si="88">G291*D291</f>
        <v>674.91666666666663</v>
      </c>
      <c r="J291" s="5">
        <f t="shared" ref="J291:J296" si="89">I291-H291</f>
        <v>624.91666666666663</v>
      </c>
      <c r="K291">
        <v>46</v>
      </c>
      <c r="N291" s="51">
        <v>1288</v>
      </c>
      <c r="O291" s="51"/>
    </row>
    <row r="292" spans="1:17">
      <c r="A292" s="6">
        <v>46140</v>
      </c>
      <c r="B292" s="4">
        <v>11</v>
      </c>
      <c r="C292" s="4">
        <v>0</v>
      </c>
      <c r="D292" s="4">
        <v>65</v>
      </c>
      <c r="E292" s="4">
        <v>1</v>
      </c>
      <c r="F292" s="4">
        <v>50</v>
      </c>
      <c r="G292" s="10">
        <f t="shared" si="87"/>
        <v>11</v>
      </c>
      <c r="H292" s="4">
        <v>50</v>
      </c>
      <c r="I292" s="5">
        <f t="shared" si="88"/>
        <v>715</v>
      </c>
      <c r="J292" s="5">
        <f t="shared" si="89"/>
        <v>665</v>
      </c>
      <c r="K292">
        <v>39</v>
      </c>
      <c r="N292" s="51">
        <v>1070</v>
      </c>
    </row>
    <row r="293" spans="1:17">
      <c r="A293" s="6">
        <v>46141</v>
      </c>
      <c r="B293" s="4">
        <v>11</v>
      </c>
      <c r="C293" s="4">
        <v>0</v>
      </c>
      <c r="D293" s="4">
        <v>45</v>
      </c>
      <c r="E293" s="4">
        <v>1</v>
      </c>
      <c r="F293" s="4">
        <v>50</v>
      </c>
      <c r="G293" s="10">
        <f t="shared" si="87"/>
        <v>11</v>
      </c>
      <c r="H293" s="4">
        <v>50</v>
      </c>
      <c r="I293" s="5">
        <f t="shared" si="88"/>
        <v>495</v>
      </c>
      <c r="J293" s="5">
        <f t="shared" si="89"/>
        <v>445</v>
      </c>
      <c r="K293">
        <v>25</v>
      </c>
      <c r="N293" s="51">
        <v>426</v>
      </c>
    </row>
    <row r="294" spans="1:17">
      <c r="A294" s="6">
        <v>46142</v>
      </c>
      <c r="B294" s="4">
        <v>0</v>
      </c>
      <c r="C294" s="4">
        <v>0</v>
      </c>
      <c r="D294" s="4">
        <v>45</v>
      </c>
      <c r="E294" s="4">
        <v>0</v>
      </c>
      <c r="F294" s="4">
        <v>50</v>
      </c>
      <c r="G294" s="10">
        <f t="shared" si="87"/>
        <v>0</v>
      </c>
      <c r="H294" s="4">
        <v>0</v>
      </c>
      <c r="I294" s="5">
        <f t="shared" si="88"/>
        <v>0</v>
      </c>
      <c r="J294" s="5">
        <f t="shared" si="89"/>
        <v>0</v>
      </c>
      <c r="K294">
        <v>0</v>
      </c>
      <c r="N294" s="51">
        <v>0</v>
      </c>
    </row>
    <row r="295" spans="1:17">
      <c r="A295" s="6">
        <v>46143</v>
      </c>
      <c r="B295" s="4">
        <v>11</v>
      </c>
      <c r="C295" s="4">
        <v>0</v>
      </c>
      <c r="D295" s="4">
        <v>65</v>
      </c>
      <c r="E295" s="4">
        <v>1</v>
      </c>
      <c r="F295" s="4">
        <v>50</v>
      </c>
      <c r="G295" s="10">
        <f t="shared" si="87"/>
        <v>11</v>
      </c>
      <c r="H295" s="4">
        <v>50</v>
      </c>
      <c r="I295" s="5">
        <f t="shared" si="88"/>
        <v>715</v>
      </c>
      <c r="J295" s="5">
        <f t="shared" si="89"/>
        <v>665</v>
      </c>
      <c r="K295">
        <v>48</v>
      </c>
      <c r="N295" s="51">
        <v>1200</v>
      </c>
    </row>
    <row r="296" spans="1:17">
      <c r="A296" s="6">
        <v>46144</v>
      </c>
      <c r="B296" s="4">
        <v>11</v>
      </c>
      <c r="C296" s="4">
        <v>0</v>
      </c>
      <c r="D296" s="4">
        <v>65</v>
      </c>
      <c r="E296" s="4">
        <v>1</v>
      </c>
      <c r="F296" s="4">
        <v>50</v>
      </c>
      <c r="G296" s="10">
        <f t="shared" si="87"/>
        <v>11</v>
      </c>
      <c r="H296" s="4">
        <v>50</v>
      </c>
      <c r="I296" s="5">
        <f t="shared" si="88"/>
        <v>715</v>
      </c>
      <c r="J296" s="5">
        <f t="shared" si="89"/>
        <v>665</v>
      </c>
      <c r="K296">
        <v>45</v>
      </c>
      <c r="N296" s="51">
        <v>1575</v>
      </c>
    </row>
    <row r="297" spans="1:17" ht="16" thickBot="1">
      <c r="A297" s="6">
        <v>46145</v>
      </c>
      <c r="B297" s="4">
        <v>11</v>
      </c>
      <c r="C297" s="4">
        <v>0</v>
      </c>
      <c r="D297" s="4">
        <v>65</v>
      </c>
      <c r="E297" s="4">
        <v>1</v>
      </c>
      <c r="F297" s="4">
        <v>50</v>
      </c>
      <c r="G297" s="10">
        <f t="shared" ref="G297:G303" si="90">B297+C297/60</f>
        <v>11</v>
      </c>
      <c r="H297" s="4">
        <v>50</v>
      </c>
      <c r="I297" s="5">
        <f t="shared" ref="I297" si="91">G297*D297</f>
        <v>715</v>
      </c>
      <c r="J297" s="5">
        <f t="shared" ref="J297" si="92">I297-H297</f>
        <v>665</v>
      </c>
      <c r="K297">
        <v>40</v>
      </c>
      <c r="N297" s="51">
        <v>1557</v>
      </c>
    </row>
    <row r="298" spans="1:17" ht="19">
      <c r="A298" s="91" t="s">
        <v>560</v>
      </c>
      <c r="B298" s="8">
        <f>SUM(B299:B304)</f>
        <v>0</v>
      </c>
      <c r="C298" s="8">
        <f>SUM(C299:C304)</f>
        <v>0</v>
      </c>
      <c r="D298" s="8">
        <f>SUM(D299)</f>
        <v>65</v>
      </c>
      <c r="E298" s="8">
        <f t="shared" ref="E298:K298" si="93">SUM(E299:E304)</f>
        <v>0</v>
      </c>
      <c r="F298" s="8">
        <f t="shared" si="93"/>
        <v>300</v>
      </c>
      <c r="G298" s="8">
        <f t="shared" si="93"/>
        <v>0</v>
      </c>
      <c r="H298" s="8">
        <f t="shared" si="93"/>
        <v>0</v>
      </c>
      <c r="I298" s="9">
        <f t="shared" si="93"/>
        <v>0</v>
      </c>
      <c r="J298" s="9">
        <f t="shared" si="93"/>
        <v>0</v>
      </c>
      <c r="K298" s="8">
        <f t="shared" si="93"/>
        <v>0</v>
      </c>
      <c r="L298" s="9">
        <v>0</v>
      </c>
      <c r="M298" s="96">
        <f>J298</f>
        <v>0</v>
      </c>
      <c r="N298" s="102"/>
      <c r="O298" s="98">
        <f>-N298</f>
        <v>0</v>
      </c>
      <c r="P298" s="86"/>
      <c r="Q298" s="86"/>
    </row>
    <row r="299" spans="1:17">
      <c r="A299" s="80" t="s">
        <v>961</v>
      </c>
      <c r="B299" s="4">
        <v>0</v>
      </c>
      <c r="C299" s="4">
        <v>0</v>
      </c>
      <c r="D299" s="4">
        <v>65</v>
      </c>
      <c r="E299" s="4">
        <v>0</v>
      </c>
      <c r="F299" s="4">
        <v>50</v>
      </c>
      <c r="G299" s="10">
        <f t="shared" si="90"/>
        <v>0</v>
      </c>
      <c r="H299" s="4">
        <v>0</v>
      </c>
      <c r="I299" s="5">
        <f t="shared" ref="I299:I303" si="94">G299*D299</f>
        <v>0</v>
      </c>
      <c r="J299" s="5">
        <f t="shared" ref="J299:J303" si="95">I299-H299</f>
        <v>0</v>
      </c>
      <c r="K299">
        <v>0</v>
      </c>
      <c r="N299" s="51">
        <v>0</v>
      </c>
      <c r="O299" s="51"/>
    </row>
    <row r="300" spans="1:17">
      <c r="A300" s="80" t="s">
        <v>963</v>
      </c>
      <c r="B300" s="4">
        <v>0</v>
      </c>
      <c r="C300" s="4">
        <v>0</v>
      </c>
      <c r="D300" s="4">
        <v>45</v>
      </c>
      <c r="E300" s="4">
        <v>0</v>
      </c>
      <c r="F300" s="4">
        <v>50</v>
      </c>
      <c r="G300" s="10">
        <f t="shared" si="90"/>
        <v>0</v>
      </c>
      <c r="H300" s="4">
        <v>0</v>
      </c>
      <c r="I300" s="5">
        <f t="shared" si="94"/>
        <v>0</v>
      </c>
      <c r="J300" s="5">
        <f t="shared" si="95"/>
        <v>0</v>
      </c>
      <c r="K300">
        <v>0</v>
      </c>
      <c r="N300" s="51">
        <v>0</v>
      </c>
    </row>
    <row r="301" spans="1:17">
      <c r="A301" s="80" t="s">
        <v>965</v>
      </c>
      <c r="B301" s="4">
        <v>0</v>
      </c>
      <c r="C301" s="4">
        <v>0</v>
      </c>
      <c r="D301" s="4">
        <v>45</v>
      </c>
      <c r="E301" s="4">
        <v>0</v>
      </c>
      <c r="F301" s="4">
        <v>50</v>
      </c>
      <c r="G301" s="10">
        <f t="shared" si="90"/>
        <v>0</v>
      </c>
      <c r="H301" s="4">
        <v>0</v>
      </c>
      <c r="I301" s="5">
        <f t="shared" si="94"/>
        <v>0</v>
      </c>
      <c r="J301" s="5">
        <f t="shared" si="95"/>
        <v>0</v>
      </c>
      <c r="K301">
        <v>0</v>
      </c>
      <c r="N301" s="51"/>
    </row>
    <row r="302" spans="1:17">
      <c r="A302" s="80" t="s">
        <v>967</v>
      </c>
      <c r="B302" s="4">
        <v>0</v>
      </c>
      <c r="C302" s="4">
        <v>0</v>
      </c>
      <c r="D302" s="4">
        <v>45</v>
      </c>
      <c r="E302" s="4">
        <v>0</v>
      </c>
      <c r="F302" s="4">
        <v>50</v>
      </c>
      <c r="G302" s="10">
        <f t="shared" si="90"/>
        <v>0</v>
      </c>
      <c r="H302" s="4">
        <v>0</v>
      </c>
      <c r="I302" s="5">
        <f t="shared" si="94"/>
        <v>0</v>
      </c>
      <c r="J302" s="5">
        <f t="shared" si="95"/>
        <v>0</v>
      </c>
      <c r="K302">
        <v>0</v>
      </c>
      <c r="N302" s="51">
        <v>0</v>
      </c>
    </row>
    <row r="303" spans="1:17">
      <c r="A303" s="80" t="s">
        <v>969</v>
      </c>
      <c r="B303" s="4">
        <v>0</v>
      </c>
      <c r="C303" s="4">
        <v>0</v>
      </c>
      <c r="D303" s="4">
        <v>45</v>
      </c>
      <c r="E303" s="4">
        <v>0</v>
      </c>
      <c r="F303" s="4">
        <v>50</v>
      </c>
      <c r="G303" s="10">
        <f t="shared" si="90"/>
        <v>0</v>
      </c>
      <c r="H303" s="4">
        <v>0</v>
      </c>
      <c r="I303" s="5">
        <f t="shared" si="94"/>
        <v>0</v>
      </c>
      <c r="J303" s="5">
        <f t="shared" si="95"/>
        <v>0</v>
      </c>
      <c r="K303">
        <v>0</v>
      </c>
      <c r="N303" s="51">
        <v>0</v>
      </c>
    </row>
    <row r="304" spans="1:17" ht="16" thickBot="1">
      <c r="A304" s="80" t="s">
        <v>971</v>
      </c>
      <c r="B304" s="4">
        <v>0</v>
      </c>
      <c r="C304" s="4">
        <v>0</v>
      </c>
      <c r="D304" s="4">
        <v>45</v>
      </c>
      <c r="E304" s="4">
        <v>0</v>
      </c>
      <c r="F304" s="4">
        <v>50</v>
      </c>
      <c r="G304" s="10">
        <f t="shared" ref="G304:G312" si="96">B304+C304/60</f>
        <v>0</v>
      </c>
      <c r="H304" s="4">
        <v>0</v>
      </c>
      <c r="I304" s="5">
        <f>G304*D304</f>
        <v>0</v>
      </c>
      <c r="J304" s="5">
        <f>I304-H304</f>
        <v>0</v>
      </c>
      <c r="K304">
        <v>0</v>
      </c>
      <c r="N304" s="51">
        <v>0</v>
      </c>
    </row>
    <row r="305" spans="1:17" ht="20" thickBot="1">
      <c r="A305" s="91" t="s">
        <v>949</v>
      </c>
      <c r="B305" s="8">
        <f>SUM(B306:B312)</f>
        <v>71</v>
      </c>
      <c r="C305" s="8">
        <f>SUM(C306:C312)</f>
        <v>178</v>
      </c>
      <c r="D305" s="8">
        <f>SUM(D306)</f>
        <v>45</v>
      </c>
      <c r="E305" s="8">
        <f>SUM(E306:E312)</f>
        <v>7</v>
      </c>
      <c r="F305" s="8">
        <f>SUM(F306:F312)</f>
        <v>350</v>
      </c>
      <c r="G305" s="93">
        <f t="shared" si="96"/>
        <v>73.966666666666669</v>
      </c>
      <c r="H305" s="8">
        <f>SUM(H306:H312)</f>
        <v>350</v>
      </c>
      <c r="I305" s="9">
        <f>SUM(I306:I312)</f>
        <v>3646.6666666666665</v>
      </c>
      <c r="J305" s="14">
        <f>SUM(J306:J312)</f>
        <v>3296.6666666666665</v>
      </c>
      <c r="K305" s="8">
        <f>SUM(K306:K312)</f>
        <v>160</v>
      </c>
      <c r="L305" s="9">
        <v>0</v>
      </c>
      <c r="M305" s="96">
        <f>J305</f>
        <v>3296.6666666666665</v>
      </c>
      <c r="N305" s="102">
        <f>SUM(N306:N312)</f>
        <v>4330</v>
      </c>
      <c r="O305" s="98">
        <f>4318-N305</f>
        <v>-12</v>
      </c>
      <c r="P305" s="86"/>
      <c r="Q305" s="86"/>
    </row>
    <row r="306" spans="1:17">
      <c r="A306" s="6">
        <v>46139</v>
      </c>
      <c r="B306" s="4">
        <v>9</v>
      </c>
      <c r="C306" s="4">
        <v>46</v>
      </c>
      <c r="D306" s="4">
        <v>45</v>
      </c>
      <c r="E306" s="4">
        <v>1</v>
      </c>
      <c r="F306" s="4">
        <v>50</v>
      </c>
      <c r="G306" s="10">
        <f t="shared" si="96"/>
        <v>9.7666666666666675</v>
      </c>
      <c r="H306" s="4">
        <v>50</v>
      </c>
      <c r="I306" s="5">
        <f t="shared" ref="I306:I312" si="97">G306*D306</f>
        <v>439.50000000000006</v>
      </c>
      <c r="J306" s="5">
        <f t="shared" ref="J306:J311" si="98">I306-H306</f>
        <v>389.50000000000006</v>
      </c>
      <c r="K306">
        <v>19</v>
      </c>
      <c r="N306" s="51">
        <v>614</v>
      </c>
      <c r="O306" s="51"/>
    </row>
    <row r="307" spans="1:17">
      <c r="A307" s="6">
        <v>46140</v>
      </c>
      <c r="B307" s="4">
        <v>10</v>
      </c>
      <c r="C307" s="4">
        <v>23</v>
      </c>
      <c r="D307" s="4">
        <v>45</v>
      </c>
      <c r="E307" s="4">
        <v>1</v>
      </c>
      <c r="F307" s="4">
        <v>50</v>
      </c>
      <c r="G307" s="10">
        <f t="shared" si="96"/>
        <v>10.383333333333333</v>
      </c>
      <c r="H307" s="4">
        <v>50</v>
      </c>
      <c r="I307" s="5">
        <f t="shared" si="97"/>
        <v>467.25</v>
      </c>
      <c r="J307" s="5">
        <f t="shared" si="98"/>
        <v>417.25</v>
      </c>
      <c r="K307">
        <v>23</v>
      </c>
      <c r="N307" s="51">
        <v>671</v>
      </c>
    </row>
    <row r="308" spans="1:17">
      <c r="A308" s="6">
        <v>46141</v>
      </c>
      <c r="B308" s="4">
        <v>11</v>
      </c>
      <c r="C308" s="4">
        <v>0</v>
      </c>
      <c r="D308" s="4">
        <v>45</v>
      </c>
      <c r="E308" s="4">
        <v>1</v>
      </c>
      <c r="F308" s="4">
        <v>50</v>
      </c>
      <c r="G308" s="10">
        <f t="shared" si="96"/>
        <v>11</v>
      </c>
      <c r="H308" s="4">
        <v>50</v>
      </c>
      <c r="I308" s="5">
        <f t="shared" si="97"/>
        <v>495</v>
      </c>
      <c r="J308" s="5">
        <f t="shared" si="98"/>
        <v>445</v>
      </c>
      <c r="K308">
        <v>8</v>
      </c>
      <c r="N308" s="51">
        <v>323</v>
      </c>
      <c r="P308" s="181" t="s">
        <v>1054</v>
      </c>
    </row>
    <row r="309" spans="1:17">
      <c r="A309" s="6">
        <v>46142</v>
      </c>
      <c r="B309" s="4">
        <v>11</v>
      </c>
      <c r="C309" s="4">
        <v>0</v>
      </c>
      <c r="D309" s="4">
        <v>45</v>
      </c>
      <c r="E309" s="4">
        <v>1</v>
      </c>
      <c r="F309" s="4">
        <v>50</v>
      </c>
      <c r="G309" s="10">
        <f t="shared" si="96"/>
        <v>11</v>
      </c>
      <c r="H309" s="4">
        <v>50</v>
      </c>
      <c r="I309" s="5">
        <f t="shared" si="97"/>
        <v>495</v>
      </c>
      <c r="J309" s="5">
        <f t="shared" si="98"/>
        <v>445</v>
      </c>
      <c r="K309">
        <v>23</v>
      </c>
      <c r="N309" s="51">
        <v>550</v>
      </c>
    </row>
    <row r="310" spans="1:17">
      <c r="A310" s="6">
        <v>46143</v>
      </c>
      <c r="B310" s="4">
        <v>10</v>
      </c>
      <c r="C310" s="4">
        <v>37</v>
      </c>
      <c r="D310" s="4">
        <v>55</v>
      </c>
      <c r="E310" s="4">
        <v>1</v>
      </c>
      <c r="F310" s="4">
        <v>50</v>
      </c>
      <c r="G310" s="10">
        <f t="shared" si="96"/>
        <v>10.616666666666667</v>
      </c>
      <c r="H310" s="4">
        <v>50</v>
      </c>
      <c r="I310" s="5">
        <f t="shared" si="97"/>
        <v>583.91666666666674</v>
      </c>
      <c r="J310" s="5">
        <f t="shared" si="98"/>
        <v>533.91666666666674</v>
      </c>
      <c r="K310">
        <v>28</v>
      </c>
      <c r="N310" s="51">
        <v>748</v>
      </c>
    </row>
    <row r="311" spans="1:17">
      <c r="A311" s="6">
        <v>46144</v>
      </c>
      <c r="B311" s="4">
        <v>10</v>
      </c>
      <c r="C311" s="4">
        <v>38</v>
      </c>
      <c r="D311" s="4">
        <v>55</v>
      </c>
      <c r="E311" s="4">
        <v>1</v>
      </c>
      <c r="F311" s="4">
        <v>50</v>
      </c>
      <c r="G311" s="10">
        <f t="shared" si="96"/>
        <v>10.633333333333333</v>
      </c>
      <c r="H311" s="4">
        <v>50</v>
      </c>
      <c r="I311" s="5">
        <f t="shared" si="97"/>
        <v>584.83333333333326</v>
      </c>
      <c r="J311" s="5">
        <f t="shared" si="98"/>
        <v>534.83333333333326</v>
      </c>
      <c r="K311">
        <v>28</v>
      </c>
      <c r="N311" s="51">
        <v>619</v>
      </c>
    </row>
    <row r="312" spans="1:17">
      <c r="A312" s="6">
        <v>46145</v>
      </c>
      <c r="B312" s="4">
        <v>10</v>
      </c>
      <c r="C312" s="4">
        <v>34</v>
      </c>
      <c r="D312" s="4">
        <v>55</v>
      </c>
      <c r="E312" s="4">
        <v>1</v>
      </c>
      <c r="F312" s="4">
        <v>50</v>
      </c>
      <c r="G312" s="10">
        <f t="shared" si="96"/>
        <v>10.566666666666666</v>
      </c>
      <c r="H312" s="4">
        <v>50</v>
      </c>
      <c r="I312" s="5">
        <f t="shared" si="97"/>
        <v>581.16666666666663</v>
      </c>
      <c r="J312" s="5">
        <f>I312-H312</f>
        <v>531.16666666666663</v>
      </c>
      <c r="K312">
        <v>31</v>
      </c>
      <c r="N312" s="51">
        <v>805</v>
      </c>
    </row>
    <row r="313" spans="1:17" ht="20" thickBot="1">
      <c r="A313" s="91" t="s">
        <v>950</v>
      </c>
      <c r="B313" s="8">
        <f>SUM(B314:B320)</f>
        <v>57</v>
      </c>
      <c r="C313" s="8">
        <f>SUM(C314:C320)</f>
        <v>205</v>
      </c>
      <c r="D313" s="8">
        <f>SUM(D314)</f>
        <v>65</v>
      </c>
      <c r="E313" s="8">
        <f>SUM(E314:E320)</f>
        <v>7</v>
      </c>
      <c r="F313" s="8">
        <f>SUM(F314:F320)</f>
        <v>350</v>
      </c>
      <c r="G313" s="93">
        <f>B313+C313/60</f>
        <v>60.416666666666664</v>
      </c>
      <c r="H313" s="8">
        <f>SUM(H314:H320)</f>
        <v>350</v>
      </c>
      <c r="I313" s="9">
        <f>SUM(I314:I320)</f>
        <v>3775.0833333333339</v>
      </c>
      <c r="J313" s="14">
        <f>SUM(J314:J320)</f>
        <v>3425.0833333333339</v>
      </c>
      <c r="K313" s="8">
        <f>SUM(K314:K320)</f>
        <v>192</v>
      </c>
      <c r="L313" s="9">
        <v>0</v>
      </c>
      <c r="M313" s="96">
        <f>J313</f>
        <v>3425.0833333333339</v>
      </c>
      <c r="N313" s="102">
        <f>SUM(N314:N320)</f>
        <v>4406</v>
      </c>
      <c r="O313" s="98">
        <f>4823-N313</f>
        <v>417</v>
      </c>
      <c r="P313" s="86"/>
      <c r="Q313" s="86"/>
    </row>
    <row r="314" spans="1:17">
      <c r="A314" s="6">
        <v>46139</v>
      </c>
      <c r="B314" s="4">
        <v>9</v>
      </c>
      <c r="C314" s="4">
        <v>50</v>
      </c>
      <c r="D314" s="4">
        <v>65</v>
      </c>
      <c r="E314" s="4">
        <v>1</v>
      </c>
      <c r="F314" s="4">
        <v>50</v>
      </c>
      <c r="G314" s="10">
        <f>B314+C314/60</f>
        <v>9.8333333333333339</v>
      </c>
      <c r="H314" s="4">
        <v>50</v>
      </c>
      <c r="I314" s="5">
        <f t="shared" ref="I314:I320" si="99">G314*D314</f>
        <v>639.16666666666674</v>
      </c>
      <c r="J314" s="5">
        <f>I314-H314</f>
        <v>589.16666666666674</v>
      </c>
      <c r="K314">
        <v>32</v>
      </c>
      <c r="N314" s="51">
        <f>819+200</f>
        <v>1019</v>
      </c>
      <c r="O314" s="51"/>
    </row>
    <row r="315" spans="1:17">
      <c r="A315" s="6">
        <v>46140</v>
      </c>
      <c r="B315" s="4">
        <v>10</v>
      </c>
      <c r="C315" s="4">
        <v>38</v>
      </c>
      <c r="D315" s="4">
        <v>65</v>
      </c>
      <c r="E315" s="4">
        <v>1</v>
      </c>
      <c r="F315" s="4">
        <v>50</v>
      </c>
      <c r="G315" s="10">
        <f t="shared" ref="G315:G320" si="100">B315+C315/60</f>
        <v>10.633333333333333</v>
      </c>
      <c r="H315" s="4">
        <v>50</v>
      </c>
      <c r="I315" s="5">
        <f t="shared" si="99"/>
        <v>691.16666666666663</v>
      </c>
      <c r="J315" s="5">
        <f>I315-H315</f>
        <v>641.16666666666663</v>
      </c>
      <c r="K315">
        <v>34</v>
      </c>
      <c r="N315" s="51">
        <v>470</v>
      </c>
    </row>
    <row r="316" spans="1:17">
      <c r="A316" s="6">
        <v>46141</v>
      </c>
      <c r="B316" s="4">
        <v>6</v>
      </c>
      <c r="C316" s="4">
        <v>17</v>
      </c>
      <c r="D316" s="4">
        <v>45</v>
      </c>
      <c r="E316" s="4">
        <v>1</v>
      </c>
      <c r="F316" s="4">
        <v>50</v>
      </c>
      <c r="G316" s="10">
        <f t="shared" si="100"/>
        <v>6.2833333333333332</v>
      </c>
      <c r="H316" s="4">
        <v>50</v>
      </c>
      <c r="I316" s="5">
        <f t="shared" si="99"/>
        <v>282.75</v>
      </c>
      <c r="J316" s="5">
        <f t="shared" ref="J316:J320" si="101">I316-H316</f>
        <v>232.75</v>
      </c>
      <c r="K316">
        <v>16</v>
      </c>
      <c r="N316" s="51">
        <v>445</v>
      </c>
    </row>
    <row r="317" spans="1:17">
      <c r="A317" s="6">
        <v>46142</v>
      </c>
      <c r="B317" s="4">
        <v>11</v>
      </c>
      <c r="C317" s="4">
        <v>0</v>
      </c>
      <c r="D317" s="4">
        <v>65</v>
      </c>
      <c r="E317" s="4">
        <v>1</v>
      </c>
      <c r="F317" s="4">
        <v>50</v>
      </c>
      <c r="G317" s="10">
        <f t="shared" si="100"/>
        <v>11</v>
      </c>
      <c r="H317" s="4">
        <v>50</v>
      </c>
      <c r="I317" s="5">
        <f t="shared" si="99"/>
        <v>715</v>
      </c>
      <c r="J317" s="5">
        <f t="shared" si="101"/>
        <v>665</v>
      </c>
      <c r="K317">
        <v>33</v>
      </c>
      <c r="N317" s="51">
        <v>632</v>
      </c>
    </row>
    <row r="318" spans="1:17">
      <c r="A318" s="6">
        <v>46143</v>
      </c>
      <c r="B318" s="4">
        <v>10</v>
      </c>
      <c r="C318" s="4">
        <v>46</v>
      </c>
      <c r="D318" s="4">
        <v>65</v>
      </c>
      <c r="E318" s="4">
        <v>1</v>
      </c>
      <c r="F318" s="4">
        <v>50</v>
      </c>
      <c r="G318" s="10">
        <f t="shared" si="100"/>
        <v>10.766666666666667</v>
      </c>
      <c r="H318" s="4">
        <v>50</v>
      </c>
      <c r="I318" s="5">
        <f t="shared" si="99"/>
        <v>699.83333333333337</v>
      </c>
      <c r="J318" s="5">
        <f t="shared" si="101"/>
        <v>649.83333333333337</v>
      </c>
      <c r="K318">
        <v>37</v>
      </c>
      <c r="N318" s="51">
        <v>863</v>
      </c>
    </row>
    <row r="319" spans="1:17">
      <c r="A319" s="6">
        <v>46144</v>
      </c>
      <c r="B319" s="4">
        <v>10</v>
      </c>
      <c r="C319" s="4">
        <v>35</v>
      </c>
      <c r="D319" s="4">
        <v>65</v>
      </c>
      <c r="E319" s="4">
        <v>1</v>
      </c>
      <c r="F319" s="4">
        <v>50</v>
      </c>
      <c r="G319" s="10">
        <f t="shared" si="100"/>
        <v>10.583333333333334</v>
      </c>
      <c r="H319" s="4">
        <v>50</v>
      </c>
      <c r="I319" s="5">
        <f t="shared" si="99"/>
        <v>687.91666666666674</v>
      </c>
      <c r="J319" s="5">
        <f t="shared" si="101"/>
        <v>637.91666666666674</v>
      </c>
      <c r="K319">
        <v>37</v>
      </c>
      <c r="N319" s="51">
        <v>977</v>
      </c>
    </row>
    <row r="320" spans="1:17">
      <c r="A320" s="6">
        <v>46145</v>
      </c>
      <c r="B320" s="4">
        <v>1</v>
      </c>
      <c r="C320" s="4">
        <v>19</v>
      </c>
      <c r="D320" s="4">
        <v>45</v>
      </c>
      <c r="E320" s="4">
        <v>1</v>
      </c>
      <c r="F320" s="4">
        <v>50</v>
      </c>
      <c r="G320" s="10">
        <f t="shared" si="100"/>
        <v>1.3166666666666667</v>
      </c>
      <c r="H320" s="4">
        <v>50</v>
      </c>
      <c r="I320" s="5">
        <f t="shared" si="99"/>
        <v>59.25</v>
      </c>
      <c r="J320" s="5">
        <f t="shared" si="101"/>
        <v>9.25</v>
      </c>
      <c r="K320">
        <v>3</v>
      </c>
      <c r="N320" s="51">
        <v>0</v>
      </c>
    </row>
    <row r="321" spans="1:17" ht="20" thickBot="1">
      <c r="A321" s="91" t="s">
        <v>953</v>
      </c>
      <c r="B321" s="8">
        <f>SUM(B322:B327)</f>
        <v>30</v>
      </c>
      <c r="C321" s="8">
        <f>SUM(C322:C327)</f>
        <v>45</v>
      </c>
      <c r="D321" s="8">
        <f>SUM(D322)</f>
        <v>45</v>
      </c>
      <c r="E321" s="8">
        <f>SUM(E322:E328)</f>
        <v>4</v>
      </c>
      <c r="F321" s="8">
        <f>SUM(F322:F327)</f>
        <v>300</v>
      </c>
      <c r="G321" s="93">
        <f t="shared" ref="G321:G328" si="102">B321+C321/60</f>
        <v>30.75</v>
      </c>
      <c r="H321" s="8">
        <f>SUM(H322:H327)</f>
        <v>150</v>
      </c>
      <c r="I321" s="9">
        <f>SUM(I322:I328)</f>
        <v>2078.25</v>
      </c>
      <c r="J321" s="14">
        <f>SUM(J322:J328)</f>
        <v>1878.25</v>
      </c>
      <c r="K321" s="8">
        <f>SUM(K322:K328)</f>
        <v>105</v>
      </c>
      <c r="L321" s="9">
        <v>0</v>
      </c>
      <c r="M321" s="96">
        <f>J321</f>
        <v>1878.25</v>
      </c>
      <c r="N321" s="102">
        <f>SUM(N322:N329)</f>
        <v>2875</v>
      </c>
      <c r="O321" s="98">
        <f>2925-N321</f>
        <v>50</v>
      </c>
      <c r="P321" s="86"/>
      <c r="Q321" s="86"/>
    </row>
    <row r="322" spans="1:17">
      <c r="A322" s="80" t="s">
        <v>961</v>
      </c>
      <c r="B322" s="4">
        <v>8</v>
      </c>
      <c r="C322" s="4">
        <v>45</v>
      </c>
      <c r="D322" s="4">
        <v>45</v>
      </c>
      <c r="E322" s="4">
        <v>1</v>
      </c>
      <c r="F322" s="4">
        <v>50</v>
      </c>
      <c r="G322" s="10">
        <f t="shared" si="102"/>
        <v>8.75</v>
      </c>
      <c r="H322" s="4">
        <v>50</v>
      </c>
      <c r="I322" s="5">
        <f t="shared" ref="I322:I328" si="103">G322*D322</f>
        <v>393.75</v>
      </c>
      <c r="J322" s="5">
        <f t="shared" ref="J322:J328" si="104">I322-H322</f>
        <v>343.75</v>
      </c>
      <c r="K322">
        <v>25</v>
      </c>
      <c r="N322" s="51">
        <v>0</v>
      </c>
      <c r="O322" s="51"/>
      <c r="P322" t="s">
        <v>1055</v>
      </c>
    </row>
    <row r="323" spans="1:17">
      <c r="A323" s="80" t="s">
        <v>963</v>
      </c>
      <c r="B323" s="4">
        <v>0</v>
      </c>
      <c r="C323" s="4">
        <v>0</v>
      </c>
      <c r="D323" s="4">
        <v>45</v>
      </c>
      <c r="E323" s="4">
        <v>0</v>
      </c>
      <c r="F323" s="4">
        <v>50</v>
      </c>
      <c r="G323" s="10">
        <f t="shared" si="102"/>
        <v>0</v>
      </c>
      <c r="H323" s="4">
        <v>0</v>
      </c>
      <c r="I323" s="5">
        <f t="shared" si="103"/>
        <v>0</v>
      </c>
      <c r="J323" s="5">
        <f t="shared" si="104"/>
        <v>0</v>
      </c>
      <c r="K323">
        <v>0</v>
      </c>
      <c r="N323" s="51">
        <v>0</v>
      </c>
    </row>
    <row r="324" spans="1:17">
      <c r="A324" s="80" t="s">
        <v>965</v>
      </c>
      <c r="B324" s="4">
        <v>11</v>
      </c>
      <c r="C324" s="4">
        <v>0</v>
      </c>
      <c r="D324" s="4">
        <v>65</v>
      </c>
      <c r="E324" s="4">
        <v>1</v>
      </c>
      <c r="F324" s="4">
        <v>50</v>
      </c>
      <c r="G324" s="10">
        <f t="shared" si="102"/>
        <v>11</v>
      </c>
      <c r="H324" s="4">
        <v>50</v>
      </c>
      <c r="I324" s="5">
        <f t="shared" si="103"/>
        <v>715</v>
      </c>
      <c r="J324" s="5">
        <f t="shared" si="104"/>
        <v>665</v>
      </c>
      <c r="K324">
        <v>34</v>
      </c>
      <c r="N324" s="51">
        <v>631</v>
      </c>
    </row>
    <row r="325" spans="1:17">
      <c r="A325" s="80" t="s">
        <v>967</v>
      </c>
      <c r="B325" s="4">
        <v>11</v>
      </c>
      <c r="C325" s="4">
        <v>0</v>
      </c>
      <c r="D325" s="4">
        <v>55</v>
      </c>
      <c r="E325" s="4">
        <v>1</v>
      </c>
      <c r="F325" s="4">
        <v>50</v>
      </c>
      <c r="G325" s="10">
        <f t="shared" si="102"/>
        <v>11</v>
      </c>
      <c r="H325" s="4">
        <v>50</v>
      </c>
      <c r="I325" s="5">
        <f t="shared" si="103"/>
        <v>605</v>
      </c>
      <c r="J325" s="5">
        <f t="shared" si="104"/>
        <v>555</v>
      </c>
      <c r="K325">
        <v>29</v>
      </c>
      <c r="N325" s="51">
        <f>564+200</f>
        <v>764</v>
      </c>
      <c r="P325" t="s">
        <v>1056</v>
      </c>
    </row>
    <row r="326" spans="1:17">
      <c r="A326" s="80" t="s">
        <v>969</v>
      </c>
      <c r="B326" s="4">
        <v>0</v>
      </c>
      <c r="C326" s="4">
        <v>0</v>
      </c>
      <c r="D326" s="4">
        <v>45</v>
      </c>
      <c r="E326" s="4">
        <v>0</v>
      </c>
      <c r="F326" s="4">
        <v>50</v>
      </c>
      <c r="G326" s="10">
        <f t="shared" si="102"/>
        <v>0</v>
      </c>
      <c r="H326" s="4">
        <v>0</v>
      </c>
      <c r="I326" s="5">
        <f t="shared" si="103"/>
        <v>0</v>
      </c>
      <c r="J326" s="5">
        <f t="shared" si="104"/>
        <v>0</v>
      </c>
      <c r="K326">
        <v>0</v>
      </c>
      <c r="N326" s="51">
        <v>857</v>
      </c>
    </row>
    <row r="327" spans="1:17">
      <c r="A327" s="80" t="s">
        <v>971</v>
      </c>
      <c r="B327" s="4">
        <v>0</v>
      </c>
      <c r="C327" s="4">
        <v>0</v>
      </c>
      <c r="D327" s="4">
        <v>45</v>
      </c>
      <c r="E327" s="4">
        <v>0</v>
      </c>
      <c r="F327" s="4">
        <v>50</v>
      </c>
      <c r="G327" s="10">
        <f t="shared" si="102"/>
        <v>0</v>
      </c>
      <c r="H327" s="4">
        <v>0</v>
      </c>
      <c r="I327" s="5">
        <f t="shared" si="103"/>
        <v>0</v>
      </c>
      <c r="J327" s="5">
        <f t="shared" si="104"/>
        <v>0</v>
      </c>
      <c r="K327">
        <v>0</v>
      </c>
      <c r="N327" s="51">
        <v>0</v>
      </c>
    </row>
    <row r="328" spans="1:17">
      <c r="A328" s="80" t="s">
        <v>973</v>
      </c>
      <c r="B328">
        <v>8</v>
      </c>
      <c r="C328">
        <v>6</v>
      </c>
      <c r="D328">
        <v>45</v>
      </c>
      <c r="E328">
        <v>1</v>
      </c>
      <c r="F328">
        <v>50</v>
      </c>
      <c r="G328" s="10">
        <f t="shared" si="102"/>
        <v>8.1</v>
      </c>
      <c r="H328" s="131">
        <v>50</v>
      </c>
      <c r="I328" s="5">
        <f t="shared" si="103"/>
        <v>364.5</v>
      </c>
      <c r="J328" s="5">
        <f t="shared" si="104"/>
        <v>314.5</v>
      </c>
      <c r="K328">
        <v>17</v>
      </c>
      <c r="N328" s="51">
        <f>463+160</f>
        <v>623</v>
      </c>
      <c r="P328" t="s">
        <v>1057</v>
      </c>
    </row>
    <row r="329" spans="1:17">
      <c r="A329" s="80"/>
      <c r="G329" s="133"/>
      <c r="H329" s="131"/>
      <c r="I329" s="132"/>
      <c r="J329" s="132"/>
      <c r="N329" s="51"/>
    </row>
    <row r="330" spans="1:17" ht="21">
      <c r="A330" t="s">
        <v>17</v>
      </c>
      <c r="E330" s="122">
        <f t="shared" ref="E330" si="105">E3+E10+E18+E25+E33+E41+E49+E57+E72+E80+E88+E96+E104+E111+E118+E134+E142+E149+E156+E164+E171+E179+E187+E195+E203+E211+E219+E227+E235+E243+E251+E259+E267+E275+E283+E290+E305+E313+E321</f>
        <v>189</v>
      </c>
      <c r="F330" s="121"/>
      <c r="G330" s="121"/>
      <c r="H330" s="121">
        <f t="shared" ref="H330:O330" si="106">H3+H10+H18+H25+H33+H41+H49+H57+H72+H80+H88+H96+H104+H111+H118+H134+H142+H149+H156+H164+H171+H179+H187+H195+H203+H211+H219+H227+H235+H243+H251+H259+H267+H275+H283+H290+H305+H313+H321</f>
        <v>9644.2000000000007</v>
      </c>
      <c r="I330" s="121">
        <f t="shared" si="106"/>
        <v>94953.750000000029</v>
      </c>
      <c r="J330" s="121">
        <f t="shared" si="106"/>
        <v>85159.550000000017</v>
      </c>
      <c r="K330" s="122">
        <f t="shared" si="106"/>
        <v>5114</v>
      </c>
      <c r="L330" s="121">
        <f t="shared" si="106"/>
        <v>0</v>
      </c>
      <c r="M330" s="121">
        <f t="shared" si="106"/>
        <v>85159.550000000017</v>
      </c>
      <c r="N330" s="121">
        <f t="shared" si="106"/>
        <v>122186</v>
      </c>
      <c r="O330" s="121">
        <f t="shared" si="106"/>
        <v>5584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830E-7E84-4092-9D8F-FFEA30BE94BC}">
  <dimension ref="A1:Q356"/>
  <sheetViews>
    <sheetView workbookViewId="0">
      <pane xSplit="1" ySplit="1" topLeftCell="K113" activePane="bottomRight" state="frozen"/>
      <selection pane="topRight"/>
      <selection pane="bottomLeft"/>
      <selection pane="bottomRight" activeCell="N120" sqref="N120"/>
    </sheetView>
  </sheetViews>
  <sheetFormatPr baseColWidth="10" defaultColWidth="8.83203125" defaultRowHeight="15"/>
  <cols>
    <col min="1" max="1" width="21" customWidth="1"/>
    <col min="2" max="2" width="16.5" customWidth="1"/>
    <col min="3" max="3" width="19.33203125" customWidth="1"/>
    <col min="4" max="4" width="18.6640625" customWidth="1"/>
    <col min="5" max="5" width="16.33203125" customWidth="1"/>
    <col min="6" max="6" width="20" customWidth="1"/>
    <col min="7" max="7" width="20.6640625" customWidth="1"/>
    <col min="8" max="8" width="19.33203125" customWidth="1"/>
    <col min="9" max="9" width="22.33203125" customWidth="1"/>
    <col min="10" max="10" width="18.33203125" customWidth="1"/>
    <col min="11" max="11" width="13.33203125" customWidth="1"/>
    <col min="12" max="12" width="12.83203125" bestFit="1" customWidth="1"/>
    <col min="13" max="13" width="19.6640625" bestFit="1" customWidth="1"/>
    <col min="14" max="14" width="20.33203125" customWidth="1"/>
    <col min="15" max="15" width="26.5" customWidth="1"/>
    <col min="16" max="16" width="24.5" customWidth="1"/>
    <col min="17" max="17" width="21.33203125" customWidth="1"/>
  </cols>
  <sheetData>
    <row r="1" spans="1:17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7" ht="19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7" ht="19">
      <c r="A3" s="91" t="s">
        <v>453</v>
      </c>
      <c r="B3" s="8">
        <f>SUM(B4:B9)</f>
        <v>24</v>
      </c>
      <c r="C3" s="8">
        <f>SUM(C4:C9)</f>
        <v>81</v>
      </c>
      <c r="D3" s="8">
        <f>SUM(D4)</f>
        <v>45</v>
      </c>
      <c r="E3" s="8">
        <f>SUM(E4:E9)</f>
        <v>4</v>
      </c>
      <c r="F3" s="8">
        <f>SUM(F4:F9)</f>
        <v>300</v>
      </c>
      <c r="G3" s="93">
        <f t="shared" ref="G3:G39" si="0">B3+C3/60</f>
        <v>25.35</v>
      </c>
      <c r="H3" s="8">
        <f>SUM(H4:H9)</f>
        <v>200</v>
      </c>
      <c r="I3" s="9">
        <f>SUM(I4:I9)</f>
        <v>1367.25</v>
      </c>
      <c r="J3" s="14">
        <f>SUM(J4:J9)</f>
        <v>1167.25</v>
      </c>
      <c r="K3" s="8">
        <f>SUM(K4:K9)</f>
        <v>103</v>
      </c>
      <c r="L3" s="9">
        <v>0</v>
      </c>
      <c r="M3" s="96">
        <f>J3+L3</f>
        <v>1167.25</v>
      </c>
      <c r="N3" s="97">
        <f>SUM(N4:N9)</f>
        <v>2219</v>
      </c>
      <c r="O3" s="98">
        <f>2388-N3</f>
        <v>169</v>
      </c>
      <c r="P3" s="86"/>
      <c r="Q3" s="86"/>
    </row>
    <row r="4" spans="1:17">
      <c r="A4" s="80" t="s">
        <v>1058</v>
      </c>
      <c r="B4" s="4">
        <v>4</v>
      </c>
      <c r="C4" s="4">
        <v>4</v>
      </c>
      <c r="D4" s="4">
        <v>45</v>
      </c>
      <c r="E4" s="4">
        <v>1</v>
      </c>
      <c r="F4" s="4">
        <v>50</v>
      </c>
      <c r="G4" s="10">
        <f t="shared" si="0"/>
        <v>4.0666666666666664</v>
      </c>
      <c r="H4" s="4">
        <v>50</v>
      </c>
      <c r="I4" s="5">
        <f t="shared" ref="I4:I9" si="1">G4*D4</f>
        <v>183</v>
      </c>
      <c r="J4" s="5">
        <f t="shared" ref="J4:J9" si="2">I4-H4</f>
        <v>133</v>
      </c>
      <c r="K4">
        <v>14</v>
      </c>
      <c r="N4" s="51">
        <v>271</v>
      </c>
      <c r="P4" t="s">
        <v>983</v>
      </c>
    </row>
    <row r="5" spans="1:17">
      <c r="A5" s="80" t="s">
        <v>1059</v>
      </c>
      <c r="B5" s="4">
        <v>0</v>
      </c>
      <c r="C5" s="4">
        <v>0</v>
      </c>
      <c r="D5" s="4">
        <v>45</v>
      </c>
      <c r="E5" s="4">
        <v>0</v>
      </c>
      <c r="F5" s="4">
        <v>50</v>
      </c>
      <c r="G5" s="10">
        <f t="shared" si="0"/>
        <v>0</v>
      </c>
      <c r="H5" s="4">
        <v>0</v>
      </c>
      <c r="I5" s="5">
        <f t="shared" si="1"/>
        <v>0</v>
      </c>
      <c r="J5" s="5">
        <f t="shared" si="2"/>
        <v>0</v>
      </c>
      <c r="K5">
        <v>0</v>
      </c>
      <c r="N5" s="51">
        <v>0</v>
      </c>
    </row>
    <row r="6" spans="1:17">
      <c r="A6" s="80" t="s">
        <v>1060</v>
      </c>
      <c r="B6" s="4">
        <v>0</v>
      </c>
      <c r="C6" s="4">
        <v>0</v>
      </c>
      <c r="D6" s="4">
        <v>55</v>
      </c>
      <c r="E6" s="4">
        <v>0</v>
      </c>
      <c r="F6" s="4">
        <v>50</v>
      </c>
      <c r="G6" s="10">
        <f t="shared" si="0"/>
        <v>0</v>
      </c>
      <c r="H6" s="4">
        <v>0</v>
      </c>
      <c r="I6" s="5">
        <f t="shared" si="1"/>
        <v>0</v>
      </c>
      <c r="J6" s="5">
        <f t="shared" si="2"/>
        <v>0</v>
      </c>
      <c r="K6">
        <v>0</v>
      </c>
      <c r="N6" s="51">
        <v>0</v>
      </c>
    </row>
    <row r="7" spans="1:17">
      <c r="A7" s="80" t="s">
        <v>1061</v>
      </c>
      <c r="B7" s="4">
        <v>7</v>
      </c>
      <c r="C7" s="4">
        <v>7</v>
      </c>
      <c r="D7" s="4">
        <v>55</v>
      </c>
      <c r="E7" s="4">
        <v>1</v>
      </c>
      <c r="F7" s="4">
        <v>50</v>
      </c>
      <c r="G7" s="10">
        <f t="shared" si="0"/>
        <v>7.1166666666666663</v>
      </c>
      <c r="H7" s="4">
        <v>50</v>
      </c>
      <c r="I7" s="5">
        <f t="shared" si="1"/>
        <v>391.41666666666663</v>
      </c>
      <c r="J7" s="5">
        <f t="shared" si="2"/>
        <v>341.41666666666663</v>
      </c>
      <c r="K7">
        <v>30</v>
      </c>
      <c r="N7" s="51">
        <v>731</v>
      </c>
      <c r="P7" s="170" t="s">
        <v>1062</v>
      </c>
    </row>
    <row r="8" spans="1:17">
      <c r="A8" s="80" t="s">
        <v>1063</v>
      </c>
      <c r="B8" s="4">
        <v>7</v>
      </c>
      <c r="C8" s="4">
        <v>46</v>
      </c>
      <c r="D8" s="4">
        <v>65</v>
      </c>
      <c r="E8" s="4">
        <v>1</v>
      </c>
      <c r="F8" s="4">
        <v>50</v>
      </c>
      <c r="G8" s="10">
        <f t="shared" si="0"/>
        <v>7.7666666666666666</v>
      </c>
      <c r="H8" s="4">
        <v>50</v>
      </c>
      <c r="I8" s="5">
        <f t="shared" si="1"/>
        <v>504.83333333333331</v>
      </c>
      <c r="J8" s="5">
        <f t="shared" si="2"/>
        <v>454.83333333333331</v>
      </c>
      <c r="K8">
        <v>36</v>
      </c>
      <c r="N8" s="51">
        <f>602+150</f>
        <v>752</v>
      </c>
      <c r="P8" t="s">
        <v>1064</v>
      </c>
    </row>
    <row r="9" spans="1:17">
      <c r="A9" s="80" t="s">
        <v>1065</v>
      </c>
      <c r="B9" s="4">
        <v>6</v>
      </c>
      <c r="C9" s="4">
        <v>24</v>
      </c>
      <c r="D9" s="4">
        <v>45</v>
      </c>
      <c r="E9" s="4">
        <v>1</v>
      </c>
      <c r="F9" s="4">
        <v>50</v>
      </c>
      <c r="G9" s="10">
        <f t="shared" si="0"/>
        <v>6.4</v>
      </c>
      <c r="H9" s="4">
        <v>50</v>
      </c>
      <c r="I9" s="5">
        <f t="shared" si="1"/>
        <v>288</v>
      </c>
      <c r="J9" s="5">
        <f t="shared" si="2"/>
        <v>238</v>
      </c>
      <c r="K9">
        <v>23</v>
      </c>
      <c r="N9" s="51">
        <v>465</v>
      </c>
      <c r="P9" t="s">
        <v>1066</v>
      </c>
    </row>
    <row r="10" spans="1:17" ht="19">
      <c r="A10" s="91" t="s">
        <v>463</v>
      </c>
      <c r="B10" s="92">
        <f>SUM(B11:B16)</f>
        <v>62</v>
      </c>
      <c r="C10" s="92">
        <f>SUM(C11:C16)</f>
        <v>85</v>
      </c>
      <c r="D10" s="92">
        <f>SUM(D11)</f>
        <v>55</v>
      </c>
      <c r="E10" s="92">
        <f>SUM(E11:E16)</f>
        <v>6</v>
      </c>
      <c r="F10" s="92">
        <f>SUM(F11:F16)</f>
        <v>300</v>
      </c>
      <c r="G10" s="93">
        <f t="shared" si="0"/>
        <v>63.416666666666664</v>
      </c>
      <c r="H10" s="8">
        <f>SUM(H11:H16)</f>
        <v>300</v>
      </c>
      <c r="I10" s="94">
        <f>SUM(I11:I16)</f>
        <v>3605.7500000000005</v>
      </c>
      <c r="J10" s="95">
        <f>SUM(J11:J16)</f>
        <v>3305.75</v>
      </c>
      <c r="K10" s="8">
        <f>SUM(K11:K16)</f>
        <v>171</v>
      </c>
      <c r="L10" s="9">
        <v>0</v>
      </c>
      <c r="M10" s="96">
        <f>J10+L10</f>
        <v>3305.75</v>
      </c>
      <c r="N10" s="97">
        <f>SUM(N11:N16)</f>
        <v>4187</v>
      </c>
      <c r="O10" s="98">
        <f>4497-N10</f>
        <v>310</v>
      </c>
      <c r="P10" s="86"/>
      <c r="Q10" s="86"/>
    </row>
    <row r="11" spans="1:17">
      <c r="A11" s="80">
        <v>46147</v>
      </c>
      <c r="B11" s="4">
        <v>11</v>
      </c>
      <c r="C11" s="4">
        <v>0</v>
      </c>
      <c r="D11" s="4">
        <v>55</v>
      </c>
      <c r="E11" s="4">
        <v>1</v>
      </c>
      <c r="F11" s="4">
        <v>50</v>
      </c>
      <c r="G11" s="10">
        <f t="shared" si="0"/>
        <v>11</v>
      </c>
      <c r="H11" s="4">
        <v>50</v>
      </c>
      <c r="I11" s="5">
        <f t="shared" ref="I11:I16" si="3">G11*D11</f>
        <v>605</v>
      </c>
      <c r="J11" s="5">
        <f t="shared" ref="J11:J16" si="4">I11-H11</f>
        <v>555</v>
      </c>
      <c r="K11">
        <v>28</v>
      </c>
      <c r="N11" s="83">
        <v>946</v>
      </c>
    </row>
    <row r="12" spans="1:17">
      <c r="A12" s="80">
        <v>46148</v>
      </c>
      <c r="B12" s="4">
        <v>11</v>
      </c>
      <c r="C12" s="4">
        <v>0</v>
      </c>
      <c r="D12" s="4">
        <v>45</v>
      </c>
      <c r="E12" s="4">
        <v>1</v>
      </c>
      <c r="F12" s="4">
        <v>50</v>
      </c>
      <c r="G12" s="10">
        <f t="shared" si="0"/>
        <v>11</v>
      </c>
      <c r="H12" s="4">
        <v>50</v>
      </c>
      <c r="I12" s="5">
        <f t="shared" si="3"/>
        <v>495</v>
      </c>
      <c r="J12" s="5">
        <f t="shared" si="4"/>
        <v>445</v>
      </c>
      <c r="K12">
        <v>20</v>
      </c>
      <c r="N12" s="83">
        <f>657</f>
        <v>657</v>
      </c>
    </row>
    <row r="13" spans="1:17">
      <c r="A13" s="80">
        <v>46149</v>
      </c>
      <c r="B13" s="4">
        <v>9</v>
      </c>
      <c r="C13" s="4">
        <v>19</v>
      </c>
      <c r="D13" s="4">
        <v>45</v>
      </c>
      <c r="E13" s="4">
        <v>1</v>
      </c>
      <c r="F13" s="4">
        <v>50</v>
      </c>
      <c r="G13" s="10">
        <f t="shared" si="0"/>
        <v>9.3166666666666664</v>
      </c>
      <c r="H13" s="4">
        <v>50</v>
      </c>
      <c r="I13" s="5">
        <f t="shared" si="3"/>
        <v>419.25</v>
      </c>
      <c r="J13" s="5">
        <f t="shared" si="4"/>
        <v>369.25</v>
      </c>
      <c r="K13">
        <v>18</v>
      </c>
      <c r="N13" s="83">
        <v>283</v>
      </c>
      <c r="P13" t="s">
        <v>1067</v>
      </c>
    </row>
    <row r="14" spans="1:17">
      <c r="A14" s="80">
        <v>46150</v>
      </c>
      <c r="B14" s="4">
        <v>10</v>
      </c>
      <c r="C14" s="4">
        <v>35</v>
      </c>
      <c r="D14" s="4">
        <v>65</v>
      </c>
      <c r="E14" s="4">
        <v>1</v>
      </c>
      <c r="F14" s="4">
        <v>50</v>
      </c>
      <c r="G14" s="10">
        <f t="shared" si="0"/>
        <v>10.583333333333334</v>
      </c>
      <c r="H14" s="4">
        <v>50</v>
      </c>
      <c r="I14" s="5">
        <f t="shared" si="3"/>
        <v>687.91666666666674</v>
      </c>
      <c r="J14" s="5">
        <f t="shared" si="4"/>
        <v>637.91666666666674</v>
      </c>
      <c r="K14">
        <v>34</v>
      </c>
      <c r="N14" s="83">
        <f>737</f>
        <v>737</v>
      </c>
    </row>
    <row r="15" spans="1:17">
      <c r="A15" s="80">
        <v>46151</v>
      </c>
      <c r="B15" s="4">
        <v>10</v>
      </c>
      <c r="C15" s="4">
        <v>31</v>
      </c>
      <c r="D15" s="4">
        <v>65</v>
      </c>
      <c r="E15" s="4">
        <v>1</v>
      </c>
      <c r="F15" s="4">
        <v>50</v>
      </c>
      <c r="G15" s="10">
        <f t="shared" si="0"/>
        <v>10.516666666666667</v>
      </c>
      <c r="H15" s="4">
        <v>50</v>
      </c>
      <c r="I15" s="5">
        <f t="shared" si="3"/>
        <v>683.58333333333337</v>
      </c>
      <c r="J15" s="5">
        <f t="shared" si="4"/>
        <v>633.58333333333337</v>
      </c>
      <c r="K15">
        <v>33</v>
      </c>
      <c r="N15" s="83">
        <f>560+200</f>
        <v>760</v>
      </c>
      <c r="P15" t="s">
        <v>1068</v>
      </c>
    </row>
    <row r="16" spans="1:17">
      <c r="A16" s="80">
        <v>46152</v>
      </c>
      <c r="B16" s="4">
        <v>11</v>
      </c>
      <c r="C16" s="4">
        <v>0</v>
      </c>
      <c r="D16" s="4">
        <v>65</v>
      </c>
      <c r="E16" s="4">
        <v>1</v>
      </c>
      <c r="F16" s="4">
        <v>50</v>
      </c>
      <c r="G16" s="10">
        <f t="shared" si="0"/>
        <v>11</v>
      </c>
      <c r="H16" s="4">
        <v>50</v>
      </c>
      <c r="I16" s="5">
        <f t="shared" si="3"/>
        <v>715</v>
      </c>
      <c r="J16" s="5">
        <f t="shared" si="4"/>
        <v>665</v>
      </c>
      <c r="K16">
        <v>38</v>
      </c>
      <c r="N16" s="83">
        <f>404+200+200</f>
        <v>804</v>
      </c>
    </row>
    <row r="17" spans="1:17" ht="19">
      <c r="A17" s="91" t="s">
        <v>465</v>
      </c>
      <c r="B17" s="8">
        <f>SUM(B18:B24)</f>
        <v>52</v>
      </c>
      <c r="C17" s="8">
        <f>SUM(C18:C24)</f>
        <v>33</v>
      </c>
      <c r="D17" s="8">
        <f>SUM(D18)</f>
        <v>45</v>
      </c>
      <c r="E17" s="8">
        <f>SUM(E18:E24)</f>
        <v>5</v>
      </c>
      <c r="F17" s="8">
        <f>SUM(F18:F23)</f>
        <v>300</v>
      </c>
      <c r="G17" s="93">
        <f t="shared" si="0"/>
        <v>52.55</v>
      </c>
      <c r="H17" s="8">
        <f>SUM(H18:H24)</f>
        <v>250</v>
      </c>
      <c r="I17" s="9">
        <f>SUM(I18:I24)</f>
        <v>3110.25</v>
      </c>
      <c r="J17" s="14">
        <f>SUM(J18:J24)</f>
        <v>2860.25</v>
      </c>
      <c r="K17" s="8">
        <f>SUM(K18:K24)</f>
        <v>157</v>
      </c>
      <c r="L17" s="9">
        <v>0</v>
      </c>
      <c r="M17" s="96">
        <f>J17+L17</f>
        <v>2860.25</v>
      </c>
      <c r="N17" s="99">
        <f>SUM(N18:N24)</f>
        <v>3464</v>
      </c>
      <c r="O17" s="98">
        <f>3464-N17</f>
        <v>0</v>
      </c>
      <c r="P17" s="86"/>
      <c r="Q17" s="86"/>
    </row>
    <row r="18" spans="1:17">
      <c r="A18" s="80" t="s">
        <v>1058</v>
      </c>
      <c r="B18" s="4">
        <v>0</v>
      </c>
      <c r="C18" s="4">
        <v>0</v>
      </c>
      <c r="D18" s="4">
        <v>45</v>
      </c>
      <c r="E18" s="4">
        <v>0</v>
      </c>
      <c r="F18" s="4">
        <v>50</v>
      </c>
      <c r="G18" s="10">
        <f t="shared" si="0"/>
        <v>0</v>
      </c>
      <c r="H18" s="4">
        <v>0</v>
      </c>
      <c r="I18" s="5">
        <f t="shared" ref="I18:I24" si="5">G18*D18</f>
        <v>0</v>
      </c>
      <c r="J18" s="5">
        <f t="shared" ref="J18:J24" si="6">I18-H18</f>
        <v>0</v>
      </c>
      <c r="K18">
        <v>0</v>
      </c>
      <c r="N18" s="51">
        <v>0</v>
      </c>
      <c r="P18" t="s">
        <v>1069</v>
      </c>
    </row>
    <row r="19" spans="1:17">
      <c r="A19" s="80" t="s">
        <v>1059</v>
      </c>
      <c r="B19" s="4">
        <v>9</v>
      </c>
      <c r="C19" s="4">
        <v>25</v>
      </c>
      <c r="D19" s="4">
        <v>55</v>
      </c>
      <c r="E19" s="4">
        <v>1</v>
      </c>
      <c r="F19" s="4">
        <v>50</v>
      </c>
      <c r="G19" s="10">
        <f t="shared" si="0"/>
        <v>9.4166666666666661</v>
      </c>
      <c r="H19" s="4">
        <v>50</v>
      </c>
      <c r="I19" s="5">
        <f t="shared" si="5"/>
        <v>517.91666666666663</v>
      </c>
      <c r="J19" s="5">
        <f t="shared" si="6"/>
        <v>467.91666666666663</v>
      </c>
      <c r="K19">
        <v>29</v>
      </c>
      <c r="N19" s="83">
        <v>290</v>
      </c>
    </row>
    <row r="20" spans="1:17">
      <c r="A20" s="80" t="s">
        <v>1060</v>
      </c>
      <c r="B20" s="4">
        <v>10</v>
      </c>
      <c r="C20" s="4">
        <v>8</v>
      </c>
      <c r="D20" s="4">
        <v>55</v>
      </c>
      <c r="E20" s="4">
        <v>1</v>
      </c>
      <c r="F20" s="4">
        <v>50</v>
      </c>
      <c r="G20" s="10">
        <f t="shared" si="0"/>
        <v>10.133333333333333</v>
      </c>
      <c r="H20" s="4">
        <v>50</v>
      </c>
      <c r="I20" s="5">
        <f t="shared" si="5"/>
        <v>557.33333333333326</v>
      </c>
      <c r="J20" s="5">
        <f t="shared" si="6"/>
        <v>507.33333333333326</v>
      </c>
      <c r="K20">
        <v>28</v>
      </c>
      <c r="N20" s="83">
        <v>115</v>
      </c>
      <c r="P20" t="s">
        <v>1070</v>
      </c>
    </row>
    <row r="21" spans="1:17">
      <c r="A21" s="80" t="s">
        <v>1061</v>
      </c>
      <c r="B21" s="4">
        <v>0</v>
      </c>
      <c r="C21" s="4">
        <v>0</v>
      </c>
      <c r="D21" s="4">
        <v>45</v>
      </c>
      <c r="E21" s="4">
        <v>0</v>
      </c>
      <c r="F21" s="4">
        <v>50</v>
      </c>
      <c r="G21" s="10">
        <f t="shared" si="0"/>
        <v>0</v>
      </c>
      <c r="H21" s="4">
        <v>0</v>
      </c>
      <c r="I21" s="5">
        <f t="shared" si="5"/>
        <v>0</v>
      </c>
      <c r="J21" s="5">
        <f t="shared" si="6"/>
        <v>0</v>
      </c>
      <c r="K21">
        <v>0</v>
      </c>
      <c r="N21" s="51">
        <v>0</v>
      </c>
    </row>
    <row r="22" spans="1:17">
      <c r="A22" s="80" t="s">
        <v>1063</v>
      </c>
      <c r="B22" s="4">
        <v>11</v>
      </c>
      <c r="C22" s="4">
        <v>0</v>
      </c>
      <c r="D22" s="4">
        <v>65</v>
      </c>
      <c r="E22" s="4">
        <v>1</v>
      </c>
      <c r="F22" s="4">
        <v>50</v>
      </c>
      <c r="G22" s="10">
        <f t="shared" si="0"/>
        <v>11</v>
      </c>
      <c r="H22" s="4">
        <v>50</v>
      </c>
      <c r="I22" s="5">
        <f t="shared" si="5"/>
        <v>715</v>
      </c>
      <c r="J22" s="5">
        <f t="shared" si="6"/>
        <v>665</v>
      </c>
      <c r="K22">
        <v>37</v>
      </c>
      <c r="N22" s="51">
        <f>495+300</f>
        <v>795</v>
      </c>
      <c r="P22" t="s">
        <v>1071</v>
      </c>
    </row>
    <row r="23" spans="1:17">
      <c r="A23" s="80" t="s">
        <v>1065</v>
      </c>
      <c r="B23" s="4">
        <v>11</v>
      </c>
      <c r="C23" s="4">
        <v>0</v>
      </c>
      <c r="D23" s="4">
        <v>65</v>
      </c>
      <c r="E23" s="4">
        <v>1</v>
      </c>
      <c r="F23" s="4">
        <v>50</v>
      </c>
      <c r="G23" s="10">
        <f t="shared" si="0"/>
        <v>11</v>
      </c>
      <c r="H23" s="4">
        <v>50</v>
      </c>
      <c r="I23" s="5">
        <f t="shared" si="5"/>
        <v>715</v>
      </c>
      <c r="J23" s="5">
        <f t="shared" si="6"/>
        <v>665</v>
      </c>
      <c r="K23">
        <v>34</v>
      </c>
      <c r="N23" s="51">
        <f>1000</f>
        <v>1000</v>
      </c>
    </row>
    <row r="24" spans="1:17">
      <c r="A24" s="80" t="s">
        <v>1072</v>
      </c>
      <c r="B24" s="4">
        <v>11</v>
      </c>
      <c r="C24" s="4">
        <v>0</v>
      </c>
      <c r="D24" s="4">
        <v>55</v>
      </c>
      <c r="E24" s="4">
        <v>1</v>
      </c>
      <c r="F24" s="4">
        <v>50</v>
      </c>
      <c r="G24" s="10">
        <f t="shared" si="0"/>
        <v>11</v>
      </c>
      <c r="H24" s="4">
        <v>50</v>
      </c>
      <c r="I24" s="5">
        <f t="shared" si="5"/>
        <v>605</v>
      </c>
      <c r="J24" s="5">
        <f t="shared" si="6"/>
        <v>555</v>
      </c>
      <c r="K24">
        <v>29</v>
      </c>
      <c r="N24" s="51">
        <f>1264</f>
        <v>1264</v>
      </c>
    </row>
    <row r="25" spans="1:17" ht="19">
      <c r="A25" s="91" t="s">
        <v>468</v>
      </c>
      <c r="B25" s="8">
        <f>SUM(B26:B32)</f>
        <v>61</v>
      </c>
      <c r="C25" s="8">
        <f>SUM(C26:C32)</f>
        <v>245</v>
      </c>
      <c r="D25" s="8">
        <f>SUM(D26)</f>
        <v>65</v>
      </c>
      <c r="E25" s="8">
        <f>SUM(E26:E32)</f>
        <v>7</v>
      </c>
      <c r="F25" s="8">
        <f>SUM(F26:F32)</f>
        <v>350</v>
      </c>
      <c r="G25" s="93">
        <f t="shared" si="0"/>
        <v>65.083333333333329</v>
      </c>
      <c r="H25" s="8">
        <f>SUM(H26:H32)</f>
        <v>350</v>
      </c>
      <c r="I25" s="9">
        <f>SUM(I26:I32)</f>
        <v>4152.416666666667</v>
      </c>
      <c r="J25" s="14">
        <f>SUM(J26:J32)</f>
        <v>3802.416666666667</v>
      </c>
      <c r="K25" s="8">
        <f>SUM(K26:K32)</f>
        <v>265</v>
      </c>
      <c r="L25" s="9">
        <v>300</v>
      </c>
      <c r="M25" s="96">
        <f>J25+L25</f>
        <v>4102.416666666667</v>
      </c>
      <c r="N25" s="99">
        <f>SUM(N26:N32)</f>
        <v>6552</v>
      </c>
      <c r="O25" s="98">
        <f>6491-N25</f>
        <v>-61</v>
      </c>
      <c r="P25" s="86"/>
      <c r="Q25" s="86"/>
    </row>
    <row r="26" spans="1:17">
      <c r="A26" s="80" t="s">
        <v>1058</v>
      </c>
      <c r="B26" s="4">
        <v>9</v>
      </c>
      <c r="C26" s="4">
        <v>51</v>
      </c>
      <c r="D26" s="4">
        <v>65</v>
      </c>
      <c r="E26" s="4">
        <v>1</v>
      </c>
      <c r="F26" s="4">
        <v>50</v>
      </c>
      <c r="G26" s="10">
        <f t="shared" si="0"/>
        <v>9.85</v>
      </c>
      <c r="H26" s="4">
        <v>50</v>
      </c>
      <c r="I26" s="5">
        <f t="shared" ref="I26:I32" si="7">G26*D26</f>
        <v>640.25</v>
      </c>
      <c r="J26" s="5">
        <f t="shared" ref="J26:J32" si="8">I26-H26</f>
        <v>590.25</v>
      </c>
      <c r="K26">
        <v>43</v>
      </c>
      <c r="N26" s="51">
        <f>1450+442</f>
        <v>1892</v>
      </c>
      <c r="P26" t="s">
        <v>1009</v>
      </c>
    </row>
    <row r="27" spans="1:17">
      <c r="A27" s="80" t="s">
        <v>1059</v>
      </c>
      <c r="B27" s="4">
        <v>9</v>
      </c>
      <c r="C27" s="4">
        <v>8</v>
      </c>
      <c r="D27" s="4">
        <v>65</v>
      </c>
      <c r="E27" s="4">
        <v>1</v>
      </c>
      <c r="F27" s="4">
        <v>50</v>
      </c>
      <c r="G27" s="10">
        <f t="shared" si="0"/>
        <v>9.1333333333333329</v>
      </c>
      <c r="H27" s="4">
        <v>50</v>
      </c>
      <c r="I27" s="5">
        <f t="shared" si="7"/>
        <v>593.66666666666663</v>
      </c>
      <c r="J27" s="5">
        <f t="shared" si="8"/>
        <v>543.66666666666663</v>
      </c>
      <c r="K27">
        <v>39</v>
      </c>
      <c r="N27" s="51">
        <v>380</v>
      </c>
      <c r="P27" t="s">
        <v>1073</v>
      </c>
    </row>
    <row r="28" spans="1:17">
      <c r="A28" s="80" t="s">
        <v>1060</v>
      </c>
      <c r="B28" s="4">
        <v>8</v>
      </c>
      <c r="C28" s="4">
        <v>34</v>
      </c>
      <c r="D28" s="4">
        <v>65</v>
      </c>
      <c r="E28" s="4">
        <v>1</v>
      </c>
      <c r="F28" s="4">
        <v>50</v>
      </c>
      <c r="G28" s="10">
        <f t="shared" si="0"/>
        <v>8.5666666666666664</v>
      </c>
      <c r="H28" s="4">
        <v>50</v>
      </c>
      <c r="I28" s="5">
        <f t="shared" si="7"/>
        <v>556.83333333333337</v>
      </c>
      <c r="J28" s="5">
        <f t="shared" si="8"/>
        <v>506.83333333333337</v>
      </c>
      <c r="K28">
        <v>34</v>
      </c>
      <c r="N28" s="51">
        <v>710</v>
      </c>
      <c r="P28" t="s">
        <v>1074</v>
      </c>
    </row>
    <row r="29" spans="1:17">
      <c r="A29" s="80" t="s">
        <v>1061</v>
      </c>
      <c r="B29" s="4">
        <v>9</v>
      </c>
      <c r="C29" s="4">
        <v>35</v>
      </c>
      <c r="D29" s="4">
        <v>65</v>
      </c>
      <c r="E29" s="4">
        <v>1</v>
      </c>
      <c r="F29" s="4">
        <v>50</v>
      </c>
      <c r="G29" s="10">
        <f t="shared" si="0"/>
        <v>9.5833333333333339</v>
      </c>
      <c r="H29" s="4">
        <v>50</v>
      </c>
      <c r="I29" s="5">
        <f t="shared" si="7"/>
        <v>622.91666666666674</v>
      </c>
      <c r="J29" s="5">
        <f t="shared" si="8"/>
        <v>572.91666666666674</v>
      </c>
      <c r="K29">
        <v>39</v>
      </c>
      <c r="N29" s="51">
        <f>570+300+150</f>
        <v>1020</v>
      </c>
      <c r="P29" t="s">
        <v>1075</v>
      </c>
    </row>
    <row r="30" spans="1:17">
      <c r="A30" s="80" t="s">
        <v>1063</v>
      </c>
      <c r="B30" s="4">
        <v>9</v>
      </c>
      <c r="C30" s="4">
        <v>31</v>
      </c>
      <c r="D30" s="4">
        <v>65</v>
      </c>
      <c r="E30" s="4">
        <v>1</v>
      </c>
      <c r="F30" s="7">
        <v>50</v>
      </c>
      <c r="G30" s="10">
        <f t="shared" si="0"/>
        <v>9.5166666666666675</v>
      </c>
      <c r="H30" s="4">
        <v>50</v>
      </c>
      <c r="I30" s="5">
        <f t="shared" si="7"/>
        <v>618.58333333333337</v>
      </c>
      <c r="J30" s="5">
        <f t="shared" si="8"/>
        <v>568.58333333333337</v>
      </c>
      <c r="K30">
        <v>38</v>
      </c>
      <c r="N30" s="51">
        <f>760+150</f>
        <v>910</v>
      </c>
      <c r="P30" t="s">
        <v>1076</v>
      </c>
    </row>
    <row r="31" spans="1:17">
      <c r="A31" s="80" t="s">
        <v>1065</v>
      </c>
      <c r="B31" s="4">
        <v>10</v>
      </c>
      <c r="C31" s="4">
        <v>38</v>
      </c>
      <c r="D31" s="4">
        <v>65</v>
      </c>
      <c r="E31" s="4">
        <v>1</v>
      </c>
      <c r="F31" s="4">
        <v>50</v>
      </c>
      <c r="G31" s="10">
        <f t="shared" si="0"/>
        <v>10.633333333333333</v>
      </c>
      <c r="H31" s="4">
        <v>50</v>
      </c>
      <c r="I31" s="5">
        <f t="shared" si="7"/>
        <v>691.16666666666663</v>
      </c>
      <c r="J31" s="5">
        <f t="shared" si="8"/>
        <v>641.16666666666663</v>
      </c>
      <c r="K31">
        <v>43</v>
      </c>
      <c r="N31" s="51">
        <f>820+150</f>
        <v>970</v>
      </c>
      <c r="P31" t="s">
        <v>1077</v>
      </c>
    </row>
    <row r="32" spans="1:17">
      <c r="A32" s="80" t="s">
        <v>1072</v>
      </c>
      <c r="B32" s="4">
        <v>7</v>
      </c>
      <c r="C32" s="4">
        <v>48</v>
      </c>
      <c r="D32" s="4">
        <v>55</v>
      </c>
      <c r="E32" s="4">
        <v>1</v>
      </c>
      <c r="F32" s="4">
        <v>50</v>
      </c>
      <c r="G32" s="10">
        <f t="shared" si="0"/>
        <v>7.8</v>
      </c>
      <c r="H32" s="4">
        <v>50</v>
      </c>
      <c r="I32" s="5">
        <f t="shared" si="7"/>
        <v>429</v>
      </c>
      <c r="J32" s="5">
        <f t="shared" si="8"/>
        <v>379</v>
      </c>
      <c r="K32">
        <v>29</v>
      </c>
      <c r="N32" s="51">
        <f>520+150</f>
        <v>670</v>
      </c>
      <c r="P32" t="s">
        <v>1078</v>
      </c>
    </row>
    <row r="33" spans="1:17" ht="19">
      <c r="A33" s="91" t="s">
        <v>475</v>
      </c>
      <c r="B33" s="8">
        <f>SUM(B34:B40)</f>
        <v>0</v>
      </c>
      <c r="C33" s="8">
        <f>SUM(C34:C40)</f>
        <v>0</v>
      </c>
      <c r="D33" s="8">
        <f>SUM(D34)</f>
        <v>55</v>
      </c>
      <c r="E33" s="8">
        <f>SUM(E34:E40)</f>
        <v>0</v>
      </c>
      <c r="F33" s="8">
        <f>SUM(F34:F40)</f>
        <v>350</v>
      </c>
      <c r="G33" s="93">
        <f t="shared" si="0"/>
        <v>0</v>
      </c>
      <c r="H33" s="8">
        <f>SUM(H34:H40)</f>
        <v>0</v>
      </c>
      <c r="I33" s="9">
        <f>SUM(I34:I40)</f>
        <v>0</v>
      </c>
      <c r="J33" s="14">
        <f>SUM(J34:J40)</f>
        <v>0</v>
      </c>
      <c r="K33" s="8">
        <f>SUM(K34:K40)</f>
        <v>0</v>
      </c>
      <c r="L33" s="9">
        <v>0</v>
      </c>
      <c r="M33" s="96">
        <f>J33+L33</f>
        <v>0</v>
      </c>
      <c r="N33" s="129">
        <f>SUM(N34:N40)</f>
        <v>0</v>
      </c>
      <c r="O33" s="98">
        <f>-N33</f>
        <v>0</v>
      </c>
      <c r="P33" s="86"/>
      <c r="Q33" s="86"/>
    </row>
    <row r="34" spans="1:17" ht="19">
      <c r="A34" s="80">
        <v>46146</v>
      </c>
      <c r="B34" s="4"/>
      <c r="C34" s="4"/>
      <c r="D34" s="4">
        <v>55</v>
      </c>
      <c r="E34" s="4">
        <v>0</v>
      </c>
      <c r="F34" s="4">
        <v>50</v>
      </c>
      <c r="G34" s="10">
        <f t="shared" si="0"/>
        <v>0</v>
      </c>
      <c r="H34" s="4">
        <v>0</v>
      </c>
      <c r="I34" s="5">
        <f t="shared" ref="I34:I40" si="9">G34*D34</f>
        <v>0</v>
      </c>
      <c r="J34" s="5">
        <f t="shared" ref="J34:J40" si="10">I34-H34</f>
        <v>0</v>
      </c>
      <c r="K34">
        <v>0</v>
      </c>
      <c r="N34" s="51">
        <v>0</v>
      </c>
      <c r="O34" s="49"/>
    </row>
    <row r="35" spans="1:17" ht="19">
      <c r="A35" s="80">
        <v>46147</v>
      </c>
      <c r="B35" s="4"/>
      <c r="C35" s="4"/>
      <c r="D35" s="4">
        <v>55</v>
      </c>
      <c r="E35" s="4">
        <v>0</v>
      </c>
      <c r="F35" s="4">
        <v>50</v>
      </c>
      <c r="G35" s="10">
        <f t="shared" si="0"/>
        <v>0</v>
      </c>
      <c r="H35" s="4">
        <v>0</v>
      </c>
      <c r="I35" s="5">
        <f t="shared" si="9"/>
        <v>0</v>
      </c>
      <c r="J35" s="5">
        <f t="shared" si="10"/>
        <v>0</v>
      </c>
      <c r="K35">
        <v>0</v>
      </c>
      <c r="N35" s="51">
        <v>0</v>
      </c>
      <c r="O35" s="49"/>
    </row>
    <row r="36" spans="1:17">
      <c r="A36" s="80">
        <v>46148</v>
      </c>
      <c r="B36" s="4"/>
      <c r="C36" s="4"/>
      <c r="D36" s="4">
        <v>45</v>
      </c>
      <c r="E36" s="4">
        <v>0</v>
      </c>
      <c r="F36" s="4">
        <v>50</v>
      </c>
      <c r="G36" s="10">
        <f t="shared" si="0"/>
        <v>0</v>
      </c>
      <c r="H36" s="4">
        <v>0</v>
      </c>
      <c r="I36" s="5">
        <f t="shared" si="9"/>
        <v>0</v>
      </c>
      <c r="J36" s="5">
        <f t="shared" si="10"/>
        <v>0</v>
      </c>
      <c r="K36">
        <v>0</v>
      </c>
      <c r="N36" s="51">
        <v>0</v>
      </c>
    </row>
    <row r="37" spans="1:17">
      <c r="A37" s="80">
        <v>46149</v>
      </c>
      <c r="B37" s="4"/>
      <c r="C37" s="4"/>
      <c r="D37" s="4">
        <v>45</v>
      </c>
      <c r="E37" s="4">
        <v>0</v>
      </c>
      <c r="F37" s="4">
        <v>50</v>
      </c>
      <c r="G37" s="10">
        <f t="shared" si="0"/>
        <v>0</v>
      </c>
      <c r="H37" s="4">
        <v>0</v>
      </c>
      <c r="I37" s="5">
        <f t="shared" si="9"/>
        <v>0</v>
      </c>
      <c r="J37" s="5">
        <f t="shared" si="10"/>
        <v>0</v>
      </c>
      <c r="K37">
        <v>0</v>
      </c>
      <c r="N37" s="51">
        <v>0</v>
      </c>
    </row>
    <row r="38" spans="1:17">
      <c r="A38" s="80">
        <v>46150</v>
      </c>
      <c r="B38" s="4"/>
      <c r="C38" s="4"/>
      <c r="D38" s="4">
        <v>45</v>
      </c>
      <c r="E38" s="4">
        <v>0</v>
      </c>
      <c r="F38" s="4">
        <v>50</v>
      </c>
      <c r="G38" s="10">
        <f t="shared" si="0"/>
        <v>0</v>
      </c>
      <c r="H38" s="4">
        <v>0</v>
      </c>
      <c r="I38" s="5">
        <f t="shared" si="9"/>
        <v>0</v>
      </c>
      <c r="J38" s="5">
        <f t="shared" si="10"/>
        <v>0</v>
      </c>
      <c r="K38">
        <v>0</v>
      </c>
      <c r="N38" s="51">
        <v>0</v>
      </c>
    </row>
    <row r="39" spans="1:17">
      <c r="A39" s="80">
        <v>46151</v>
      </c>
      <c r="B39" s="4"/>
      <c r="C39" s="4"/>
      <c r="D39" s="4">
        <v>45</v>
      </c>
      <c r="E39" s="4">
        <v>0</v>
      </c>
      <c r="F39" s="4">
        <v>50</v>
      </c>
      <c r="G39" s="10">
        <f t="shared" si="0"/>
        <v>0</v>
      </c>
      <c r="H39" s="4">
        <v>0</v>
      </c>
      <c r="I39" s="5">
        <f t="shared" si="9"/>
        <v>0</v>
      </c>
      <c r="J39" s="5">
        <f t="shared" si="10"/>
        <v>0</v>
      </c>
      <c r="K39">
        <v>0</v>
      </c>
      <c r="N39" s="51">
        <v>0</v>
      </c>
      <c r="P39" s="51"/>
    </row>
    <row r="40" spans="1:17">
      <c r="A40" s="80">
        <v>46152</v>
      </c>
      <c r="B40" s="4"/>
      <c r="C40" s="4"/>
      <c r="D40" s="4">
        <v>45</v>
      </c>
      <c r="E40" s="4">
        <v>0</v>
      </c>
      <c r="F40" s="4">
        <v>50</v>
      </c>
      <c r="G40" s="10">
        <v>0</v>
      </c>
      <c r="H40" s="4">
        <v>0</v>
      </c>
      <c r="I40" s="5">
        <f t="shared" si="9"/>
        <v>0</v>
      </c>
      <c r="J40" s="5">
        <f t="shared" si="10"/>
        <v>0</v>
      </c>
      <c r="K40">
        <v>0</v>
      </c>
      <c r="L40" s="1"/>
      <c r="N40" s="51">
        <v>0</v>
      </c>
    </row>
    <row r="41" spans="1:17" ht="19" hidden="1">
      <c r="A41" s="91" t="s">
        <v>482</v>
      </c>
      <c r="B41" s="8">
        <f>SUM(B42:B48)</f>
        <v>0</v>
      </c>
      <c r="C41" s="8">
        <f>SUM(C42:C48)</f>
        <v>0</v>
      </c>
      <c r="D41" s="8">
        <f>SUM(D42)</f>
        <v>45</v>
      </c>
      <c r="E41" s="8">
        <f>SUM(E42:E48)</f>
        <v>2</v>
      </c>
      <c r="F41" s="8">
        <f>SUM(F42:F48)</f>
        <v>350</v>
      </c>
      <c r="G41" s="93">
        <f t="shared" ref="G41:G52" si="11">B41+C41/60</f>
        <v>0</v>
      </c>
      <c r="H41" s="8"/>
      <c r="I41" s="100">
        <f>SUM(I42:I48)</f>
        <v>0</v>
      </c>
      <c r="J41" s="101">
        <f>SUM(J42:J48)</f>
        <v>0</v>
      </c>
      <c r="K41" s="8">
        <f>SUM(K42:K48)</f>
        <v>0</v>
      </c>
      <c r="L41" s="104">
        <v>0</v>
      </c>
      <c r="M41" s="96">
        <f>J41+L41</f>
        <v>0</v>
      </c>
      <c r="N41" s="99">
        <f>SUM(N42:N48)</f>
        <v>0</v>
      </c>
      <c r="O41" s="98">
        <v>0</v>
      </c>
      <c r="P41" s="86"/>
      <c r="Q41" s="86"/>
    </row>
    <row r="42" spans="1:17" hidden="1">
      <c r="A42" s="80">
        <v>46146</v>
      </c>
      <c r="B42" s="4">
        <v>0</v>
      </c>
      <c r="C42" s="4">
        <v>0</v>
      </c>
      <c r="D42" s="4">
        <v>45</v>
      </c>
      <c r="E42" s="4">
        <v>0</v>
      </c>
      <c r="F42" s="4">
        <v>50</v>
      </c>
      <c r="G42" s="10">
        <f t="shared" si="11"/>
        <v>0</v>
      </c>
      <c r="H42" s="4">
        <v>0</v>
      </c>
      <c r="I42" s="5">
        <f t="shared" ref="I42:I48" si="12">G42*D42</f>
        <v>0</v>
      </c>
      <c r="J42" s="5">
        <f t="shared" ref="J42:J48" si="13">I42-H42</f>
        <v>0</v>
      </c>
      <c r="K42">
        <v>0</v>
      </c>
      <c r="N42" s="82">
        <v>0</v>
      </c>
    </row>
    <row r="43" spans="1:17" hidden="1">
      <c r="A43" s="80">
        <v>46147</v>
      </c>
      <c r="B43" s="4">
        <v>0</v>
      </c>
      <c r="C43" s="4">
        <v>0</v>
      </c>
      <c r="D43" s="4">
        <v>45</v>
      </c>
      <c r="E43" s="4">
        <v>0</v>
      </c>
      <c r="F43" s="4">
        <v>50</v>
      </c>
      <c r="G43" s="10">
        <f t="shared" si="11"/>
        <v>0</v>
      </c>
      <c r="H43" s="4">
        <v>0</v>
      </c>
      <c r="I43" s="5">
        <f t="shared" si="12"/>
        <v>0</v>
      </c>
      <c r="J43" s="5">
        <f t="shared" si="13"/>
        <v>0</v>
      </c>
      <c r="K43">
        <v>0</v>
      </c>
      <c r="N43" s="83">
        <v>0</v>
      </c>
    </row>
    <row r="44" spans="1:17" hidden="1">
      <c r="A44" s="80">
        <v>46148</v>
      </c>
      <c r="B44" s="4">
        <v>0</v>
      </c>
      <c r="C44" s="4">
        <v>0</v>
      </c>
      <c r="D44" s="4">
        <v>45</v>
      </c>
      <c r="E44" s="4">
        <v>0</v>
      </c>
      <c r="F44" s="4">
        <v>50</v>
      </c>
      <c r="G44" s="10">
        <f t="shared" si="11"/>
        <v>0</v>
      </c>
      <c r="H44" s="4">
        <v>0</v>
      </c>
      <c r="I44" s="5">
        <f t="shared" si="12"/>
        <v>0</v>
      </c>
      <c r="J44" s="5">
        <f t="shared" si="13"/>
        <v>0</v>
      </c>
      <c r="K44">
        <v>0</v>
      </c>
      <c r="N44" s="83">
        <v>0</v>
      </c>
    </row>
    <row r="45" spans="1:17" hidden="1">
      <c r="A45" s="80">
        <v>46149</v>
      </c>
      <c r="B45" s="4">
        <v>0</v>
      </c>
      <c r="C45" s="4">
        <v>0</v>
      </c>
      <c r="D45" s="4">
        <v>45</v>
      </c>
      <c r="E45" s="4">
        <v>0</v>
      </c>
      <c r="F45" s="4">
        <v>50</v>
      </c>
      <c r="G45" s="10">
        <f t="shared" si="11"/>
        <v>0</v>
      </c>
      <c r="H45" s="4">
        <v>0</v>
      </c>
      <c r="I45" s="5">
        <f t="shared" si="12"/>
        <v>0</v>
      </c>
      <c r="J45" s="5">
        <f t="shared" si="13"/>
        <v>0</v>
      </c>
      <c r="K45">
        <v>0</v>
      </c>
      <c r="N45" s="51">
        <v>0</v>
      </c>
    </row>
    <row r="46" spans="1:17" hidden="1">
      <c r="A46" s="80">
        <v>46150</v>
      </c>
      <c r="B46" s="4">
        <v>0</v>
      </c>
      <c r="C46" s="4">
        <v>0</v>
      </c>
      <c r="D46" s="4">
        <v>45</v>
      </c>
      <c r="E46" s="4">
        <v>0</v>
      </c>
      <c r="F46" s="4">
        <v>50</v>
      </c>
      <c r="G46" s="10">
        <f t="shared" si="11"/>
        <v>0</v>
      </c>
      <c r="H46" s="4">
        <v>0</v>
      </c>
      <c r="I46" s="5">
        <f t="shared" si="12"/>
        <v>0</v>
      </c>
      <c r="J46" s="5">
        <f t="shared" si="13"/>
        <v>0</v>
      </c>
      <c r="K46">
        <v>0</v>
      </c>
      <c r="N46" s="51">
        <v>0</v>
      </c>
    </row>
    <row r="47" spans="1:17" hidden="1">
      <c r="A47" s="80">
        <v>46151</v>
      </c>
      <c r="B47" s="4">
        <v>0</v>
      </c>
      <c r="C47" s="4">
        <v>0</v>
      </c>
      <c r="D47" s="4">
        <v>45</v>
      </c>
      <c r="E47" s="4">
        <v>1</v>
      </c>
      <c r="F47" s="4">
        <v>50</v>
      </c>
      <c r="G47" s="10">
        <f t="shared" si="11"/>
        <v>0</v>
      </c>
      <c r="H47" s="4"/>
      <c r="I47" s="5">
        <f t="shared" si="12"/>
        <v>0</v>
      </c>
      <c r="J47" s="5">
        <f t="shared" si="13"/>
        <v>0</v>
      </c>
      <c r="K47">
        <v>0</v>
      </c>
      <c r="N47" s="51">
        <v>0</v>
      </c>
    </row>
    <row r="48" spans="1:17" hidden="1">
      <c r="A48" s="80">
        <v>46152</v>
      </c>
      <c r="B48" s="4">
        <v>0</v>
      </c>
      <c r="C48" s="4">
        <v>0</v>
      </c>
      <c r="D48" s="4">
        <v>45</v>
      </c>
      <c r="E48" s="4">
        <v>1</v>
      </c>
      <c r="F48" s="4">
        <v>50</v>
      </c>
      <c r="G48" s="10">
        <f t="shared" si="11"/>
        <v>0</v>
      </c>
      <c r="H48" s="4"/>
      <c r="I48" s="5">
        <f t="shared" si="12"/>
        <v>0</v>
      </c>
      <c r="J48" s="5">
        <f t="shared" si="13"/>
        <v>0</v>
      </c>
      <c r="K48">
        <v>0</v>
      </c>
      <c r="N48" s="51">
        <v>0</v>
      </c>
    </row>
    <row r="49" spans="1:17" ht="19" hidden="1">
      <c r="A49" s="91" t="s">
        <v>483</v>
      </c>
      <c r="B49" s="8">
        <f>SUM(B50:B56)</f>
        <v>0</v>
      </c>
      <c r="C49" s="8">
        <f>SUM(C50:C56)</f>
        <v>0</v>
      </c>
      <c r="D49" s="8">
        <f>SUM(D50)</f>
        <v>45</v>
      </c>
      <c r="E49" s="8">
        <f>SUM(E50:E56)</f>
        <v>7</v>
      </c>
      <c r="F49" s="8">
        <f>SUM(F50:F57)</f>
        <v>650</v>
      </c>
      <c r="G49" s="93">
        <f t="shared" si="11"/>
        <v>0</v>
      </c>
      <c r="H49" s="8"/>
      <c r="I49" s="9">
        <f>SUM(I50:I56)</f>
        <v>0</v>
      </c>
      <c r="J49" s="14">
        <f>SUM(J50:J56)</f>
        <v>0</v>
      </c>
      <c r="K49" s="8">
        <f>SUM(K50:K56)</f>
        <v>0</v>
      </c>
      <c r="L49" s="9">
        <v>0</v>
      </c>
      <c r="M49" s="96">
        <f>J49</f>
        <v>0</v>
      </c>
      <c r="N49" s="102">
        <v>0</v>
      </c>
      <c r="O49" s="98">
        <v>0</v>
      </c>
      <c r="P49" s="86"/>
      <c r="Q49" s="86"/>
    </row>
    <row r="50" spans="1:17" ht="19" hidden="1">
      <c r="A50" s="6">
        <v>46146</v>
      </c>
      <c r="B50" s="4">
        <v>0</v>
      </c>
      <c r="C50" s="4">
        <v>0</v>
      </c>
      <c r="D50" s="4">
        <v>45</v>
      </c>
      <c r="E50" s="4">
        <v>1</v>
      </c>
      <c r="F50" s="4">
        <v>50</v>
      </c>
      <c r="G50" s="10">
        <f t="shared" si="11"/>
        <v>0</v>
      </c>
      <c r="H50" s="4"/>
      <c r="I50" s="5">
        <f>G50*D50</f>
        <v>0</v>
      </c>
      <c r="J50" s="5">
        <f t="shared" ref="J50:J55" si="14">I50-H50</f>
        <v>0</v>
      </c>
      <c r="K50">
        <v>0</v>
      </c>
      <c r="N50" s="51">
        <v>0</v>
      </c>
      <c r="O50" s="49"/>
    </row>
    <row r="51" spans="1:17" hidden="1">
      <c r="A51" s="6">
        <v>46147</v>
      </c>
      <c r="B51" s="4">
        <v>0</v>
      </c>
      <c r="C51" s="4">
        <v>0</v>
      </c>
      <c r="D51" s="4">
        <v>45</v>
      </c>
      <c r="E51" s="4">
        <v>1</v>
      </c>
      <c r="F51" s="4">
        <v>50</v>
      </c>
      <c r="G51" s="10">
        <f t="shared" si="11"/>
        <v>0</v>
      </c>
      <c r="H51" s="4"/>
      <c r="I51" s="5">
        <f>G51*D51</f>
        <v>0</v>
      </c>
      <c r="J51" s="5">
        <f t="shared" si="14"/>
        <v>0</v>
      </c>
      <c r="K51">
        <v>0</v>
      </c>
      <c r="N51" s="51">
        <v>0</v>
      </c>
    </row>
    <row r="52" spans="1:17" hidden="1">
      <c r="A52" s="6">
        <v>46148</v>
      </c>
      <c r="B52" s="4">
        <v>0</v>
      </c>
      <c r="C52" s="4">
        <v>0</v>
      </c>
      <c r="D52" s="4">
        <v>45</v>
      </c>
      <c r="E52" s="4">
        <v>1</v>
      </c>
      <c r="F52" s="4">
        <v>50</v>
      </c>
      <c r="G52" s="10">
        <f t="shared" si="11"/>
        <v>0</v>
      </c>
      <c r="H52" s="4"/>
      <c r="I52" s="5">
        <f>G52*D52</f>
        <v>0</v>
      </c>
      <c r="J52" s="5">
        <f t="shared" si="14"/>
        <v>0</v>
      </c>
      <c r="K52">
        <v>0</v>
      </c>
      <c r="N52" s="51">
        <v>0</v>
      </c>
    </row>
    <row r="53" spans="1:17" hidden="1">
      <c r="A53" s="6">
        <v>46149</v>
      </c>
      <c r="B53" s="4">
        <v>0</v>
      </c>
      <c r="C53" s="4">
        <v>0</v>
      </c>
      <c r="D53" s="4">
        <v>45</v>
      </c>
      <c r="E53" s="4">
        <v>1</v>
      </c>
      <c r="F53" s="4">
        <v>50</v>
      </c>
      <c r="G53" s="10">
        <v>0</v>
      </c>
      <c r="H53" s="4"/>
      <c r="I53" s="5">
        <v>0</v>
      </c>
      <c r="J53" s="5">
        <f t="shared" si="14"/>
        <v>0</v>
      </c>
      <c r="K53">
        <v>0</v>
      </c>
      <c r="N53" s="51">
        <v>0</v>
      </c>
    </row>
    <row r="54" spans="1:17" hidden="1">
      <c r="A54" s="6">
        <v>46150</v>
      </c>
      <c r="B54" s="4">
        <v>0</v>
      </c>
      <c r="C54" s="4">
        <v>0</v>
      </c>
      <c r="D54" s="4">
        <v>45</v>
      </c>
      <c r="E54" s="4">
        <v>1</v>
      </c>
      <c r="F54" s="4">
        <v>50</v>
      </c>
      <c r="G54" s="10">
        <f t="shared" ref="G54:G70" si="15">B54+C54/60</f>
        <v>0</v>
      </c>
      <c r="H54" s="4"/>
      <c r="I54" s="5">
        <f>G54*D54</f>
        <v>0</v>
      </c>
      <c r="J54" s="5">
        <f t="shared" si="14"/>
        <v>0</v>
      </c>
      <c r="K54">
        <v>0</v>
      </c>
      <c r="N54" s="51">
        <v>0</v>
      </c>
    </row>
    <row r="55" spans="1:17" hidden="1">
      <c r="A55" s="6">
        <v>46151</v>
      </c>
      <c r="B55" s="4">
        <v>0</v>
      </c>
      <c r="C55" s="4">
        <v>0</v>
      </c>
      <c r="D55" s="4">
        <v>45</v>
      </c>
      <c r="E55" s="4">
        <v>1</v>
      </c>
      <c r="F55" s="4">
        <v>50</v>
      </c>
      <c r="G55" s="10">
        <f t="shared" si="15"/>
        <v>0</v>
      </c>
      <c r="H55" s="4"/>
      <c r="I55" s="5">
        <f>G55*D55</f>
        <v>0</v>
      </c>
      <c r="J55" s="5">
        <f t="shared" si="14"/>
        <v>0</v>
      </c>
      <c r="K55">
        <v>0</v>
      </c>
      <c r="N55" s="51">
        <v>0</v>
      </c>
    </row>
    <row r="56" spans="1:17" hidden="1">
      <c r="A56" s="6">
        <v>46152</v>
      </c>
      <c r="B56" s="4">
        <v>0</v>
      </c>
      <c r="C56" s="4">
        <v>0</v>
      </c>
      <c r="D56" s="4">
        <v>45</v>
      </c>
      <c r="E56" s="4">
        <v>1</v>
      </c>
      <c r="F56" s="4">
        <v>50</v>
      </c>
      <c r="G56" s="10">
        <f t="shared" si="15"/>
        <v>0</v>
      </c>
      <c r="H56" s="4"/>
      <c r="I56" s="5">
        <v>0</v>
      </c>
      <c r="J56" s="5">
        <v>0</v>
      </c>
      <c r="K56">
        <v>0</v>
      </c>
      <c r="N56" s="51">
        <v>0</v>
      </c>
    </row>
    <row r="57" spans="1:17" ht="19">
      <c r="A57" s="91" t="s">
        <v>1079</v>
      </c>
      <c r="B57" s="8">
        <f>SUM(B58:B63)</f>
        <v>40</v>
      </c>
      <c r="C57" s="8">
        <f>SUM(C58:C63)</f>
        <v>172</v>
      </c>
      <c r="D57" s="8">
        <f>SUM(D58)</f>
        <v>45</v>
      </c>
      <c r="E57" s="8">
        <f>SUM(E58:E63)</f>
        <v>6</v>
      </c>
      <c r="F57" s="8">
        <f>SUM(F58:F63)</f>
        <v>300</v>
      </c>
      <c r="G57" s="93">
        <f t="shared" si="15"/>
        <v>42.866666666666667</v>
      </c>
      <c r="H57" s="8">
        <f>SUM(H58:H63)</f>
        <v>1917</v>
      </c>
      <c r="I57" s="9">
        <f>SUM(I58:I63)</f>
        <v>2011.1666666666667</v>
      </c>
      <c r="J57" s="14">
        <f>SUM(J58:J63)</f>
        <v>94.166666666666742</v>
      </c>
      <c r="K57" s="8">
        <f>SUM(K58:K63)</f>
        <v>136</v>
      </c>
      <c r="L57" s="9">
        <v>0</v>
      </c>
      <c r="M57" s="96">
        <f>J57</f>
        <v>94.166666666666742</v>
      </c>
      <c r="N57" s="102">
        <f>SUM(N58:N63)</f>
        <v>2591</v>
      </c>
      <c r="O57" s="98">
        <f>3083-N57</f>
        <v>492</v>
      </c>
      <c r="P57" s="86"/>
      <c r="Q57" s="86"/>
    </row>
    <row r="58" spans="1:17" ht="19">
      <c r="A58" s="80" t="s">
        <v>1058</v>
      </c>
      <c r="B58" s="4">
        <v>7</v>
      </c>
      <c r="C58" s="4">
        <v>52</v>
      </c>
      <c r="D58" s="4">
        <v>45</v>
      </c>
      <c r="E58" s="4">
        <v>1</v>
      </c>
      <c r="F58" s="4">
        <v>50</v>
      </c>
      <c r="G58" s="10">
        <f t="shared" si="15"/>
        <v>7.8666666666666671</v>
      </c>
      <c r="H58" s="4">
        <f>50+1617</f>
        <v>1667</v>
      </c>
      <c r="I58" s="5">
        <f t="shared" ref="I58:I63" si="16">G58*D58</f>
        <v>354</v>
      </c>
      <c r="J58" s="5">
        <f t="shared" ref="J58:J63" si="17">I58-H58</f>
        <v>-1313</v>
      </c>
      <c r="K58">
        <v>22</v>
      </c>
      <c r="N58" s="51">
        <v>473</v>
      </c>
      <c r="O58" s="49"/>
      <c r="P58" t="s">
        <v>1080</v>
      </c>
    </row>
    <row r="59" spans="1:17">
      <c r="A59" s="80" t="s">
        <v>1059</v>
      </c>
      <c r="B59" s="4">
        <v>5</v>
      </c>
      <c r="C59" s="4">
        <v>29</v>
      </c>
      <c r="D59" s="4">
        <v>45</v>
      </c>
      <c r="E59" s="4">
        <v>1</v>
      </c>
      <c r="F59" s="4">
        <v>50</v>
      </c>
      <c r="G59" s="10">
        <f t="shared" si="15"/>
        <v>5.4833333333333334</v>
      </c>
      <c r="H59" s="4">
        <v>50</v>
      </c>
      <c r="I59" s="5">
        <f t="shared" si="16"/>
        <v>246.75</v>
      </c>
      <c r="J59" s="5">
        <f t="shared" si="17"/>
        <v>196.75</v>
      </c>
      <c r="K59">
        <v>21</v>
      </c>
      <c r="N59" s="51">
        <v>205</v>
      </c>
      <c r="P59" t="s">
        <v>1081</v>
      </c>
    </row>
    <row r="60" spans="1:17">
      <c r="A60" s="80" t="s">
        <v>1060</v>
      </c>
      <c r="B60" s="4">
        <v>8</v>
      </c>
      <c r="C60" s="4">
        <v>13</v>
      </c>
      <c r="D60" s="4">
        <v>55</v>
      </c>
      <c r="E60" s="4">
        <v>1</v>
      </c>
      <c r="F60" s="4">
        <v>50</v>
      </c>
      <c r="G60" s="10">
        <f t="shared" si="15"/>
        <v>8.2166666666666668</v>
      </c>
      <c r="H60" s="4">
        <v>50</v>
      </c>
      <c r="I60" s="5">
        <f t="shared" si="16"/>
        <v>451.91666666666669</v>
      </c>
      <c r="J60" s="5">
        <f t="shared" si="17"/>
        <v>401.91666666666669</v>
      </c>
      <c r="K60">
        <v>28</v>
      </c>
      <c r="N60" s="51">
        <f>316+200</f>
        <v>516</v>
      </c>
      <c r="P60" t="s">
        <v>1082</v>
      </c>
    </row>
    <row r="61" spans="1:17">
      <c r="A61" s="80" t="s">
        <v>1061</v>
      </c>
      <c r="B61" s="4">
        <v>5</v>
      </c>
      <c r="C61" s="4">
        <v>49</v>
      </c>
      <c r="D61" s="4">
        <v>45</v>
      </c>
      <c r="E61" s="4">
        <v>1</v>
      </c>
      <c r="F61" s="4">
        <v>50</v>
      </c>
      <c r="G61" s="10">
        <f t="shared" si="15"/>
        <v>5.8166666666666664</v>
      </c>
      <c r="H61" s="4">
        <v>50</v>
      </c>
      <c r="I61" s="5">
        <f t="shared" si="16"/>
        <v>261.75</v>
      </c>
      <c r="J61" s="5">
        <f t="shared" si="17"/>
        <v>211.75</v>
      </c>
      <c r="K61">
        <v>15</v>
      </c>
      <c r="N61" s="51">
        <v>397</v>
      </c>
      <c r="P61" t="s">
        <v>1083</v>
      </c>
    </row>
    <row r="62" spans="1:17">
      <c r="A62" s="80" t="s">
        <v>1063</v>
      </c>
      <c r="B62" s="4">
        <v>8</v>
      </c>
      <c r="C62" s="4">
        <v>19</v>
      </c>
      <c r="D62" s="4">
        <v>45</v>
      </c>
      <c r="E62" s="4">
        <v>1</v>
      </c>
      <c r="F62" s="4">
        <v>50</v>
      </c>
      <c r="G62" s="10">
        <f t="shared" si="15"/>
        <v>8.3166666666666664</v>
      </c>
      <c r="H62" s="4">
        <v>50</v>
      </c>
      <c r="I62" s="5">
        <f t="shared" si="16"/>
        <v>374.25</v>
      </c>
      <c r="J62" s="5">
        <f t="shared" si="17"/>
        <v>324.25</v>
      </c>
      <c r="K62">
        <v>25</v>
      </c>
      <c r="N62" s="51">
        <f>216+300</f>
        <v>516</v>
      </c>
      <c r="P62" t="s">
        <v>1084</v>
      </c>
    </row>
    <row r="63" spans="1:17">
      <c r="A63" s="80" t="s">
        <v>1065</v>
      </c>
      <c r="B63" s="4">
        <v>7</v>
      </c>
      <c r="C63" s="4">
        <v>10</v>
      </c>
      <c r="D63" s="4">
        <v>45</v>
      </c>
      <c r="E63" s="4">
        <v>1</v>
      </c>
      <c r="F63" s="4">
        <v>50</v>
      </c>
      <c r="G63" s="10">
        <f t="shared" si="15"/>
        <v>7.166666666666667</v>
      </c>
      <c r="H63" s="4">
        <v>50</v>
      </c>
      <c r="I63" s="5">
        <f t="shared" si="16"/>
        <v>322.5</v>
      </c>
      <c r="J63" s="5">
        <f t="shared" si="17"/>
        <v>272.5</v>
      </c>
      <c r="K63">
        <v>25</v>
      </c>
      <c r="N63" s="51">
        <f>184+300</f>
        <v>484</v>
      </c>
      <c r="P63" t="s">
        <v>1085</v>
      </c>
    </row>
    <row r="64" spans="1:17" ht="19">
      <c r="A64" s="91" t="s">
        <v>782</v>
      </c>
      <c r="B64" s="8">
        <f>SUM(B65:B70)</f>
        <v>10</v>
      </c>
      <c r="C64" s="8">
        <f>SUM(C65:C70)</f>
        <v>44</v>
      </c>
      <c r="D64" s="8">
        <f>SUM(D65)</f>
        <v>45</v>
      </c>
      <c r="E64" s="8">
        <f>SUM(E65:E70)</f>
        <v>1</v>
      </c>
      <c r="F64" s="8">
        <f>SUM(F65:F70)</f>
        <v>300</v>
      </c>
      <c r="G64" s="93">
        <f t="shared" si="15"/>
        <v>10.733333333333333</v>
      </c>
      <c r="H64" s="8">
        <f>SUM(H65:H70)</f>
        <v>50</v>
      </c>
      <c r="I64" s="9">
        <f>SUM(I65:I70)</f>
        <v>697.66666666666663</v>
      </c>
      <c r="J64" s="14">
        <f>SUM(J65:J70)</f>
        <v>647.66666666666663</v>
      </c>
      <c r="K64" s="8">
        <f>SUM(K65:K70)</f>
        <v>39</v>
      </c>
      <c r="L64" s="9">
        <v>0</v>
      </c>
      <c r="M64" s="96">
        <f>J64</f>
        <v>647.66666666666663</v>
      </c>
      <c r="N64" s="102">
        <f>SUM(N65:N70)</f>
        <v>864</v>
      </c>
      <c r="O64" s="98">
        <f>931-N64</f>
        <v>67</v>
      </c>
      <c r="P64" s="86"/>
      <c r="Q64" s="86"/>
    </row>
    <row r="65" spans="1:17">
      <c r="A65" s="80" t="s">
        <v>1058</v>
      </c>
      <c r="B65" s="4">
        <v>0</v>
      </c>
      <c r="C65" s="4">
        <v>0</v>
      </c>
      <c r="D65" s="4">
        <v>45</v>
      </c>
      <c r="E65" s="4">
        <v>0</v>
      </c>
      <c r="F65" s="4">
        <v>50</v>
      </c>
      <c r="G65" s="10">
        <f t="shared" si="15"/>
        <v>0</v>
      </c>
      <c r="H65" s="4">
        <v>0</v>
      </c>
      <c r="I65" s="5">
        <f t="shared" ref="I65:I70" si="18">G65*D65</f>
        <v>0</v>
      </c>
      <c r="J65" s="5">
        <f>I65-H65</f>
        <v>0</v>
      </c>
      <c r="K65">
        <v>0</v>
      </c>
      <c r="N65" s="51">
        <v>0</v>
      </c>
      <c r="O65" s="51"/>
    </row>
    <row r="66" spans="1:17">
      <c r="A66" s="80" t="s">
        <v>1059</v>
      </c>
      <c r="B66" s="4">
        <v>0</v>
      </c>
      <c r="C66" s="4">
        <v>0</v>
      </c>
      <c r="D66" s="4">
        <v>45</v>
      </c>
      <c r="E66" s="4">
        <v>0</v>
      </c>
      <c r="F66" s="4">
        <v>50</v>
      </c>
      <c r="G66" s="10">
        <f t="shared" si="15"/>
        <v>0</v>
      </c>
      <c r="H66" s="4">
        <v>0</v>
      </c>
      <c r="I66" s="5">
        <f t="shared" si="18"/>
        <v>0</v>
      </c>
      <c r="J66" s="5">
        <f>I66-H66</f>
        <v>0</v>
      </c>
      <c r="K66">
        <v>0</v>
      </c>
      <c r="N66" s="51">
        <v>0</v>
      </c>
    </row>
    <row r="67" spans="1:17">
      <c r="A67" s="80" t="s">
        <v>1060</v>
      </c>
      <c r="B67" s="4">
        <v>0</v>
      </c>
      <c r="C67" s="4">
        <v>0</v>
      </c>
      <c r="D67" s="4">
        <v>45</v>
      </c>
      <c r="E67" s="4">
        <v>0</v>
      </c>
      <c r="F67" s="4">
        <v>50</v>
      </c>
      <c r="G67" s="10">
        <f t="shared" si="15"/>
        <v>0</v>
      </c>
      <c r="H67" s="4">
        <v>0</v>
      </c>
      <c r="I67" s="5">
        <f t="shared" si="18"/>
        <v>0</v>
      </c>
      <c r="J67" s="5">
        <v>0</v>
      </c>
      <c r="K67">
        <v>0</v>
      </c>
      <c r="N67" s="51">
        <v>0</v>
      </c>
    </row>
    <row r="68" spans="1:17">
      <c r="A68" s="80" t="s">
        <v>1061</v>
      </c>
      <c r="B68" s="4">
        <v>0</v>
      </c>
      <c r="C68" s="4">
        <v>0</v>
      </c>
      <c r="D68" s="4">
        <v>45</v>
      </c>
      <c r="E68" s="4">
        <v>0</v>
      </c>
      <c r="F68" s="4">
        <v>50</v>
      </c>
      <c r="G68" s="10">
        <f t="shared" si="15"/>
        <v>0</v>
      </c>
      <c r="H68" s="4">
        <v>0</v>
      </c>
      <c r="I68" s="5">
        <f t="shared" si="18"/>
        <v>0</v>
      </c>
      <c r="J68" s="5">
        <v>0</v>
      </c>
      <c r="K68">
        <v>0</v>
      </c>
      <c r="N68" s="51">
        <v>0</v>
      </c>
    </row>
    <row r="69" spans="1:17">
      <c r="A69" s="80" t="s">
        <v>1063</v>
      </c>
      <c r="B69" s="4">
        <v>0</v>
      </c>
      <c r="C69" s="4">
        <v>0</v>
      </c>
      <c r="D69" s="4">
        <v>45</v>
      </c>
      <c r="E69" s="4">
        <v>0</v>
      </c>
      <c r="F69" s="4">
        <v>50</v>
      </c>
      <c r="G69" s="10">
        <f t="shared" si="15"/>
        <v>0</v>
      </c>
      <c r="H69" s="4">
        <v>0</v>
      </c>
      <c r="I69" s="5">
        <f t="shared" si="18"/>
        <v>0</v>
      </c>
      <c r="J69" s="5">
        <f>I69-H69</f>
        <v>0</v>
      </c>
      <c r="K69">
        <v>0</v>
      </c>
      <c r="N69" s="51">
        <v>0</v>
      </c>
    </row>
    <row r="70" spans="1:17">
      <c r="A70" s="80" t="s">
        <v>1065</v>
      </c>
      <c r="B70" s="4">
        <v>10</v>
      </c>
      <c r="C70" s="4">
        <v>44</v>
      </c>
      <c r="D70" s="4">
        <v>65</v>
      </c>
      <c r="E70" s="4">
        <v>1</v>
      </c>
      <c r="F70" s="4">
        <v>50</v>
      </c>
      <c r="G70" s="10">
        <f t="shared" si="15"/>
        <v>10.733333333333333</v>
      </c>
      <c r="H70" s="4">
        <v>50</v>
      </c>
      <c r="I70" s="5">
        <f t="shared" si="18"/>
        <v>697.66666666666663</v>
      </c>
      <c r="J70" s="5">
        <f>I70-H70</f>
        <v>647.66666666666663</v>
      </c>
      <c r="K70">
        <v>39</v>
      </c>
      <c r="N70" s="51">
        <f>564+300</f>
        <v>864</v>
      </c>
    </row>
    <row r="71" spans="1:17" ht="19">
      <c r="A71" s="91" t="s">
        <v>591</v>
      </c>
      <c r="B71" s="8">
        <f>SUM(B72:B77)</f>
        <v>40</v>
      </c>
      <c r="C71" s="8">
        <f>SUM(C72:C77)</f>
        <v>168</v>
      </c>
      <c r="D71" s="8">
        <f>SUM(D72)</f>
        <v>65</v>
      </c>
      <c r="E71" s="8">
        <f>SUM(E72:E77)</f>
        <v>6</v>
      </c>
      <c r="F71" s="8">
        <f>SUM(F72:F100)</f>
        <v>1900</v>
      </c>
      <c r="G71" s="93">
        <f t="shared" ref="G71:G108" si="19">B71+C71/60</f>
        <v>42.8</v>
      </c>
      <c r="H71" s="8">
        <f>SUM(H72:H77)</f>
        <v>1137.9000000000001</v>
      </c>
      <c r="I71" s="9">
        <f>SUM(I72:I77)</f>
        <v>2385.3333333333335</v>
      </c>
      <c r="J71" s="9">
        <f>SUM(J72:J77)</f>
        <v>1247.4333333333334</v>
      </c>
      <c r="K71" s="8">
        <f>SUM(K72:K77)</f>
        <v>173</v>
      </c>
      <c r="L71" s="9">
        <v>0</v>
      </c>
      <c r="M71" s="96">
        <f>J71</f>
        <v>1247.4333333333334</v>
      </c>
      <c r="N71" s="102">
        <f>SUM(N72:N77)</f>
        <v>3676.5</v>
      </c>
      <c r="O71" s="98">
        <f>3679-N71</f>
        <v>2.5</v>
      </c>
      <c r="P71" s="86"/>
      <c r="Q71" s="86"/>
    </row>
    <row r="72" spans="1:17">
      <c r="A72" s="80" t="s">
        <v>1058</v>
      </c>
      <c r="B72" s="4">
        <v>9</v>
      </c>
      <c r="C72" s="4">
        <v>13</v>
      </c>
      <c r="D72" s="4">
        <v>65</v>
      </c>
      <c r="E72" s="4">
        <v>1</v>
      </c>
      <c r="F72" s="4">
        <v>50</v>
      </c>
      <c r="G72" s="144">
        <f t="shared" si="19"/>
        <v>9.2166666666666668</v>
      </c>
      <c r="H72" s="167">
        <f>50+127.5</f>
        <v>177.5</v>
      </c>
      <c r="I72" s="142">
        <f t="shared" ref="I72:I77" si="20">G72*D72</f>
        <v>599.08333333333337</v>
      </c>
      <c r="J72" s="5">
        <f t="shared" ref="J72:J77" si="21">I72-H72</f>
        <v>421.58333333333337</v>
      </c>
      <c r="K72">
        <v>32</v>
      </c>
      <c r="N72" s="83">
        <v>740</v>
      </c>
      <c r="O72" s="51"/>
      <c r="P72" t="s">
        <v>1086</v>
      </c>
    </row>
    <row r="73" spans="1:17">
      <c r="A73" s="80" t="s">
        <v>1059</v>
      </c>
      <c r="B73" s="4">
        <v>6</v>
      </c>
      <c r="C73" s="4">
        <v>29</v>
      </c>
      <c r="D73" s="4">
        <v>55</v>
      </c>
      <c r="E73" s="4">
        <v>1</v>
      </c>
      <c r="F73" s="4">
        <v>50</v>
      </c>
      <c r="G73" s="144">
        <f t="shared" si="19"/>
        <v>6.4833333333333334</v>
      </c>
      <c r="H73" s="167">
        <v>50</v>
      </c>
      <c r="I73" s="142">
        <f t="shared" si="20"/>
        <v>356.58333333333331</v>
      </c>
      <c r="J73" s="5">
        <f t="shared" si="21"/>
        <v>306.58333333333331</v>
      </c>
      <c r="K73">
        <v>27</v>
      </c>
      <c r="N73" s="83">
        <v>611</v>
      </c>
    </row>
    <row r="74" spans="1:17">
      <c r="A74" s="80" t="s">
        <v>1060</v>
      </c>
      <c r="B74" s="4">
        <v>7</v>
      </c>
      <c r="C74" s="4">
        <v>12</v>
      </c>
      <c r="D74" s="4">
        <v>65</v>
      </c>
      <c r="E74" s="4">
        <v>1</v>
      </c>
      <c r="F74" s="4">
        <v>50</v>
      </c>
      <c r="G74" s="144">
        <f t="shared" si="19"/>
        <v>7.2</v>
      </c>
      <c r="H74" s="167">
        <f>50+142.2</f>
        <v>192.2</v>
      </c>
      <c r="I74" s="142">
        <f t="shared" si="20"/>
        <v>468</v>
      </c>
      <c r="J74" s="5">
        <f t="shared" si="21"/>
        <v>275.8</v>
      </c>
      <c r="K74">
        <v>33</v>
      </c>
      <c r="N74" s="51">
        <v>629</v>
      </c>
      <c r="P74" t="s">
        <v>1087</v>
      </c>
    </row>
    <row r="75" spans="1:17">
      <c r="A75" s="80" t="s">
        <v>1061</v>
      </c>
      <c r="B75" s="4">
        <v>6</v>
      </c>
      <c r="C75" s="4">
        <v>59</v>
      </c>
      <c r="D75" s="4">
        <v>45</v>
      </c>
      <c r="E75" s="4">
        <v>1</v>
      </c>
      <c r="F75" s="4">
        <v>50</v>
      </c>
      <c r="G75" s="144">
        <f t="shared" si="19"/>
        <v>6.9833333333333334</v>
      </c>
      <c r="H75" s="167">
        <f>50+103.2</f>
        <v>153.19999999999999</v>
      </c>
      <c r="I75" s="142">
        <f t="shared" si="20"/>
        <v>314.25</v>
      </c>
      <c r="J75" s="5">
        <f t="shared" si="21"/>
        <v>161.05000000000001</v>
      </c>
      <c r="K75">
        <v>26</v>
      </c>
      <c r="N75" s="51">
        <v>500.5</v>
      </c>
      <c r="P75" t="s">
        <v>1088</v>
      </c>
    </row>
    <row r="76" spans="1:17">
      <c r="A76" s="80" t="s">
        <v>1063</v>
      </c>
      <c r="B76" s="4">
        <v>6</v>
      </c>
      <c r="C76" s="4">
        <v>18</v>
      </c>
      <c r="D76" s="4">
        <v>45</v>
      </c>
      <c r="E76" s="4">
        <v>1</v>
      </c>
      <c r="F76" s="4">
        <v>50</v>
      </c>
      <c r="G76" s="144">
        <f t="shared" si="19"/>
        <v>6.3</v>
      </c>
      <c r="H76" s="167">
        <f>50+465</f>
        <v>515</v>
      </c>
      <c r="I76" s="142">
        <f t="shared" si="20"/>
        <v>283.5</v>
      </c>
      <c r="J76" s="5">
        <f t="shared" si="21"/>
        <v>-231.5</v>
      </c>
      <c r="K76">
        <v>25</v>
      </c>
      <c r="N76" s="51">
        <f>418-300</f>
        <v>118</v>
      </c>
      <c r="P76" t="s">
        <v>1089</v>
      </c>
    </row>
    <row r="77" spans="1:17">
      <c r="A77" s="80" t="s">
        <v>1065</v>
      </c>
      <c r="B77" s="4">
        <v>6</v>
      </c>
      <c r="C77" s="4">
        <v>37</v>
      </c>
      <c r="D77" s="4">
        <v>55</v>
      </c>
      <c r="E77" s="4">
        <v>1</v>
      </c>
      <c r="F77" s="4">
        <v>50</v>
      </c>
      <c r="G77" s="10">
        <f t="shared" si="19"/>
        <v>6.6166666666666671</v>
      </c>
      <c r="H77" s="141">
        <v>50</v>
      </c>
      <c r="I77" s="5">
        <f t="shared" si="20"/>
        <v>363.91666666666669</v>
      </c>
      <c r="J77" s="5">
        <f t="shared" si="21"/>
        <v>313.91666666666669</v>
      </c>
      <c r="K77">
        <v>30</v>
      </c>
      <c r="N77" s="51">
        <f>644+434</f>
        <v>1078</v>
      </c>
      <c r="P77" t="s">
        <v>1090</v>
      </c>
    </row>
    <row r="78" spans="1:17" ht="19">
      <c r="A78" s="91" t="s">
        <v>1091</v>
      </c>
      <c r="B78" s="8">
        <f>SUM(B79:B84)</f>
        <v>53</v>
      </c>
      <c r="C78" s="8">
        <f>SUM(C79:C84)</f>
        <v>124</v>
      </c>
      <c r="D78" s="8">
        <f>SUM(D79)</f>
        <v>45</v>
      </c>
      <c r="E78" s="8">
        <f>SUM(E79:E84)</f>
        <v>6</v>
      </c>
      <c r="F78" s="8">
        <f>SUM(F79:F84)</f>
        <v>300</v>
      </c>
      <c r="G78" s="93">
        <f t="shared" si="19"/>
        <v>55.06666666666667</v>
      </c>
      <c r="H78" s="8">
        <f>SUM(H79:H84)</f>
        <v>443.7</v>
      </c>
      <c r="I78" s="9">
        <f>SUM(I79:I84)</f>
        <v>2681.1666666666665</v>
      </c>
      <c r="J78" s="14">
        <f>SUM(J79:J84)</f>
        <v>2237.4666666666667</v>
      </c>
      <c r="K78" s="8">
        <f>SUM(K79:K84)</f>
        <v>136</v>
      </c>
      <c r="L78" s="9">
        <v>0</v>
      </c>
      <c r="M78" s="96">
        <f>J78</f>
        <v>2237.4666666666667</v>
      </c>
      <c r="N78" s="102">
        <f>SUM(N79:N84)</f>
        <v>3784.5</v>
      </c>
      <c r="O78" s="98">
        <f>3792-N78</f>
        <v>7.5</v>
      </c>
      <c r="P78" s="86"/>
      <c r="Q78" s="86"/>
    </row>
    <row r="79" spans="1:17" ht="19">
      <c r="A79" s="80" t="s">
        <v>1058</v>
      </c>
      <c r="B79" s="4">
        <v>7</v>
      </c>
      <c r="C79" s="4">
        <v>45</v>
      </c>
      <c r="D79" s="4">
        <v>45</v>
      </c>
      <c r="E79" s="4">
        <v>1</v>
      </c>
      <c r="F79" s="4">
        <v>50</v>
      </c>
      <c r="G79" s="10">
        <f t="shared" si="19"/>
        <v>7.75</v>
      </c>
      <c r="H79" s="4">
        <v>50</v>
      </c>
      <c r="I79" s="5">
        <f t="shared" ref="I79:I84" si="22">G79*D79</f>
        <v>348.75</v>
      </c>
      <c r="J79" s="5">
        <f t="shared" ref="J79:J84" si="23">I79-H79</f>
        <v>298.75</v>
      </c>
      <c r="K79">
        <v>18</v>
      </c>
      <c r="N79" s="51">
        <v>493</v>
      </c>
      <c r="O79" s="49"/>
      <c r="P79" t="s">
        <v>1092</v>
      </c>
    </row>
    <row r="80" spans="1:17">
      <c r="A80" s="80" t="s">
        <v>1059</v>
      </c>
      <c r="B80" s="4">
        <v>9</v>
      </c>
      <c r="C80" s="4">
        <v>1</v>
      </c>
      <c r="D80" s="4">
        <v>45</v>
      </c>
      <c r="E80" s="4">
        <v>1</v>
      </c>
      <c r="F80" s="4">
        <v>50</v>
      </c>
      <c r="G80" s="10">
        <f t="shared" si="19"/>
        <v>9.0166666666666675</v>
      </c>
      <c r="H80" s="4">
        <v>50</v>
      </c>
      <c r="I80" s="5">
        <f t="shared" si="22"/>
        <v>405.75000000000006</v>
      </c>
      <c r="J80" s="5">
        <f t="shared" si="23"/>
        <v>355.75000000000006</v>
      </c>
      <c r="K80">
        <v>21</v>
      </c>
      <c r="N80" s="51">
        <f>270+150</f>
        <v>420</v>
      </c>
      <c r="P80" t="s">
        <v>962</v>
      </c>
    </row>
    <row r="81" spans="1:17">
      <c r="A81" s="80" t="s">
        <v>1060</v>
      </c>
      <c r="B81" s="4">
        <v>10</v>
      </c>
      <c r="C81" s="4">
        <v>6</v>
      </c>
      <c r="D81" s="4">
        <v>55</v>
      </c>
      <c r="E81" s="4">
        <v>1</v>
      </c>
      <c r="F81" s="4">
        <v>50</v>
      </c>
      <c r="G81" s="10">
        <f t="shared" si="19"/>
        <v>10.1</v>
      </c>
      <c r="H81" s="4">
        <v>50</v>
      </c>
      <c r="I81" s="5">
        <f t="shared" si="22"/>
        <v>555.5</v>
      </c>
      <c r="J81" s="5">
        <f t="shared" si="23"/>
        <v>505.5</v>
      </c>
      <c r="K81">
        <v>29</v>
      </c>
      <c r="N81" s="51">
        <f>487+150</f>
        <v>637</v>
      </c>
      <c r="P81" t="s">
        <v>1093</v>
      </c>
    </row>
    <row r="82" spans="1:17">
      <c r="A82" s="80" t="s">
        <v>1061</v>
      </c>
      <c r="B82" s="4">
        <v>10</v>
      </c>
      <c r="C82" s="4">
        <v>38</v>
      </c>
      <c r="D82" s="4">
        <v>45</v>
      </c>
      <c r="E82" s="4">
        <v>1</v>
      </c>
      <c r="F82" s="4">
        <v>50</v>
      </c>
      <c r="G82" s="10">
        <f t="shared" si="19"/>
        <v>10.633333333333333</v>
      </c>
      <c r="H82" s="4">
        <v>50</v>
      </c>
      <c r="I82" s="5">
        <f t="shared" si="22"/>
        <v>478.5</v>
      </c>
      <c r="J82" s="5">
        <f t="shared" si="23"/>
        <v>428.5</v>
      </c>
      <c r="K82">
        <v>24</v>
      </c>
      <c r="N82" s="51">
        <f>726.5+300</f>
        <v>1026.5</v>
      </c>
      <c r="P82" t="s">
        <v>1094</v>
      </c>
    </row>
    <row r="83" spans="1:17">
      <c r="A83" s="80" t="s">
        <v>1063</v>
      </c>
      <c r="B83" s="4">
        <v>10</v>
      </c>
      <c r="C83" s="4">
        <v>13</v>
      </c>
      <c r="D83" s="4">
        <v>55</v>
      </c>
      <c r="E83" s="4">
        <v>1</v>
      </c>
      <c r="F83" s="4">
        <v>50</v>
      </c>
      <c r="G83" s="10">
        <f t="shared" si="19"/>
        <v>10.216666666666667</v>
      </c>
      <c r="H83" s="4">
        <f>50+143.7</f>
        <v>193.7</v>
      </c>
      <c r="I83" s="5">
        <f t="shared" si="22"/>
        <v>561.91666666666663</v>
      </c>
      <c r="J83" s="5">
        <f t="shared" si="23"/>
        <v>368.21666666666664</v>
      </c>
      <c r="K83">
        <v>27</v>
      </c>
      <c r="N83" s="51">
        <f>258+300</f>
        <v>558</v>
      </c>
      <c r="P83" t="s">
        <v>1095</v>
      </c>
    </row>
    <row r="84" spans="1:17">
      <c r="A84" s="80" t="s">
        <v>1065</v>
      </c>
      <c r="B84" s="4">
        <v>7</v>
      </c>
      <c r="C84" s="4">
        <v>21</v>
      </c>
      <c r="D84" s="4">
        <v>45</v>
      </c>
      <c r="E84" s="4">
        <v>1</v>
      </c>
      <c r="F84" s="4">
        <v>50</v>
      </c>
      <c r="G84" s="10">
        <f t="shared" si="19"/>
        <v>7.35</v>
      </c>
      <c r="H84" s="4">
        <v>50</v>
      </c>
      <c r="I84" s="5">
        <f t="shared" si="22"/>
        <v>330.75</v>
      </c>
      <c r="J84" s="5">
        <f t="shared" si="23"/>
        <v>280.75</v>
      </c>
      <c r="K84">
        <v>17</v>
      </c>
      <c r="N84" s="51">
        <f>350+300</f>
        <v>650</v>
      </c>
      <c r="P84" t="s">
        <v>1096</v>
      </c>
    </row>
    <row r="85" spans="1:17" ht="19">
      <c r="A85" s="91" t="s">
        <v>1097</v>
      </c>
      <c r="B85" s="8">
        <f>SUM(B86:B92)</f>
        <v>36</v>
      </c>
      <c r="C85" s="8">
        <f>SUM(C86:C92)</f>
        <v>61</v>
      </c>
      <c r="D85" s="8">
        <f>SUM(D86)</f>
        <v>45</v>
      </c>
      <c r="E85" s="8">
        <f>SUM(E86:E92)</f>
        <v>4</v>
      </c>
      <c r="F85" s="8">
        <f>SUM(F86:F92)</f>
        <v>200</v>
      </c>
      <c r="G85" s="93">
        <f t="shared" si="19"/>
        <v>37.016666666666666</v>
      </c>
      <c r="H85" s="8">
        <f>SUM(H86:H92)</f>
        <v>200</v>
      </c>
      <c r="I85" s="9">
        <f>SUM(I86:I92)</f>
        <v>2148.916666666667</v>
      </c>
      <c r="J85" s="14">
        <f>SUM(J86:J92)</f>
        <v>1948.916666666667</v>
      </c>
      <c r="K85" s="8">
        <f>SUM(K86:K92)</f>
        <v>123</v>
      </c>
      <c r="L85" s="9">
        <v>0</v>
      </c>
      <c r="M85" s="96">
        <f>J85</f>
        <v>1948.916666666667</v>
      </c>
      <c r="N85" s="102">
        <f>SUM(N86:N92)</f>
        <v>2893</v>
      </c>
      <c r="O85" s="98">
        <f>2543-N85</f>
        <v>-350</v>
      </c>
      <c r="P85" s="86"/>
      <c r="Q85" s="86"/>
    </row>
    <row r="86" spans="1:17">
      <c r="A86" s="80" t="s">
        <v>1058</v>
      </c>
      <c r="B86" s="4"/>
      <c r="C86" s="4"/>
      <c r="D86" s="4">
        <v>45</v>
      </c>
      <c r="E86" s="4">
        <v>0</v>
      </c>
      <c r="F86" s="4">
        <v>0</v>
      </c>
      <c r="G86" s="144">
        <f t="shared" si="19"/>
        <v>0</v>
      </c>
      <c r="H86" s="167"/>
      <c r="I86" s="142">
        <f t="shared" ref="I86:I92" si="24">G86*D86</f>
        <v>0</v>
      </c>
      <c r="J86" s="5">
        <f t="shared" ref="J86:J92" si="25">I86-H86</f>
        <v>0</v>
      </c>
      <c r="K86">
        <v>0</v>
      </c>
      <c r="N86" s="51">
        <v>0</v>
      </c>
      <c r="O86" s="51"/>
      <c r="P86" s="115"/>
    </row>
    <row r="87" spans="1:17">
      <c r="A87" s="80" t="s">
        <v>1059</v>
      </c>
      <c r="B87" s="4"/>
      <c r="C87" s="4"/>
      <c r="D87" s="4">
        <v>45</v>
      </c>
      <c r="E87" s="4">
        <v>0</v>
      </c>
      <c r="F87" s="4">
        <v>0</v>
      </c>
      <c r="G87" s="144">
        <f t="shared" si="19"/>
        <v>0</v>
      </c>
      <c r="H87" s="167"/>
      <c r="I87" s="142">
        <f t="shared" si="24"/>
        <v>0</v>
      </c>
      <c r="J87" s="5">
        <f t="shared" si="25"/>
        <v>0</v>
      </c>
      <c r="N87" s="51">
        <v>0</v>
      </c>
    </row>
    <row r="88" spans="1:17">
      <c r="A88" s="80" t="s">
        <v>1060</v>
      </c>
      <c r="B88" s="4"/>
      <c r="C88" s="4"/>
      <c r="D88" s="4">
        <v>45</v>
      </c>
      <c r="E88" s="4">
        <v>0</v>
      </c>
      <c r="F88" s="4">
        <v>0</v>
      </c>
      <c r="G88" s="144">
        <f t="shared" si="19"/>
        <v>0</v>
      </c>
      <c r="H88" s="167"/>
      <c r="I88" s="142">
        <f t="shared" si="24"/>
        <v>0</v>
      </c>
      <c r="J88" s="5">
        <f t="shared" si="25"/>
        <v>0</v>
      </c>
      <c r="N88" s="51">
        <v>0</v>
      </c>
    </row>
    <row r="89" spans="1:17">
      <c r="A89" s="80" t="s">
        <v>1061</v>
      </c>
      <c r="B89" s="4">
        <v>7</v>
      </c>
      <c r="C89" s="4">
        <v>49</v>
      </c>
      <c r="D89" s="4">
        <v>45</v>
      </c>
      <c r="E89" s="4">
        <v>1</v>
      </c>
      <c r="F89" s="4">
        <v>50</v>
      </c>
      <c r="G89" s="144">
        <f t="shared" si="19"/>
        <v>7.8166666666666664</v>
      </c>
      <c r="H89" s="167">
        <v>50</v>
      </c>
      <c r="I89" s="142">
        <f t="shared" si="24"/>
        <v>351.75</v>
      </c>
      <c r="J89" s="5">
        <f t="shared" si="25"/>
        <v>301.75</v>
      </c>
      <c r="K89">
        <v>21</v>
      </c>
      <c r="N89" s="51">
        <v>490</v>
      </c>
      <c r="P89" t="s">
        <v>1098</v>
      </c>
    </row>
    <row r="90" spans="1:17">
      <c r="A90" s="80" t="s">
        <v>1063</v>
      </c>
      <c r="B90" s="4">
        <v>10</v>
      </c>
      <c r="C90" s="4">
        <v>6</v>
      </c>
      <c r="D90" s="4">
        <v>65</v>
      </c>
      <c r="E90" s="4">
        <v>1</v>
      </c>
      <c r="F90" s="4">
        <v>50</v>
      </c>
      <c r="G90" s="144">
        <f t="shared" si="19"/>
        <v>10.1</v>
      </c>
      <c r="H90" s="167">
        <v>50</v>
      </c>
      <c r="I90" s="142">
        <f t="shared" si="24"/>
        <v>656.5</v>
      </c>
      <c r="J90" s="5">
        <f t="shared" si="25"/>
        <v>606.5</v>
      </c>
      <c r="K90">
        <v>35</v>
      </c>
      <c r="N90" s="51">
        <f>760</f>
        <v>760</v>
      </c>
      <c r="P90" t="s">
        <v>1099</v>
      </c>
    </row>
    <row r="91" spans="1:17">
      <c r="A91" s="80" t="s">
        <v>1065</v>
      </c>
      <c r="B91" s="4">
        <v>10</v>
      </c>
      <c r="C91" s="4">
        <v>5</v>
      </c>
      <c r="D91" s="4">
        <v>55</v>
      </c>
      <c r="E91" s="4">
        <v>1</v>
      </c>
      <c r="F91" s="4">
        <v>50</v>
      </c>
      <c r="G91" s="144">
        <f t="shared" si="19"/>
        <v>10.083333333333334</v>
      </c>
      <c r="H91" s="167">
        <v>50</v>
      </c>
      <c r="I91" s="142">
        <f t="shared" si="24"/>
        <v>554.58333333333337</v>
      </c>
      <c r="J91" s="5">
        <f t="shared" si="25"/>
        <v>504.58333333333337</v>
      </c>
      <c r="K91">
        <v>30</v>
      </c>
      <c r="N91" s="51">
        <f>490+250</f>
        <v>740</v>
      </c>
      <c r="P91" t="s">
        <v>983</v>
      </c>
    </row>
    <row r="92" spans="1:17">
      <c r="A92" s="80" t="s">
        <v>1072</v>
      </c>
      <c r="B92" s="4">
        <v>9</v>
      </c>
      <c r="C92" s="4">
        <v>1</v>
      </c>
      <c r="D92" s="4">
        <v>65</v>
      </c>
      <c r="E92" s="4">
        <v>1</v>
      </c>
      <c r="F92" s="4">
        <v>50</v>
      </c>
      <c r="G92" s="10">
        <f t="shared" si="19"/>
        <v>9.0166666666666675</v>
      </c>
      <c r="H92" s="141">
        <v>50</v>
      </c>
      <c r="I92" s="5">
        <f t="shared" si="24"/>
        <v>586.08333333333337</v>
      </c>
      <c r="J92" s="5">
        <f t="shared" si="25"/>
        <v>536.08333333333337</v>
      </c>
      <c r="K92">
        <v>37</v>
      </c>
      <c r="N92" s="51">
        <v>903</v>
      </c>
      <c r="P92" t="s">
        <v>1044</v>
      </c>
    </row>
    <row r="93" spans="1:17" ht="19">
      <c r="A93" s="91" t="s">
        <v>494</v>
      </c>
      <c r="B93" s="8">
        <f>SUM(B94:B100)</f>
        <v>45</v>
      </c>
      <c r="C93" s="8">
        <f>SUM(C94:C100)</f>
        <v>203</v>
      </c>
      <c r="D93" s="8">
        <f>SUM(D94)</f>
        <v>45</v>
      </c>
      <c r="E93" s="8">
        <f>SUM(E94:E100)</f>
        <v>6</v>
      </c>
      <c r="F93" s="8">
        <f>SUM(F94:F100)</f>
        <v>300</v>
      </c>
      <c r="G93" s="93">
        <f t="shared" si="19"/>
        <v>48.383333333333333</v>
      </c>
      <c r="H93" s="8">
        <f>SUM(H94:H100)</f>
        <v>460.2</v>
      </c>
      <c r="I93" s="14">
        <f>SUM(I94:I100)</f>
        <v>2807.5833333333335</v>
      </c>
      <c r="J93" s="14">
        <f>SUM(J94:J100)</f>
        <v>2347.3833333333332</v>
      </c>
      <c r="K93" s="8">
        <f>SUM(K94:K100)</f>
        <v>174</v>
      </c>
      <c r="L93" s="9">
        <v>0</v>
      </c>
      <c r="M93" s="96">
        <f>J93</f>
        <v>2347.3833333333332</v>
      </c>
      <c r="N93" s="102">
        <f>SUM(N94:N100)</f>
        <v>3040.99</v>
      </c>
      <c r="O93" s="98">
        <f>3030-N93</f>
        <v>-10.989999999999782</v>
      </c>
      <c r="P93" s="86"/>
      <c r="Q93" s="86"/>
    </row>
    <row r="94" spans="1:17" s="186" customFormat="1" ht="19">
      <c r="A94" s="182">
        <v>46146</v>
      </c>
      <c r="B94" s="183">
        <v>5</v>
      </c>
      <c r="C94" s="183">
        <v>42</v>
      </c>
      <c r="D94" s="183">
        <v>45</v>
      </c>
      <c r="E94" s="183">
        <v>1</v>
      </c>
      <c r="F94" s="183">
        <v>50</v>
      </c>
      <c r="G94" s="184">
        <f t="shared" si="19"/>
        <v>5.7</v>
      </c>
      <c r="H94" s="183">
        <v>50</v>
      </c>
      <c r="I94" s="185">
        <f t="shared" ref="I94:I100" si="26">G94*D94</f>
        <v>256.5</v>
      </c>
      <c r="J94" s="185">
        <f t="shared" ref="J94:J100" si="27">I94-H94</f>
        <v>206.5</v>
      </c>
      <c r="K94" s="186">
        <v>20</v>
      </c>
      <c r="N94" s="187">
        <v>335</v>
      </c>
      <c r="O94" s="188"/>
      <c r="P94" s="186" t="s">
        <v>1100</v>
      </c>
    </row>
    <row r="95" spans="1:17">
      <c r="A95" s="80">
        <v>46147</v>
      </c>
      <c r="B95" s="4">
        <v>9</v>
      </c>
      <c r="C95" s="4">
        <v>15</v>
      </c>
      <c r="D95" s="4">
        <v>65</v>
      </c>
      <c r="E95" s="4">
        <v>1</v>
      </c>
      <c r="F95" s="4">
        <v>50</v>
      </c>
      <c r="G95" s="10">
        <f t="shared" si="19"/>
        <v>9.25</v>
      </c>
      <c r="H95" s="4">
        <v>50</v>
      </c>
      <c r="I95" s="5">
        <f t="shared" si="26"/>
        <v>601.25</v>
      </c>
      <c r="J95" s="5">
        <f t="shared" si="27"/>
        <v>551.25</v>
      </c>
      <c r="K95">
        <v>32</v>
      </c>
      <c r="N95" s="51">
        <v>500</v>
      </c>
      <c r="P95" t="s">
        <v>1101</v>
      </c>
    </row>
    <row r="96" spans="1:17">
      <c r="A96" s="80">
        <v>46148</v>
      </c>
      <c r="B96" s="4">
        <v>7</v>
      </c>
      <c r="C96" s="4">
        <v>37</v>
      </c>
      <c r="D96" s="4">
        <v>45</v>
      </c>
      <c r="E96" s="4">
        <v>1</v>
      </c>
      <c r="F96" s="4">
        <v>50</v>
      </c>
      <c r="G96" s="10">
        <f t="shared" si="19"/>
        <v>7.6166666666666671</v>
      </c>
      <c r="H96" s="4">
        <v>50</v>
      </c>
      <c r="I96" s="5">
        <f t="shared" si="26"/>
        <v>342.75</v>
      </c>
      <c r="J96" s="5">
        <f t="shared" si="27"/>
        <v>292.75</v>
      </c>
      <c r="K96">
        <v>24</v>
      </c>
      <c r="N96" s="51">
        <f>100+200</f>
        <v>300</v>
      </c>
      <c r="P96" t="s">
        <v>1102</v>
      </c>
    </row>
    <row r="97" spans="1:17">
      <c r="A97" s="80">
        <v>46149</v>
      </c>
      <c r="B97" s="4">
        <v>7</v>
      </c>
      <c r="C97" s="4">
        <v>6</v>
      </c>
      <c r="D97" s="4">
        <v>55</v>
      </c>
      <c r="E97" s="4">
        <v>1</v>
      </c>
      <c r="F97" s="4">
        <v>50</v>
      </c>
      <c r="G97" s="10">
        <f t="shared" si="19"/>
        <v>7.1</v>
      </c>
      <c r="H97" s="4">
        <f>50+160.2</f>
        <v>210.2</v>
      </c>
      <c r="I97" s="5">
        <f t="shared" si="26"/>
        <v>390.5</v>
      </c>
      <c r="J97" s="5">
        <f t="shared" si="27"/>
        <v>180.3</v>
      </c>
      <c r="K97">
        <v>30</v>
      </c>
      <c r="N97" s="51">
        <v>489</v>
      </c>
      <c r="P97" t="s">
        <v>1103</v>
      </c>
    </row>
    <row r="98" spans="1:17">
      <c r="A98" s="80">
        <v>46150</v>
      </c>
      <c r="B98" s="4">
        <v>0</v>
      </c>
      <c r="C98" s="4">
        <v>0</v>
      </c>
      <c r="D98" s="4">
        <v>45</v>
      </c>
      <c r="E98" s="4">
        <v>0</v>
      </c>
      <c r="F98" s="4">
        <v>0</v>
      </c>
      <c r="G98" s="10">
        <f t="shared" si="19"/>
        <v>0</v>
      </c>
      <c r="H98" s="4">
        <v>0</v>
      </c>
      <c r="I98" s="5">
        <f t="shared" si="26"/>
        <v>0</v>
      </c>
      <c r="J98" s="5">
        <f t="shared" si="27"/>
        <v>0</v>
      </c>
      <c r="K98">
        <v>0</v>
      </c>
      <c r="N98" s="51">
        <v>0</v>
      </c>
    </row>
    <row r="99" spans="1:17">
      <c r="A99" s="80">
        <v>46151</v>
      </c>
      <c r="B99" s="4">
        <v>8</v>
      </c>
      <c r="C99" s="4">
        <v>51</v>
      </c>
      <c r="D99" s="4">
        <v>65</v>
      </c>
      <c r="E99" s="4">
        <v>1</v>
      </c>
      <c r="F99" s="4">
        <v>50</v>
      </c>
      <c r="G99" s="10">
        <f t="shared" si="19"/>
        <v>8.85</v>
      </c>
      <c r="H99" s="4">
        <v>50</v>
      </c>
      <c r="I99" s="5">
        <f t="shared" si="26"/>
        <v>575.25</v>
      </c>
      <c r="J99" s="5">
        <f t="shared" si="27"/>
        <v>525.25</v>
      </c>
      <c r="K99">
        <v>34</v>
      </c>
      <c r="N99" s="51">
        <v>704</v>
      </c>
      <c r="P99" t="s">
        <v>1104</v>
      </c>
    </row>
    <row r="100" spans="1:17">
      <c r="A100" s="80">
        <v>46152</v>
      </c>
      <c r="B100" s="4">
        <v>9</v>
      </c>
      <c r="C100" s="4">
        <v>52</v>
      </c>
      <c r="D100" s="4">
        <v>65</v>
      </c>
      <c r="E100" s="4">
        <v>1</v>
      </c>
      <c r="F100" s="4">
        <v>50</v>
      </c>
      <c r="G100" s="10">
        <f t="shared" si="19"/>
        <v>9.8666666666666671</v>
      </c>
      <c r="H100" s="4">
        <v>50</v>
      </c>
      <c r="I100" s="5">
        <f t="shared" si="26"/>
        <v>641.33333333333337</v>
      </c>
      <c r="J100" s="5">
        <f t="shared" si="27"/>
        <v>591.33333333333337</v>
      </c>
      <c r="K100">
        <v>34</v>
      </c>
      <c r="N100" s="51">
        <f>415.5+297.49</f>
        <v>712.99</v>
      </c>
      <c r="P100" t="s">
        <v>948</v>
      </c>
    </row>
    <row r="101" spans="1:17" ht="19" hidden="1">
      <c r="A101" s="91" t="s">
        <v>1105</v>
      </c>
      <c r="B101" s="8">
        <f>SUM(B102:B108)</f>
        <v>0</v>
      </c>
      <c r="C101" s="8">
        <f>SUM(C102:C108)</f>
        <v>0</v>
      </c>
      <c r="D101" s="8">
        <f>SUM(D102)</f>
        <v>45</v>
      </c>
      <c r="E101" s="8">
        <f>SUM(E102:E170)</f>
        <v>73</v>
      </c>
      <c r="F101" s="8">
        <f>SUM(F102:F107)</f>
        <v>300</v>
      </c>
      <c r="G101" s="93">
        <f t="shared" si="19"/>
        <v>0</v>
      </c>
      <c r="H101" s="8">
        <f>SUM(H102:H108)</f>
        <v>0</v>
      </c>
      <c r="I101" s="9">
        <f>SUM(I102:I108)</f>
        <v>0</v>
      </c>
      <c r="J101" s="14">
        <f>SUM(J102:J108)</f>
        <v>0</v>
      </c>
      <c r="K101" s="8">
        <f>SUM(K102:K108)</f>
        <v>0</v>
      </c>
      <c r="L101" s="9">
        <v>0</v>
      </c>
      <c r="M101" s="96">
        <f>J101</f>
        <v>0</v>
      </c>
      <c r="N101" s="102">
        <f>SUM(N102:N108)</f>
        <v>0</v>
      </c>
      <c r="O101" s="98">
        <f>-N101</f>
        <v>0</v>
      </c>
      <c r="P101" s="86"/>
      <c r="Q101" s="86"/>
    </row>
    <row r="102" spans="1:17" hidden="1">
      <c r="A102" s="80">
        <v>46146</v>
      </c>
      <c r="B102" s="4"/>
      <c r="C102" s="4"/>
      <c r="D102" s="4">
        <v>45</v>
      </c>
      <c r="E102" s="4">
        <v>0</v>
      </c>
      <c r="F102" s="4">
        <v>50</v>
      </c>
      <c r="G102" s="10">
        <f t="shared" si="19"/>
        <v>0</v>
      </c>
      <c r="H102" s="4"/>
      <c r="I102" s="5">
        <f t="shared" ref="I102:I108" si="28">G102*D102</f>
        <v>0</v>
      </c>
      <c r="J102" s="5">
        <f t="shared" ref="J102:J108" si="29">I102-H102</f>
        <v>0</v>
      </c>
      <c r="N102" s="51">
        <v>0</v>
      </c>
      <c r="O102" s="51"/>
    </row>
    <row r="103" spans="1:17" hidden="1">
      <c r="A103" s="80">
        <v>46147</v>
      </c>
      <c r="B103" s="4"/>
      <c r="C103" s="4"/>
      <c r="D103" s="4">
        <v>45</v>
      </c>
      <c r="E103" s="4">
        <v>1</v>
      </c>
      <c r="F103" s="4">
        <v>50</v>
      </c>
      <c r="G103" s="10">
        <f t="shared" si="19"/>
        <v>0</v>
      </c>
      <c r="H103" s="4"/>
      <c r="I103" s="5">
        <f t="shared" si="28"/>
        <v>0</v>
      </c>
      <c r="J103" s="5">
        <f t="shared" si="29"/>
        <v>0</v>
      </c>
      <c r="N103" s="51">
        <v>0</v>
      </c>
    </row>
    <row r="104" spans="1:17" hidden="1">
      <c r="A104" s="80">
        <v>46148</v>
      </c>
      <c r="B104" s="4"/>
      <c r="C104" s="4"/>
      <c r="D104" s="4">
        <v>45</v>
      </c>
      <c r="E104" s="4">
        <v>1</v>
      </c>
      <c r="F104" s="4">
        <v>50</v>
      </c>
      <c r="G104" s="10">
        <f t="shared" si="19"/>
        <v>0</v>
      </c>
      <c r="H104" s="4"/>
      <c r="I104" s="5">
        <f t="shared" si="28"/>
        <v>0</v>
      </c>
      <c r="J104" s="5">
        <f t="shared" si="29"/>
        <v>0</v>
      </c>
      <c r="N104" s="51">
        <v>0</v>
      </c>
      <c r="Q104" t="s">
        <v>64</v>
      </c>
    </row>
    <row r="105" spans="1:17" hidden="1">
      <c r="A105" s="80">
        <v>46149</v>
      </c>
      <c r="B105" s="4"/>
      <c r="C105" s="4"/>
      <c r="D105" s="4">
        <v>45</v>
      </c>
      <c r="E105" s="4">
        <v>1</v>
      </c>
      <c r="F105" s="4">
        <v>50</v>
      </c>
      <c r="G105" s="10">
        <f t="shared" si="19"/>
        <v>0</v>
      </c>
      <c r="H105" s="4"/>
      <c r="I105" s="5">
        <f t="shared" si="28"/>
        <v>0</v>
      </c>
      <c r="J105" s="5">
        <f t="shared" si="29"/>
        <v>0</v>
      </c>
      <c r="N105" s="51">
        <v>0</v>
      </c>
    </row>
    <row r="106" spans="1:17" hidden="1">
      <c r="A106" s="80">
        <v>46150</v>
      </c>
      <c r="B106" s="4"/>
      <c r="C106" s="4"/>
      <c r="D106" s="4">
        <v>45</v>
      </c>
      <c r="E106" s="4">
        <v>1</v>
      </c>
      <c r="F106" s="4">
        <v>50</v>
      </c>
      <c r="G106" s="10">
        <f t="shared" si="19"/>
        <v>0</v>
      </c>
      <c r="H106" s="4"/>
      <c r="I106" s="5">
        <f t="shared" si="28"/>
        <v>0</v>
      </c>
      <c r="J106" s="5">
        <f t="shared" si="29"/>
        <v>0</v>
      </c>
      <c r="N106" s="51">
        <v>0</v>
      </c>
    </row>
    <row r="107" spans="1:17" hidden="1">
      <c r="A107" s="80">
        <v>46151</v>
      </c>
      <c r="B107" s="4"/>
      <c r="C107" s="4"/>
      <c r="D107" s="4">
        <v>45</v>
      </c>
      <c r="E107" s="4">
        <v>0</v>
      </c>
      <c r="F107" s="4">
        <v>50</v>
      </c>
      <c r="G107" s="10">
        <f t="shared" si="19"/>
        <v>0</v>
      </c>
      <c r="H107" s="4"/>
      <c r="I107" s="5">
        <f t="shared" si="28"/>
        <v>0</v>
      </c>
      <c r="J107" s="5">
        <f t="shared" si="29"/>
        <v>0</v>
      </c>
      <c r="N107" s="51">
        <v>0</v>
      </c>
    </row>
    <row r="108" spans="1:17" hidden="1">
      <c r="A108" s="80">
        <v>46152</v>
      </c>
      <c r="B108" s="4"/>
      <c r="C108" s="4"/>
      <c r="D108" s="4">
        <v>45</v>
      </c>
      <c r="E108" s="4">
        <v>0</v>
      </c>
      <c r="F108" s="4">
        <v>50</v>
      </c>
      <c r="G108" s="10">
        <f t="shared" si="19"/>
        <v>0</v>
      </c>
      <c r="H108" s="4"/>
      <c r="I108" s="5">
        <f t="shared" si="28"/>
        <v>0</v>
      </c>
      <c r="J108" s="5">
        <f t="shared" si="29"/>
        <v>0</v>
      </c>
      <c r="N108" s="51">
        <v>0</v>
      </c>
    </row>
    <row r="109" spans="1:17" ht="19">
      <c r="A109" s="91" t="s">
        <v>505</v>
      </c>
      <c r="B109" s="8">
        <f>SUM(B110:B115)</f>
        <v>42</v>
      </c>
      <c r="C109" s="8">
        <f>SUM(C110:C115)</f>
        <v>241</v>
      </c>
      <c r="D109" s="8">
        <v>45</v>
      </c>
      <c r="E109" s="8">
        <f>SUM(E110:E115)</f>
        <v>5</v>
      </c>
      <c r="F109" s="8">
        <f>SUM(F110:F115)</f>
        <v>300</v>
      </c>
      <c r="G109" s="93">
        <f t="shared" ref="G109:G138" si="30">B109+C109/60</f>
        <v>46.016666666666666</v>
      </c>
      <c r="H109" s="8">
        <f>SUM(H110:H115)</f>
        <v>250</v>
      </c>
      <c r="I109" s="9">
        <f>SUM(I110:I115)</f>
        <v>2277.25</v>
      </c>
      <c r="J109" s="14">
        <f>SUM(J110:J115)</f>
        <v>2027.25</v>
      </c>
      <c r="K109" s="8">
        <f>SUM(K110:K115)</f>
        <v>133</v>
      </c>
      <c r="L109" s="9">
        <v>0</v>
      </c>
      <c r="M109" s="96">
        <f>J109</f>
        <v>2027.25</v>
      </c>
      <c r="N109" s="102">
        <f>SUM(N110:N115)</f>
        <v>2818</v>
      </c>
      <c r="O109" s="98">
        <f>2818-N109</f>
        <v>0</v>
      </c>
      <c r="P109" s="86"/>
      <c r="Q109" s="86"/>
    </row>
    <row r="110" spans="1:17">
      <c r="A110" s="80">
        <v>46147</v>
      </c>
      <c r="B110" s="4">
        <v>9</v>
      </c>
      <c r="C110" s="4">
        <v>45</v>
      </c>
      <c r="D110" s="4">
        <v>55</v>
      </c>
      <c r="E110" s="4">
        <v>1</v>
      </c>
      <c r="F110" s="4">
        <v>50</v>
      </c>
      <c r="G110" s="10">
        <f t="shared" si="30"/>
        <v>9.75</v>
      </c>
      <c r="H110" s="4">
        <v>50</v>
      </c>
      <c r="I110" s="5">
        <f t="shared" ref="I110:I115" si="31">G110*D110</f>
        <v>536.25</v>
      </c>
      <c r="J110" s="5">
        <f t="shared" ref="J110:J115" si="32">I110-H110</f>
        <v>486.25</v>
      </c>
      <c r="K110">
        <v>30</v>
      </c>
      <c r="N110" s="51">
        <v>518</v>
      </c>
      <c r="O110" s="51"/>
      <c r="P110" t="s">
        <v>1106</v>
      </c>
    </row>
    <row r="111" spans="1:17">
      <c r="A111" s="80">
        <v>46148</v>
      </c>
      <c r="B111" s="4">
        <v>10</v>
      </c>
      <c r="C111" s="4">
        <v>54</v>
      </c>
      <c r="D111" s="4">
        <v>55</v>
      </c>
      <c r="E111" s="4">
        <v>1</v>
      </c>
      <c r="F111" s="4">
        <v>50</v>
      </c>
      <c r="G111" s="10">
        <f t="shared" si="30"/>
        <v>10.9</v>
      </c>
      <c r="H111" s="4">
        <v>50</v>
      </c>
      <c r="I111" s="5">
        <f t="shared" si="31"/>
        <v>599.5</v>
      </c>
      <c r="J111" s="5">
        <f t="shared" si="32"/>
        <v>549.5</v>
      </c>
      <c r="K111">
        <v>30</v>
      </c>
      <c r="N111" s="51">
        <f>608</f>
        <v>608</v>
      </c>
    </row>
    <row r="112" spans="1:17">
      <c r="A112" s="80">
        <v>46149</v>
      </c>
      <c r="B112" s="4">
        <v>7</v>
      </c>
      <c r="C112" s="4">
        <v>46</v>
      </c>
      <c r="D112" s="4">
        <v>45</v>
      </c>
      <c r="E112" s="4">
        <v>1</v>
      </c>
      <c r="F112" s="4">
        <v>50</v>
      </c>
      <c r="G112" s="10">
        <f t="shared" si="30"/>
        <v>7.7666666666666666</v>
      </c>
      <c r="H112" s="4">
        <v>50</v>
      </c>
      <c r="I112" s="5">
        <f t="shared" si="31"/>
        <v>349.5</v>
      </c>
      <c r="J112" s="5">
        <f t="shared" si="32"/>
        <v>299.5</v>
      </c>
      <c r="K112">
        <v>24</v>
      </c>
      <c r="N112" s="51">
        <f>432</f>
        <v>432</v>
      </c>
      <c r="P112" t="s">
        <v>1107</v>
      </c>
    </row>
    <row r="113" spans="1:17">
      <c r="A113" s="80">
        <v>46150</v>
      </c>
      <c r="B113" s="4">
        <v>8</v>
      </c>
      <c r="C113" s="4">
        <v>38</v>
      </c>
      <c r="D113" s="4">
        <v>45</v>
      </c>
      <c r="E113" s="4">
        <v>1</v>
      </c>
      <c r="F113" s="4">
        <v>50</v>
      </c>
      <c r="G113" s="10">
        <f t="shared" si="30"/>
        <v>8.6333333333333329</v>
      </c>
      <c r="H113" s="4">
        <v>50</v>
      </c>
      <c r="I113" s="5">
        <f t="shared" si="31"/>
        <v>388.5</v>
      </c>
      <c r="J113" s="5">
        <f t="shared" si="32"/>
        <v>338.5</v>
      </c>
      <c r="K113">
        <v>24</v>
      </c>
      <c r="N113" s="51">
        <f>654</f>
        <v>654</v>
      </c>
      <c r="P113" t="s">
        <v>923</v>
      </c>
    </row>
    <row r="114" spans="1:17">
      <c r="A114" s="80">
        <v>46151</v>
      </c>
      <c r="B114" s="4">
        <v>8</v>
      </c>
      <c r="C114" s="4">
        <v>58</v>
      </c>
      <c r="D114" s="4">
        <v>45</v>
      </c>
      <c r="E114" s="4">
        <v>1</v>
      </c>
      <c r="F114" s="4">
        <v>50</v>
      </c>
      <c r="G114" s="10">
        <f t="shared" si="30"/>
        <v>8.9666666666666668</v>
      </c>
      <c r="H114" s="4">
        <v>50</v>
      </c>
      <c r="I114" s="5">
        <f t="shared" si="31"/>
        <v>403.5</v>
      </c>
      <c r="J114" s="5">
        <f t="shared" si="32"/>
        <v>353.5</v>
      </c>
      <c r="K114">
        <v>25</v>
      </c>
      <c r="N114" s="51">
        <v>606</v>
      </c>
      <c r="P114" t="s">
        <v>1108</v>
      </c>
    </row>
    <row r="115" spans="1:17">
      <c r="A115" s="80">
        <v>46152</v>
      </c>
      <c r="B115" s="4">
        <v>0</v>
      </c>
      <c r="C115" s="4">
        <v>0</v>
      </c>
      <c r="D115" s="4">
        <v>45</v>
      </c>
      <c r="E115" s="4">
        <v>0</v>
      </c>
      <c r="F115" s="4">
        <v>50</v>
      </c>
      <c r="G115" s="10">
        <f t="shared" si="30"/>
        <v>0</v>
      </c>
      <c r="H115" s="4">
        <v>0</v>
      </c>
      <c r="I115" s="5">
        <f t="shared" si="31"/>
        <v>0</v>
      </c>
      <c r="J115" s="5">
        <f t="shared" si="32"/>
        <v>0</v>
      </c>
      <c r="K115">
        <v>0</v>
      </c>
      <c r="N115" s="51">
        <v>0</v>
      </c>
    </row>
    <row r="116" spans="1:17" ht="19">
      <c r="A116" s="91" t="s">
        <v>870</v>
      </c>
      <c r="B116" s="8">
        <f>SUM(B117:B122)</f>
        <v>43</v>
      </c>
      <c r="C116" s="8">
        <f>SUM(C117:C122)</f>
        <v>90</v>
      </c>
      <c r="D116" s="8">
        <v>45</v>
      </c>
      <c r="E116" s="8">
        <f>SUM(E117:E122)</f>
        <v>5</v>
      </c>
      <c r="F116" s="8">
        <f>SUM(F117:F122)</f>
        <v>250</v>
      </c>
      <c r="G116" s="93">
        <f t="shared" si="30"/>
        <v>44.5</v>
      </c>
      <c r="H116" s="8">
        <f>SUM(H117:H122)</f>
        <v>250</v>
      </c>
      <c r="I116" s="14">
        <f>SUM(I117:I122)</f>
        <v>2625.6666666666665</v>
      </c>
      <c r="J116" s="14">
        <f>SUM(J117:J122)</f>
        <v>2375.6666666666665</v>
      </c>
      <c r="K116" s="8">
        <f>SUM(K117:K122)</f>
        <v>149</v>
      </c>
      <c r="L116" s="9">
        <v>0</v>
      </c>
      <c r="M116" s="96">
        <f>J116</f>
        <v>2375.6666666666665</v>
      </c>
      <c r="N116" s="102">
        <f>SUM(N117:N122)</f>
        <v>2812</v>
      </c>
      <c r="O116" s="98">
        <f>3120-N116</f>
        <v>308</v>
      </c>
      <c r="P116" s="86"/>
      <c r="Q116" s="86"/>
    </row>
    <row r="117" spans="1:17">
      <c r="A117" s="80" t="s">
        <v>1058</v>
      </c>
      <c r="B117" s="4">
        <v>9</v>
      </c>
      <c r="C117" s="4">
        <v>15</v>
      </c>
      <c r="D117" s="4">
        <v>55</v>
      </c>
      <c r="E117" s="4">
        <v>1</v>
      </c>
      <c r="F117" s="4">
        <v>50</v>
      </c>
      <c r="G117" s="10">
        <f t="shared" si="30"/>
        <v>9.25</v>
      </c>
      <c r="H117" s="4">
        <v>50</v>
      </c>
      <c r="I117" s="5">
        <f t="shared" ref="I117:I122" si="33">G117*D117</f>
        <v>508.75</v>
      </c>
      <c r="J117" s="5">
        <f t="shared" ref="J117:J122" si="34">I117-H117</f>
        <v>458.75</v>
      </c>
      <c r="K117">
        <v>30</v>
      </c>
      <c r="N117" s="51">
        <v>650</v>
      </c>
      <c r="O117" s="51"/>
      <c r="P117" t="s">
        <v>1109</v>
      </c>
    </row>
    <row r="118" spans="1:17">
      <c r="A118" s="80" t="s">
        <v>1059</v>
      </c>
      <c r="B118" s="4">
        <v>8</v>
      </c>
      <c r="C118" s="4">
        <v>38</v>
      </c>
      <c r="D118" s="4">
        <v>65</v>
      </c>
      <c r="E118" s="4">
        <v>1</v>
      </c>
      <c r="F118" s="4">
        <v>50</v>
      </c>
      <c r="G118" s="10">
        <f t="shared" si="30"/>
        <v>8.6333333333333329</v>
      </c>
      <c r="H118" s="4">
        <v>50</v>
      </c>
      <c r="I118" s="5">
        <f t="shared" si="33"/>
        <v>561.16666666666663</v>
      </c>
      <c r="J118" s="5">
        <f t="shared" si="34"/>
        <v>511.16666666666663</v>
      </c>
      <c r="K118">
        <v>32</v>
      </c>
      <c r="N118" s="51">
        <v>540</v>
      </c>
      <c r="P118" t="s">
        <v>1110</v>
      </c>
    </row>
    <row r="119" spans="1:17">
      <c r="A119" s="80" t="s">
        <v>1060</v>
      </c>
      <c r="B119" s="4">
        <v>9</v>
      </c>
      <c r="C119" s="4">
        <v>11</v>
      </c>
      <c r="D119" s="4">
        <v>65</v>
      </c>
      <c r="E119" s="4">
        <v>1</v>
      </c>
      <c r="F119" s="4">
        <v>50</v>
      </c>
      <c r="G119" s="10">
        <f t="shared" si="30"/>
        <v>9.1833333333333336</v>
      </c>
      <c r="H119" s="4">
        <v>50</v>
      </c>
      <c r="I119" s="5">
        <f t="shared" si="33"/>
        <v>596.91666666666663</v>
      </c>
      <c r="J119" s="5">
        <f t="shared" si="34"/>
        <v>546.91666666666663</v>
      </c>
      <c r="K119">
        <v>33</v>
      </c>
      <c r="N119" s="51">
        <v>560</v>
      </c>
      <c r="P119" t="s">
        <v>1044</v>
      </c>
    </row>
    <row r="120" spans="1:17">
      <c r="A120" s="80" t="s">
        <v>1061</v>
      </c>
      <c r="B120" s="4">
        <v>9</v>
      </c>
      <c r="C120" s="4">
        <v>9</v>
      </c>
      <c r="D120" s="4">
        <v>55</v>
      </c>
      <c r="E120" s="4">
        <v>1</v>
      </c>
      <c r="F120" s="4">
        <v>50</v>
      </c>
      <c r="G120" s="10">
        <f t="shared" si="30"/>
        <v>9.15</v>
      </c>
      <c r="H120" s="4">
        <v>50</v>
      </c>
      <c r="I120" s="5">
        <f t="shared" si="33"/>
        <v>503.25</v>
      </c>
      <c r="J120" s="5">
        <f t="shared" si="34"/>
        <v>453.25</v>
      </c>
      <c r="K120">
        <v>27</v>
      </c>
      <c r="N120" s="51">
        <f>340+252</f>
        <v>592</v>
      </c>
      <c r="P120" t="s">
        <v>1111</v>
      </c>
    </row>
    <row r="121" spans="1:17">
      <c r="A121" s="80" t="s">
        <v>1063</v>
      </c>
      <c r="B121" s="4">
        <v>8</v>
      </c>
      <c r="C121" s="4">
        <v>17</v>
      </c>
      <c r="D121" s="4">
        <v>55</v>
      </c>
      <c r="E121" s="4">
        <v>1</v>
      </c>
      <c r="F121" s="4">
        <v>50</v>
      </c>
      <c r="G121" s="10">
        <f t="shared" si="30"/>
        <v>8.2833333333333332</v>
      </c>
      <c r="H121" s="4">
        <v>50</v>
      </c>
      <c r="I121" s="5">
        <f t="shared" si="33"/>
        <v>455.58333333333331</v>
      </c>
      <c r="J121" s="5">
        <f t="shared" si="34"/>
        <v>405.58333333333331</v>
      </c>
      <c r="K121">
        <v>27</v>
      </c>
      <c r="N121" s="51">
        <f>470</f>
        <v>470</v>
      </c>
      <c r="P121" t="s">
        <v>1112</v>
      </c>
    </row>
    <row r="122" spans="1:17">
      <c r="A122" s="80" t="s">
        <v>1065</v>
      </c>
      <c r="B122" s="4">
        <v>0</v>
      </c>
      <c r="C122" s="4">
        <v>0</v>
      </c>
      <c r="D122" s="4">
        <v>45</v>
      </c>
      <c r="E122" s="4">
        <v>0</v>
      </c>
      <c r="F122" s="4">
        <v>0</v>
      </c>
      <c r="G122" s="10">
        <f t="shared" si="30"/>
        <v>0</v>
      </c>
      <c r="H122" s="4">
        <v>0</v>
      </c>
      <c r="I122" s="5">
        <f t="shared" si="33"/>
        <v>0</v>
      </c>
      <c r="J122" s="5">
        <f t="shared" si="34"/>
        <v>0</v>
      </c>
      <c r="K122">
        <v>0</v>
      </c>
      <c r="N122" s="51">
        <v>0</v>
      </c>
    </row>
    <row r="123" spans="1:17" ht="19">
      <c r="A123" s="91" t="s">
        <v>518</v>
      </c>
      <c r="B123" s="8">
        <f>SUM(B124:B129)</f>
        <v>59</v>
      </c>
      <c r="C123" s="8">
        <f>SUM(C124:C129)</f>
        <v>183</v>
      </c>
      <c r="D123" s="8">
        <f>SUM(D124)</f>
        <v>45</v>
      </c>
      <c r="E123" s="8">
        <f>SUM(E124:E129)</f>
        <v>6</v>
      </c>
      <c r="F123" s="8">
        <f>SUM(F124:F129)</f>
        <v>300</v>
      </c>
      <c r="G123" s="93">
        <f t="shared" si="30"/>
        <v>62.05</v>
      </c>
      <c r="H123" s="8">
        <f>SUM(H124:H130)</f>
        <v>300</v>
      </c>
      <c r="I123" s="9">
        <f>SUM(I124:I129)</f>
        <v>3223.25</v>
      </c>
      <c r="J123" s="14">
        <f>SUM(J124:J129)</f>
        <v>2923.25</v>
      </c>
      <c r="K123" s="8">
        <f>SUM(K124:K129)</f>
        <v>164</v>
      </c>
      <c r="L123" s="9">
        <v>0</v>
      </c>
      <c r="M123" s="96">
        <f>J123</f>
        <v>2923.25</v>
      </c>
      <c r="N123" s="102">
        <f>SUM(N124:N130)</f>
        <v>3896</v>
      </c>
      <c r="O123" s="98">
        <f>4246-N123</f>
        <v>350</v>
      </c>
      <c r="P123" s="86"/>
      <c r="Q123" s="86"/>
    </row>
    <row r="124" spans="1:17">
      <c r="A124" s="80">
        <v>46146</v>
      </c>
      <c r="B124" s="4">
        <v>8</v>
      </c>
      <c r="C124" s="4">
        <v>35</v>
      </c>
      <c r="D124" s="4">
        <v>45</v>
      </c>
      <c r="E124" s="4">
        <v>1</v>
      </c>
      <c r="F124" s="4">
        <v>50</v>
      </c>
      <c r="G124" s="10">
        <f t="shared" si="30"/>
        <v>8.5833333333333339</v>
      </c>
      <c r="H124" s="4">
        <v>50</v>
      </c>
      <c r="I124" s="5">
        <f t="shared" ref="I124:I130" si="35">G124*D124</f>
        <v>386.25</v>
      </c>
      <c r="J124" s="5">
        <f t="shared" ref="J124:J130" si="36">I124-H124</f>
        <v>336.25</v>
      </c>
      <c r="K124">
        <v>23</v>
      </c>
      <c r="N124" s="51">
        <f>357</f>
        <v>357</v>
      </c>
      <c r="O124" s="51"/>
      <c r="P124" t="s">
        <v>855</v>
      </c>
    </row>
    <row r="125" spans="1:17">
      <c r="A125" s="80">
        <v>46147</v>
      </c>
      <c r="B125" s="4">
        <v>10</v>
      </c>
      <c r="C125" s="4">
        <v>58</v>
      </c>
      <c r="D125" s="4">
        <v>55</v>
      </c>
      <c r="E125" s="4">
        <v>1</v>
      </c>
      <c r="F125" s="4">
        <v>50</v>
      </c>
      <c r="G125" s="10">
        <f t="shared" si="30"/>
        <v>10.966666666666667</v>
      </c>
      <c r="H125" s="4">
        <v>50</v>
      </c>
      <c r="I125" s="5">
        <f t="shared" si="35"/>
        <v>603.16666666666663</v>
      </c>
      <c r="J125" s="5">
        <f t="shared" si="36"/>
        <v>553.16666666666663</v>
      </c>
      <c r="K125">
        <v>27</v>
      </c>
      <c r="N125" s="51">
        <v>933</v>
      </c>
      <c r="P125" t="s">
        <v>1113</v>
      </c>
    </row>
    <row r="126" spans="1:17">
      <c r="A126" s="80">
        <v>46148</v>
      </c>
      <c r="B126" s="4">
        <v>11</v>
      </c>
      <c r="C126" s="4">
        <v>0</v>
      </c>
      <c r="D126" s="4">
        <v>45</v>
      </c>
      <c r="E126" s="4">
        <v>1</v>
      </c>
      <c r="F126" s="4">
        <v>50</v>
      </c>
      <c r="G126" s="10">
        <f t="shared" si="30"/>
        <v>11</v>
      </c>
      <c r="H126" s="4">
        <v>50</v>
      </c>
      <c r="I126" s="5">
        <f t="shared" si="35"/>
        <v>495</v>
      </c>
      <c r="J126" s="5">
        <f t="shared" si="36"/>
        <v>445</v>
      </c>
      <c r="K126">
        <v>23</v>
      </c>
      <c r="N126" s="83">
        <f>625</f>
        <v>625</v>
      </c>
    </row>
    <row r="127" spans="1:17">
      <c r="A127" s="80">
        <v>46149</v>
      </c>
      <c r="B127" s="4">
        <v>11</v>
      </c>
      <c r="C127" s="4">
        <v>0</v>
      </c>
      <c r="D127" s="4">
        <v>55</v>
      </c>
      <c r="E127" s="4">
        <v>1</v>
      </c>
      <c r="F127" s="4">
        <v>50</v>
      </c>
      <c r="G127" s="10">
        <f t="shared" si="30"/>
        <v>11</v>
      </c>
      <c r="H127" s="4">
        <v>50</v>
      </c>
      <c r="I127" s="5">
        <f t="shared" si="35"/>
        <v>605</v>
      </c>
      <c r="J127" s="5">
        <f t="shared" si="36"/>
        <v>555</v>
      </c>
      <c r="K127">
        <v>30</v>
      </c>
      <c r="N127" s="51">
        <v>605</v>
      </c>
    </row>
    <row r="128" spans="1:17">
      <c r="A128" s="80">
        <v>46150</v>
      </c>
      <c r="B128" s="4">
        <v>9</v>
      </c>
      <c r="C128" s="4">
        <v>56</v>
      </c>
      <c r="D128" s="4">
        <v>45</v>
      </c>
      <c r="E128" s="4">
        <v>1</v>
      </c>
      <c r="F128" s="4">
        <v>50</v>
      </c>
      <c r="G128" s="10">
        <f t="shared" si="30"/>
        <v>9.9333333333333336</v>
      </c>
      <c r="H128" s="4">
        <v>50</v>
      </c>
      <c r="I128" s="5">
        <f t="shared" si="35"/>
        <v>447</v>
      </c>
      <c r="J128" s="5">
        <f t="shared" si="36"/>
        <v>397</v>
      </c>
      <c r="K128">
        <v>26</v>
      </c>
      <c r="N128" s="51">
        <f>479+150</f>
        <v>629</v>
      </c>
      <c r="P128" t="s">
        <v>1114</v>
      </c>
    </row>
    <row r="129" spans="1:17">
      <c r="A129" s="80">
        <v>46151</v>
      </c>
      <c r="B129" s="4">
        <v>10</v>
      </c>
      <c r="C129" s="4">
        <v>34</v>
      </c>
      <c r="D129" s="4">
        <v>65</v>
      </c>
      <c r="E129" s="4">
        <v>1</v>
      </c>
      <c r="F129" s="4">
        <v>50</v>
      </c>
      <c r="G129" s="10">
        <f t="shared" si="30"/>
        <v>10.566666666666666</v>
      </c>
      <c r="H129" s="4">
        <v>50</v>
      </c>
      <c r="I129" s="5">
        <f t="shared" si="35"/>
        <v>686.83333333333337</v>
      </c>
      <c r="J129" s="5">
        <f t="shared" si="36"/>
        <v>636.83333333333337</v>
      </c>
      <c r="K129">
        <v>35</v>
      </c>
      <c r="N129" s="51">
        <v>747</v>
      </c>
    </row>
    <row r="130" spans="1:17">
      <c r="A130" s="80">
        <v>46152</v>
      </c>
      <c r="B130" s="4">
        <v>0</v>
      </c>
      <c r="C130" s="4">
        <v>0</v>
      </c>
      <c r="D130" s="4">
        <v>45</v>
      </c>
      <c r="E130" s="4">
        <v>0</v>
      </c>
      <c r="F130" s="4">
        <v>0</v>
      </c>
      <c r="G130" s="10">
        <f t="shared" si="30"/>
        <v>0</v>
      </c>
      <c r="H130" s="4">
        <v>0</v>
      </c>
      <c r="I130" s="5">
        <f t="shared" si="35"/>
        <v>0</v>
      </c>
      <c r="J130" s="5">
        <f t="shared" si="36"/>
        <v>0</v>
      </c>
      <c r="K130">
        <v>0</v>
      </c>
      <c r="N130" s="51">
        <v>0</v>
      </c>
    </row>
    <row r="131" spans="1:17" ht="19">
      <c r="A131" s="91" t="s">
        <v>519</v>
      </c>
      <c r="B131" s="8">
        <f>SUM(B132:B137)</f>
        <v>0</v>
      </c>
      <c r="C131" s="8">
        <f>SUM(C132:C137)</f>
        <v>0</v>
      </c>
      <c r="D131" s="8">
        <f>SUM(D132)</f>
        <v>55</v>
      </c>
      <c r="E131" s="8">
        <f>SUM(E132:E137)</f>
        <v>0</v>
      </c>
      <c r="F131" s="8">
        <f>SUM(F132:F137)</f>
        <v>300</v>
      </c>
      <c r="G131" s="93">
        <f t="shared" si="30"/>
        <v>0</v>
      </c>
      <c r="H131" s="8">
        <f>SUM(H132:H138)</f>
        <v>0</v>
      </c>
      <c r="I131" s="9">
        <f>SUM(I132:I138)</f>
        <v>0</v>
      </c>
      <c r="J131" s="9">
        <f>SUM(J132:J138)</f>
        <v>0</v>
      </c>
      <c r="K131" s="8">
        <f>SUM(K132:K138)</f>
        <v>0</v>
      </c>
      <c r="L131" s="9">
        <v>0</v>
      </c>
      <c r="M131" s="96">
        <f>J131</f>
        <v>0</v>
      </c>
      <c r="N131" s="102">
        <f>SUM(N132:N138)</f>
        <v>0</v>
      </c>
      <c r="O131" s="98">
        <f>-N131</f>
        <v>0</v>
      </c>
      <c r="P131" s="86"/>
      <c r="Q131" s="86"/>
    </row>
    <row r="132" spans="1:17">
      <c r="A132" s="80">
        <v>46146</v>
      </c>
      <c r="B132" s="4"/>
      <c r="C132" s="4"/>
      <c r="D132" s="4">
        <v>55</v>
      </c>
      <c r="E132" s="4">
        <v>0</v>
      </c>
      <c r="F132" s="4">
        <v>50</v>
      </c>
      <c r="G132" s="10">
        <f t="shared" si="30"/>
        <v>0</v>
      </c>
      <c r="H132" s="4">
        <v>0</v>
      </c>
      <c r="I132" s="5">
        <f t="shared" ref="I132:I138" si="37">G132*D132</f>
        <v>0</v>
      </c>
      <c r="J132" s="5">
        <f t="shared" ref="J132:J138" si="38">I132-H132</f>
        <v>0</v>
      </c>
      <c r="N132" s="51">
        <v>0</v>
      </c>
      <c r="O132" s="51"/>
    </row>
    <row r="133" spans="1:17">
      <c r="A133" s="80">
        <v>46147</v>
      </c>
      <c r="B133" s="4"/>
      <c r="C133" s="4"/>
      <c r="D133" s="4">
        <v>45</v>
      </c>
      <c r="E133" s="4">
        <v>0</v>
      </c>
      <c r="F133" s="4">
        <v>50</v>
      </c>
      <c r="G133" s="10">
        <f t="shared" si="30"/>
        <v>0</v>
      </c>
      <c r="H133" s="4">
        <v>0</v>
      </c>
      <c r="I133" s="5">
        <f t="shared" si="37"/>
        <v>0</v>
      </c>
      <c r="J133" s="5">
        <f t="shared" si="38"/>
        <v>0</v>
      </c>
      <c r="N133" s="51">
        <v>0</v>
      </c>
    </row>
    <row r="134" spans="1:17">
      <c r="A134" s="80">
        <v>46148</v>
      </c>
      <c r="B134" s="4"/>
      <c r="C134" s="4"/>
      <c r="D134" s="4">
        <v>45</v>
      </c>
      <c r="E134" s="4">
        <v>0</v>
      </c>
      <c r="F134" s="4">
        <v>50</v>
      </c>
      <c r="G134" s="10">
        <f t="shared" si="30"/>
        <v>0</v>
      </c>
      <c r="H134" s="4">
        <v>0</v>
      </c>
      <c r="I134" s="5">
        <f t="shared" si="37"/>
        <v>0</v>
      </c>
      <c r="J134" s="5">
        <f t="shared" si="38"/>
        <v>0</v>
      </c>
      <c r="N134" s="83">
        <v>0</v>
      </c>
    </row>
    <row r="135" spans="1:17">
      <c r="A135" s="80">
        <v>46149</v>
      </c>
      <c r="B135" s="4"/>
      <c r="C135" s="4"/>
      <c r="D135" s="4">
        <v>65</v>
      </c>
      <c r="E135" s="4">
        <v>0</v>
      </c>
      <c r="F135" s="4">
        <v>50</v>
      </c>
      <c r="G135" s="10">
        <f t="shared" si="30"/>
        <v>0</v>
      </c>
      <c r="H135" s="4">
        <v>0</v>
      </c>
      <c r="I135" s="5">
        <f t="shared" si="37"/>
        <v>0</v>
      </c>
      <c r="J135" s="5">
        <f t="shared" si="38"/>
        <v>0</v>
      </c>
      <c r="N135" s="51">
        <v>0</v>
      </c>
    </row>
    <row r="136" spans="1:17">
      <c r="A136" s="80">
        <v>46150</v>
      </c>
      <c r="B136" s="4"/>
      <c r="C136" s="4"/>
      <c r="D136" s="4">
        <v>45</v>
      </c>
      <c r="E136" s="4">
        <v>0</v>
      </c>
      <c r="F136" s="4">
        <v>50</v>
      </c>
      <c r="G136" s="10">
        <f t="shared" si="30"/>
        <v>0</v>
      </c>
      <c r="H136" s="4">
        <v>0</v>
      </c>
      <c r="I136" s="5">
        <f t="shared" si="37"/>
        <v>0</v>
      </c>
      <c r="J136" s="5">
        <f t="shared" si="38"/>
        <v>0</v>
      </c>
      <c r="N136" s="51">
        <v>0</v>
      </c>
    </row>
    <row r="137" spans="1:17">
      <c r="A137" s="80">
        <v>46151</v>
      </c>
      <c r="B137" s="4"/>
      <c r="C137" s="4"/>
      <c r="D137" s="4">
        <v>45</v>
      </c>
      <c r="E137" s="4">
        <v>0</v>
      </c>
      <c r="F137" s="4">
        <v>50</v>
      </c>
      <c r="G137" s="10">
        <f t="shared" si="30"/>
        <v>0</v>
      </c>
      <c r="H137" s="4">
        <v>0</v>
      </c>
      <c r="I137" s="5">
        <f t="shared" si="37"/>
        <v>0</v>
      </c>
      <c r="J137" s="5">
        <f t="shared" si="38"/>
        <v>0</v>
      </c>
      <c r="N137" s="51">
        <v>0</v>
      </c>
    </row>
    <row r="138" spans="1:17">
      <c r="A138" s="80">
        <v>46152</v>
      </c>
      <c r="B138" s="4"/>
      <c r="C138" s="4"/>
      <c r="D138" s="4">
        <v>45</v>
      </c>
      <c r="E138" s="4">
        <v>0</v>
      </c>
      <c r="F138" s="4">
        <v>50</v>
      </c>
      <c r="G138" s="10">
        <f t="shared" si="30"/>
        <v>0</v>
      </c>
      <c r="H138" s="4">
        <v>0</v>
      </c>
      <c r="I138" s="5">
        <f t="shared" si="37"/>
        <v>0</v>
      </c>
      <c r="J138" s="5">
        <f t="shared" si="38"/>
        <v>0</v>
      </c>
      <c r="N138" s="51">
        <v>0</v>
      </c>
    </row>
    <row r="139" spans="1:17" ht="19">
      <c r="A139" s="91" t="s">
        <v>528</v>
      </c>
      <c r="B139" s="8">
        <f>SUM(B140:B146)</f>
        <v>56</v>
      </c>
      <c r="C139" s="8">
        <f>SUM(C140:C146)</f>
        <v>155</v>
      </c>
      <c r="D139" s="8">
        <f>SUM(D140)</f>
        <v>65</v>
      </c>
      <c r="E139" s="8">
        <f>SUM(E140:E145)</f>
        <v>6</v>
      </c>
      <c r="F139" s="8">
        <f>SUM(F140:F145)</f>
        <v>300</v>
      </c>
      <c r="G139" s="93">
        <f t="shared" ref="G139:G176" si="39">B139+C139/60</f>
        <v>58.583333333333336</v>
      </c>
      <c r="H139" s="8">
        <f>SUM(H140:H146)</f>
        <v>300</v>
      </c>
      <c r="I139" s="9">
        <f>SUM(I140:I146)</f>
        <v>3244.916666666667</v>
      </c>
      <c r="J139" s="14">
        <f>SUM(J140:J146)</f>
        <v>2944.916666666667</v>
      </c>
      <c r="K139" s="8">
        <f>SUM(K140:K146)</f>
        <v>172</v>
      </c>
      <c r="L139" s="9">
        <v>0</v>
      </c>
      <c r="M139" s="96">
        <f>J139</f>
        <v>2944.916666666667</v>
      </c>
      <c r="N139" s="102">
        <f>SUM(N140:N146)</f>
        <v>3398</v>
      </c>
      <c r="O139" s="98">
        <f>3626-N139</f>
        <v>228</v>
      </c>
      <c r="P139" s="86"/>
      <c r="Q139" s="86"/>
    </row>
    <row r="140" spans="1:17">
      <c r="A140" s="80">
        <v>46146</v>
      </c>
      <c r="B140" s="4">
        <v>10</v>
      </c>
      <c r="C140" s="4">
        <v>24</v>
      </c>
      <c r="D140" s="4">
        <v>65</v>
      </c>
      <c r="E140" s="4">
        <v>1</v>
      </c>
      <c r="F140" s="4">
        <v>50</v>
      </c>
      <c r="G140" s="10">
        <f t="shared" si="39"/>
        <v>10.4</v>
      </c>
      <c r="H140" s="4">
        <v>50</v>
      </c>
      <c r="I140" s="5">
        <f t="shared" ref="I140:I146" si="40">G140*D140</f>
        <v>676</v>
      </c>
      <c r="J140" s="5">
        <f t="shared" ref="J140:J146" si="41">I140-H140</f>
        <v>626</v>
      </c>
      <c r="K140">
        <v>32</v>
      </c>
      <c r="N140" s="51">
        <v>610</v>
      </c>
      <c r="O140" s="51"/>
    </row>
    <row r="141" spans="1:17">
      <c r="A141" s="80">
        <v>46147</v>
      </c>
      <c r="B141" s="4">
        <v>9</v>
      </c>
      <c r="C141" s="4">
        <v>27</v>
      </c>
      <c r="D141" s="4">
        <v>45</v>
      </c>
      <c r="E141" s="4">
        <v>1</v>
      </c>
      <c r="F141" s="4">
        <v>50</v>
      </c>
      <c r="G141" s="10">
        <f t="shared" si="39"/>
        <v>9.4499999999999993</v>
      </c>
      <c r="H141" s="4">
        <v>50</v>
      </c>
      <c r="I141" s="5">
        <f t="shared" si="40"/>
        <v>425.24999999999994</v>
      </c>
      <c r="J141" s="5">
        <f t="shared" si="41"/>
        <v>375.24999999999994</v>
      </c>
      <c r="K141">
        <v>23</v>
      </c>
      <c r="N141" s="51">
        <v>546</v>
      </c>
    </row>
    <row r="142" spans="1:17">
      <c r="A142" s="80">
        <v>46148</v>
      </c>
      <c r="B142" s="4">
        <v>9</v>
      </c>
      <c r="C142" s="4">
        <v>25</v>
      </c>
      <c r="D142" s="4">
        <v>45</v>
      </c>
      <c r="E142" s="4">
        <v>1</v>
      </c>
      <c r="F142" s="4">
        <v>50</v>
      </c>
      <c r="G142" s="10">
        <f t="shared" si="39"/>
        <v>9.4166666666666661</v>
      </c>
      <c r="H142" s="4">
        <v>50</v>
      </c>
      <c r="I142" s="5">
        <f t="shared" si="40"/>
        <v>423.75</v>
      </c>
      <c r="J142" s="5">
        <f t="shared" si="41"/>
        <v>373.75</v>
      </c>
      <c r="K142">
        <v>24</v>
      </c>
      <c r="N142" s="83">
        <f>470+150</f>
        <v>620</v>
      </c>
      <c r="P142" t="s">
        <v>1115</v>
      </c>
    </row>
    <row r="143" spans="1:17">
      <c r="A143" s="80">
        <v>46149</v>
      </c>
      <c r="B143" s="4">
        <v>10</v>
      </c>
      <c r="C143" s="4">
        <v>19</v>
      </c>
      <c r="D143" s="4">
        <v>65</v>
      </c>
      <c r="E143" s="4">
        <v>1</v>
      </c>
      <c r="F143" s="4">
        <v>50</v>
      </c>
      <c r="G143" s="10">
        <f t="shared" si="39"/>
        <v>10.316666666666666</v>
      </c>
      <c r="H143" s="4">
        <v>50</v>
      </c>
      <c r="I143" s="5">
        <f t="shared" si="40"/>
        <v>670.58333333333337</v>
      </c>
      <c r="J143" s="5">
        <f t="shared" si="41"/>
        <v>620.58333333333337</v>
      </c>
      <c r="K143">
        <v>35</v>
      </c>
      <c r="N143" s="51">
        <f>478</f>
        <v>478</v>
      </c>
      <c r="P143" t="s">
        <v>1116</v>
      </c>
    </row>
    <row r="144" spans="1:17">
      <c r="A144" s="80">
        <v>46150</v>
      </c>
      <c r="B144" s="4">
        <v>9</v>
      </c>
      <c r="C144" s="4">
        <v>17</v>
      </c>
      <c r="D144" s="4">
        <v>45</v>
      </c>
      <c r="E144" s="4">
        <v>1</v>
      </c>
      <c r="F144" s="4">
        <v>50</v>
      </c>
      <c r="G144" s="10">
        <f t="shared" si="39"/>
        <v>9.2833333333333332</v>
      </c>
      <c r="H144" s="4">
        <v>50</v>
      </c>
      <c r="I144" s="5">
        <f t="shared" si="40"/>
        <v>417.75</v>
      </c>
      <c r="J144" s="5">
        <f t="shared" si="41"/>
        <v>367.75</v>
      </c>
      <c r="K144">
        <v>25</v>
      </c>
      <c r="N144" s="51">
        <f>466</f>
        <v>466</v>
      </c>
      <c r="P144" t="s">
        <v>1117</v>
      </c>
    </row>
    <row r="145" spans="1:17">
      <c r="A145" s="80">
        <v>46151</v>
      </c>
      <c r="B145" s="4">
        <v>9</v>
      </c>
      <c r="C145" s="4">
        <v>43</v>
      </c>
      <c r="D145" s="4">
        <v>65</v>
      </c>
      <c r="E145" s="4">
        <v>1</v>
      </c>
      <c r="F145" s="4">
        <v>50</v>
      </c>
      <c r="G145" s="10">
        <f t="shared" si="39"/>
        <v>9.7166666666666668</v>
      </c>
      <c r="H145" s="4">
        <v>50</v>
      </c>
      <c r="I145" s="5">
        <f t="shared" si="40"/>
        <v>631.58333333333337</v>
      </c>
      <c r="J145" s="5">
        <f t="shared" si="41"/>
        <v>581.58333333333337</v>
      </c>
      <c r="K145">
        <v>33</v>
      </c>
      <c r="N145" s="51">
        <v>678</v>
      </c>
    </row>
    <row r="146" spans="1:17">
      <c r="A146" s="80">
        <v>46152</v>
      </c>
      <c r="B146" s="4">
        <v>0</v>
      </c>
      <c r="C146" s="4">
        <v>0</v>
      </c>
      <c r="D146" s="4">
        <v>45</v>
      </c>
      <c r="E146" s="4">
        <v>0</v>
      </c>
      <c r="F146" s="4">
        <v>50</v>
      </c>
      <c r="G146" s="10">
        <f t="shared" si="39"/>
        <v>0</v>
      </c>
      <c r="H146" s="4">
        <v>0</v>
      </c>
      <c r="I146" s="5">
        <f t="shared" si="40"/>
        <v>0</v>
      </c>
      <c r="J146" s="5">
        <f t="shared" si="41"/>
        <v>0</v>
      </c>
      <c r="K146">
        <v>0</v>
      </c>
      <c r="N146" s="51">
        <v>0</v>
      </c>
    </row>
    <row r="147" spans="1:17" ht="19">
      <c r="A147" s="91" t="s">
        <v>1118</v>
      </c>
      <c r="B147" s="8">
        <f>SUM(B148:B154)</f>
        <v>37</v>
      </c>
      <c r="C147" s="8">
        <f>SUM(C148:C154)</f>
        <v>55</v>
      </c>
      <c r="D147" s="8">
        <f>SUM(D148)</f>
        <v>45</v>
      </c>
      <c r="E147" s="8">
        <f>SUM(E148:E154)</f>
        <v>4</v>
      </c>
      <c r="F147" s="8">
        <f>SUM(F148:F154)</f>
        <v>200</v>
      </c>
      <c r="G147" s="93">
        <f t="shared" si="39"/>
        <v>37.916666666666664</v>
      </c>
      <c r="H147" s="8">
        <f>SUM(H148:H154)</f>
        <v>200</v>
      </c>
      <c r="I147" s="9">
        <f>SUM(I148:I154)</f>
        <v>1926.25</v>
      </c>
      <c r="J147" s="14">
        <f>SUM(J148:J154)</f>
        <v>1726.25</v>
      </c>
      <c r="K147" s="8">
        <f>SUM(K148:K154)</f>
        <v>104</v>
      </c>
      <c r="L147" s="9">
        <v>0</v>
      </c>
      <c r="M147" s="96">
        <f>J147</f>
        <v>1726.25</v>
      </c>
      <c r="N147" s="102">
        <f>SUM(N148:N154)</f>
        <v>1858</v>
      </c>
      <c r="O147" s="98">
        <f>1958-N147</f>
        <v>100</v>
      </c>
      <c r="P147" s="86"/>
      <c r="Q147" s="86"/>
    </row>
    <row r="148" spans="1:17">
      <c r="A148" s="80" t="s">
        <v>1058</v>
      </c>
      <c r="B148" s="4">
        <v>0</v>
      </c>
      <c r="C148" s="4">
        <v>0</v>
      </c>
      <c r="D148" s="4">
        <v>45</v>
      </c>
      <c r="E148" s="4">
        <v>0</v>
      </c>
      <c r="F148" s="4">
        <v>0</v>
      </c>
      <c r="G148" s="10">
        <f t="shared" si="39"/>
        <v>0</v>
      </c>
      <c r="H148" s="4">
        <v>0</v>
      </c>
      <c r="I148" s="5">
        <f t="shared" ref="I148:I154" si="42">G148*D148</f>
        <v>0</v>
      </c>
      <c r="J148" s="5">
        <f t="shared" ref="J148:J154" si="43">I148-H148</f>
        <v>0</v>
      </c>
      <c r="N148" s="51">
        <v>0</v>
      </c>
      <c r="O148" s="51"/>
    </row>
    <row r="149" spans="1:17">
      <c r="A149" s="80" t="s">
        <v>1059</v>
      </c>
      <c r="B149" s="4">
        <v>0</v>
      </c>
      <c r="C149" s="4">
        <v>0</v>
      </c>
      <c r="D149" s="4">
        <v>45</v>
      </c>
      <c r="E149" s="4">
        <v>0</v>
      </c>
      <c r="F149" s="4">
        <v>0</v>
      </c>
      <c r="G149" s="10">
        <f t="shared" si="39"/>
        <v>0</v>
      </c>
      <c r="H149" s="4">
        <v>0</v>
      </c>
      <c r="I149" s="5">
        <f t="shared" si="42"/>
        <v>0</v>
      </c>
      <c r="J149" s="5">
        <f t="shared" si="43"/>
        <v>0</v>
      </c>
      <c r="N149" s="51">
        <v>0</v>
      </c>
    </row>
    <row r="150" spans="1:17">
      <c r="A150" s="80" t="s">
        <v>1060</v>
      </c>
      <c r="B150" s="4">
        <v>0</v>
      </c>
      <c r="C150" s="4">
        <v>0</v>
      </c>
      <c r="D150" s="4">
        <v>45</v>
      </c>
      <c r="E150" s="4">
        <v>0</v>
      </c>
      <c r="F150" s="4">
        <v>0</v>
      </c>
      <c r="G150" s="10">
        <f t="shared" si="39"/>
        <v>0</v>
      </c>
      <c r="H150" s="4">
        <v>0</v>
      </c>
      <c r="I150" s="5">
        <f t="shared" si="42"/>
        <v>0</v>
      </c>
      <c r="J150" s="5">
        <f t="shared" si="43"/>
        <v>0</v>
      </c>
      <c r="N150" s="51">
        <v>0</v>
      </c>
    </row>
    <row r="151" spans="1:17">
      <c r="A151" s="80" t="s">
        <v>1061</v>
      </c>
      <c r="B151" s="4">
        <v>8</v>
      </c>
      <c r="C151" s="4">
        <v>53</v>
      </c>
      <c r="D151" s="4">
        <v>45</v>
      </c>
      <c r="E151" s="4">
        <v>1</v>
      </c>
      <c r="F151" s="4">
        <v>50</v>
      </c>
      <c r="G151" s="10">
        <f t="shared" si="39"/>
        <v>8.8833333333333329</v>
      </c>
      <c r="H151" s="4">
        <v>50</v>
      </c>
      <c r="I151" s="5">
        <f t="shared" si="42"/>
        <v>399.75</v>
      </c>
      <c r="J151" s="5">
        <f t="shared" si="43"/>
        <v>349.75</v>
      </c>
      <c r="K151">
        <v>22</v>
      </c>
      <c r="N151" s="51">
        <f>143+300</f>
        <v>443</v>
      </c>
      <c r="P151" t="s">
        <v>1119</v>
      </c>
    </row>
    <row r="152" spans="1:17">
      <c r="A152" s="80" t="s">
        <v>1063</v>
      </c>
      <c r="B152" s="4">
        <v>7</v>
      </c>
      <c r="C152" s="4">
        <v>2</v>
      </c>
      <c r="D152" s="4">
        <v>45</v>
      </c>
      <c r="E152" s="4">
        <v>1</v>
      </c>
      <c r="F152" s="4">
        <v>50</v>
      </c>
      <c r="G152" s="10">
        <f t="shared" si="39"/>
        <v>7.0333333333333332</v>
      </c>
      <c r="H152" s="4">
        <v>50</v>
      </c>
      <c r="I152" s="5">
        <f t="shared" si="42"/>
        <v>316.5</v>
      </c>
      <c r="J152" s="5">
        <f t="shared" si="43"/>
        <v>266.5</v>
      </c>
      <c r="K152">
        <v>25</v>
      </c>
      <c r="N152" s="51">
        <f>280+150+300</f>
        <v>730</v>
      </c>
      <c r="P152" t="s">
        <v>1120</v>
      </c>
    </row>
    <row r="153" spans="1:17">
      <c r="A153" s="80" t="s">
        <v>1065</v>
      </c>
      <c r="B153" s="4">
        <v>11</v>
      </c>
      <c r="C153" s="4">
        <v>0</v>
      </c>
      <c r="D153" s="4">
        <v>55</v>
      </c>
      <c r="E153" s="4">
        <v>1</v>
      </c>
      <c r="F153" s="4">
        <v>50</v>
      </c>
      <c r="G153" s="10">
        <f t="shared" si="39"/>
        <v>11</v>
      </c>
      <c r="H153" s="4">
        <v>50</v>
      </c>
      <c r="I153" s="5">
        <f t="shared" si="42"/>
        <v>605</v>
      </c>
      <c r="J153" s="5">
        <f t="shared" si="43"/>
        <v>555</v>
      </c>
      <c r="K153">
        <v>27</v>
      </c>
      <c r="N153" s="51">
        <v>315</v>
      </c>
    </row>
    <row r="154" spans="1:17">
      <c r="A154" s="80" t="s">
        <v>1072</v>
      </c>
      <c r="B154" s="4">
        <v>11</v>
      </c>
      <c r="C154" s="4">
        <v>0</v>
      </c>
      <c r="D154" s="4">
        <v>55</v>
      </c>
      <c r="E154" s="4">
        <v>1</v>
      </c>
      <c r="F154" s="4">
        <v>50</v>
      </c>
      <c r="G154" s="10">
        <f t="shared" si="39"/>
        <v>11</v>
      </c>
      <c r="H154" s="4">
        <v>50</v>
      </c>
      <c r="I154" s="5">
        <f t="shared" si="42"/>
        <v>605</v>
      </c>
      <c r="J154" s="5">
        <f t="shared" si="43"/>
        <v>555</v>
      </c>
      <c r="K154">
        <v>30</v>
      </c>
      <c r="N154" s="51">
        <f>R109+100+150+120</f>
        <v>370</v>
      </c>
    </row>
    <row r="155" spans="1:17" ht="19">
      <c r="A155" s="91" t="s">
        <v>1121</v>
      </c>
      <c r="B155" s="8">
        <f>SUM(B156:B162)</f>
        <v>9</v>
      </c>
      <c r="C155" s="8">
        <f>SUM(C156:C162)</f>
        <v>56</v>
      </c>
      <c r="D155" s="126">
        <f>SUM(D156)</f>
        <v>45</v>
      </c>
      <c r="E155" s="126">
        <f>SUM(E156:E162)</f>
        <v>1</v>
      </c>
      <c r="F155" s="126">
        <f>SUM(F156:F162)</f>
        <v>50</v>
      </c>
      <c r="G155" s="123">
        <f t="shared" si="39"/>
        <v>9.9333333333333336</v>
      </c>
      <c r="H155" s="8">
        <f>SUM(H156:H162)</f>
        <v>50</v>
      </c>
      <c r="I155" s="14">
        <f>SUM(I156:I162)</f>
        <v>645.66666666666663</v>
      </c>
      <c r="J155" s="14">
        <f>SUM(J156:J162)</f>
        <v>595.66666666666663</v>
      </c>
      <c r="K155" s="8">
        <f>SUM(K156:K162)</f>
        <v>35</v>
      </c>
      <c r="L155" s="9">
        <v>0</v>
      </c>
      <c r="M155" s="96">
        <f>J155</f>
        <v>595.66666666666663</v>
      </c>
      <c r="N155" s="102">
        <f>SUM(N156:N162)</f>
        <v>750</v>
      </c>
      <c r="O155" s="98">
        <f>744-N155</f>
        <v>-6</v>
      </c>
      <c r="P155" s="86"/>
      <c r="Q155" s="86"/>
    </row>
    <row r="156" spans="1:17">
      <c r="A156" s="80" t="s">
        <v>1058</v>
      </c>
      <c r="B156" s="4">
        <v>0</v>
      </c>
      <c r="C156" s="4">
        <v>0</v>
      </c>
      <c r="D156" s="4">
        <v>45</v>
      </c>
      <c r="E156" s="4">
        <v>0</v>
      </c>
      <c r="F156" s="4">
        <v>0</v>
      </c>
      <c r="G156" s="10">
        <f t="shared" si="39"/>
        <v>0</v>
      </c>
      <c r="H156" s="4">
        <v>0</v>
      </c>
      <c r="I156" s="5">
        <f t="shared" ref="I156:I162" si="44">G156*D156</f>
        <v>0</v>
      </c>
      <c r="J156" s="5">
        <f t="shared" ref="J156:J162" si="45">I156-H156</f>
        <v>0</v>
      </c>
      <c r="K156">
        <v>0</v>
      </c>
      <c r="N156" s="51">
        <v>0</v>
      </c>
      <c r="O156" s="51"/>
    </row>
    <row r="157" spans="1:17">
      <c r="A157" s="80" t="s">
        <v>1059</v>
      </c>
      <c r="B157" s="4">
        <v>0</v>
      </c>
      <c r="C157" s="4">
        <v>0</v>
      </c>
      <c r="D157" s="4">
        <v>45</v>
      </c>
      <c r="E157" s="4">
        <v>0</v>
      </c>
      <c r="F157" s="4">
        <v>0</v>
      </c>
      <c r="G157" s="10">
        <f t="shared" si="39"/>
        <v>0</v>
      </c>
      <c r="H157" s="4">
        <v>0</v>
      </c>
      <c r="I157" s="5">
        <f t="shared" si="44"/>
        <v>0</v>
      </c>
      <c r="J157" s="5">
        <f t="shared" si="45"/>
        <v>0</v>
      </c>
      <c r="K157">
        <v>0</v>
      </c>
      <c r="N157" s="51">
        <v>0</v>
      </c>
    </row>
    <row r="158" spans="1:17">
      <c r="A158" s="80" t="s">
        <v>1060</v>
      </c>
      <c r="B158" s="4">
        <v>9</v>
      </c>
      <c r="C158" s="4">
        <v>56</v>
      </c>
      <c r="D158" s="4">
        <v>65</v>
      </c>
      <c r="E158" s="4">
        <v>1</v>
      </c>
      <c r="F158" s="4">
        <v>50</v>
      </c>
      <c r="G158" s="10">
        <f t="shared" si="39"/>
        <v>9.9333333333333336</v>
      </c>
      <c r="H158" s="4">
        <v>50</v>
      </c>
      <c r="I158" s="5">
        <f t="shared" si="44"/>
        <v>645.66666666666663</v>
      </c>
      <c r="J158" s="5">
        <f t="shared" si="45"/>
        <v>595.66666666666663</v>
      </c>
      <c r="K158">
        <v>35</v>
      </c>
      <c r="N158" s="51">
        <f>500+150</f>
        <v>650</v>
      </c>
      <c r="P158" t="s">
        <v>1122</v>
      </c>
    </row>
    <row r="159" spans="1:17">
      <c r="A159" s="80" t="s">
        <v>1061</v>
      </c>
      <c r="B159" s="4">
        <v>0</v>
      </c>
      <c r="C159" s="4">
        <v>0</v>
      </c>
      <c r="D159" s="4">
        <v>45</v>
      </c>
      <c r="E159" s="4">
        <v>0</v>
      </c>
      <c r="F159" s="4">
        <v>0</v>
      </c>
      <c r="G159" s="10">
        <f t="shared" si="39"/>
        <v>0</v>
      </c>
      <c r="H159" s="4">
        <v>0</v>
      </c>
      <c r="I159" s="5">
        <f t="shared" si="44"/>
        <v>0</v>
      </c>
      <c r="J159" s="5">
        <f>I159-H159</f>
        <v>0</v>
      </c>
      <c r="K159">
        <v>0</v>
      </c>
      <c r="N159" s="51">
        <v>0</v>
      </c>
    </row>
    <row r="160" spans="1:17">
      <c r="A160" s="80" t="s">
        <v>1063</v>
      </c>
      <c r="B160" s="4">
        <v>0</v>
      </c>
      <c r="C160" s="4">
        <v>0</v>
      </c>
      <c r="D160" s="4">
        <v>55</v>
      </c>
      <c r="E160" s="4">
        <v>0</v>
      </c>
      <c r="F160" s="4">
        <v>0</v>
      </c>
      <c r="G160" s="10">
        <f t="shared" si="39"/>
        <v>0</v>
      </c>
      <c r="H160" s="4">
        <v>0</v>
      </c>
      <c r="I160" s="5">
        <f t="shared" si="44"/>
        <v>0</v>
      </c>
      <c r="J160" s="5">
        <f>I160-H160</f>
        <v>0</v>
      </c>
      <c r="K160">
        <v>0</v>
      </c>
      <c r="N160" s="51">
        <v>0</v>
      </c>
    </row>
    <row r="161" spans="1:17">
      <c r="A161" s="80" t="s">
        <v>1065</v>
      </c>
      <c r="B161" s="4">
        <v>0</v>
      </c>
      <c r="C161" s="4">
        <v>0</v>
      </c>
      <c r="D161" s="4">
        <v>45</v>
      </c>
      <c r="E161" s="4">
        <v>0</v>
      </c>
      <c r="F161" s="4">
        <v>0</v>
      </c>
      <c r="G161" s="10">
        <f t="shared" si="39"/>
        <v>0</v>
      </c>
      <c r="H161" s="4">
        <v>0</v>
      </c>
      <c r="I161" s="5">
        <f t="shared" si="44"/>
        <v>0</v>
      </c>
      <c r="J161" s="5">
        <f t="shared" si="45"/>
        <v>0</v>
      </c>
      <c r="K161">
        <v>0</v>
      </c>
      <c r="N161" s="51"/>
      <c r="P161" t="s">
        <v>1123</v>
      </c>
    </row>
    <row r="162" spans="1:17">
      <c r="A162" s="80" t="s">
        <v>1072</v>
      </c>
      <c r="B162" s="4">
        <v>0</v>
      </c>
      <c r="C162" s="4">
        <v>0</v>
      </c>
      <c r="D162" s="4">
        <v>55</v>
      </c>
      <c r="E162" s="4">
        <v>0</v>
      </c>
      <c r="F162" s="4">
        <v>0</v>
      </c>
      <c r="G162" s="10">
        <f t="shared" si="39"/>
        <v>0</v>
      </c>
      <c r="H162" s="4">
        <v>0</v>
      </c>
      <c r="I162" s="5">
        <f t="shared" si="44"/>
        <v>0</v>
      </c>
      <c r="J162" s="5">
        <f t="shared" si="45"/>
        <v>0</v>
      </c>
      <c r="K162">
        <v>0</v>
      </c>
      <c r="N162" s="51">
        <v>100</v>
      </c>
    </row>
    <row r="163" spans="1:17" ht="19">
      <c r="A163" s="91" t="s">
        <v>1124</v>
      </c>
      <c r="B163" s="8">
        <f>SUM(B164:B169)</f>
        <v>49</v>
      </c>
      <c r="C163" s="8">
        <f>SUM(C164:C169)</f>
        <v>246</v>
      </c>
      <c r="D163" s="126">
        <f>SUM(D164)</f>
        <v>55</v>
      </c>
      <c r="E163" s="126">
        <f>SUM(E164:E169)</f>
        <v>6</v>
      </c>
      <c r="F163" s="126">
        <f>SUM(F164:F169)</f>
        <v>300</v>
      </c>
      <c r="G163" s="123">
        <f t="shared" si="39"/>
        <v>53.1</v>
      </c>
      <c r="H163" s="8">
        <f>SUM(H164:H169)</f>
        <v>300</v>
      </c>
      <c r="I163" s="14">
        <f>SUM(I164:I169)</f>
        <v>3281.5</v>
      </c>
      <c r="J163" s="14">
        <f>SUM(J164:J169)</f>
        <v>2981.5</v>
      </c>
      <c r="K163" s="8">
        <f>SUM(K164:K169)</f>
        <v>203</v>
      </c>
      <c r="L163" s="9">
        <v>0</v>
      </c>
      <c r="M163" s="96">
        <f>J163</f>
        <v>2981.5</v>
      </c>
      <c r="N163" s="102">
        <f>SUM(N164:N169)</f>
        <v>4294</v>
      </c>
      <c r="O163" s="98">
        <f>4331-N163</f>
        <v>37</v>
      </c>
      <c r="P163" s="86"/>
      <c r="Q163" s="86"/>
    </row>
    <row r="164" spans="1:17">
      <c r="A164" s="80" t="s">
        <v>1058</v>
      </c>
      <c r="B164" s="4">
        <v>7</v>
      </c>
      <c r="C164" s="4">
        <v>42</v>
      </c>
      <c r="D164" s="4">
        <v>55</v>
      </c>
      <c r="E164" s="4">
        <v>1</v>
      </c>
      <c r="F164" s="4">
        <v>50</v>
      </c>
      <c r="G164" s="10">
        <f t="shared" si="39"/>
        <v>7.7</v>
      </c>
      <c r="H164" s="4">
        <v>50</v>
      </c>
      <c r="I164" s="5">
        <f t="shared" ref="I164:I169" si="46">G164*D164</f>
        <v>423.5</v>
      </c>
      <c r="J164" s="5">
        <f t="shared" ref="J164:J169" si="47">I164-H164</f>
        <v>373.5</v>
      </c>
      <c r="K164">
        <v>28</v>
      </c>
      <c r="N164" s="51">
        <v>632</v>
      </c>
      <c r="O164" s="51"/>
      <c r="P164" t="s">
        <v>1125</v>
      </c>
    </row>
    <row r="165" spans="1:17">
      <c r="A165" s="80" t="s">
        <v>1059</v>
      </c>
      <c r="B165" s="4">
        <v>8</v>
      </c>
      <c r="C165" s="4">
        <v>55</v>
      </c>
      <c r="D165" s="4">
        <v>65</v>
      </c>
      <c r="E165" s="4">
        <v>1</v>
      </c>
      <c r="F165" s="4">
        <v>50</v>
      </c>
      <c r="G165" s="10">
        <f t="shared" si="39"/>
        <v>8.9166666666666661</v>
      </c>
      <c r="H165" s="4">
        <v>50</v>
      </c>
      <c r="I165" s="5">
        <f t="shared" si="46"/>
        <v>579.58333333333326</v>
      </c>
      <c r="J165" s="5">
        <f t="shared" si="47"/>
        <v>529.58333333333326</v>
      </c>
      <c r="K165">
        <v>35</v>
      </c>
      <c r="N165" s="51">
        <v>773</v>
      </c>
      <c r="P165" t="s">
        <v>919</v>
      </c>
    </row>
    <row r="166" spans="1:17">
      <c r="A166" s="80" t="s">
        <v>1060</v>
      </c>
      <c r="B166" s="4">
        <v>8</v>
      </c>
      <c r="C166" s="4">
        <v>50</v>
      </c>
      <c r="D166" s="4">
        <v>65</v>
      </c>
      <c r="E166" s="4">
        <v>1</v>
      </c>
      <c r="F166" s="4">
        <v>50</v>
      </c>
      <c r="G166" s="10">
        <f t="shared" si="39"/>
        <v>8.8333333333333339</v>
      </c>
      <c r="H166" s="4">
        <v>50</v>
      </c>
      <c r="I166" s="5">
        <f t="shared" si="46"/>
        <v>574.16666666666674</v>
      </c>
      <c r="J166" s="5">
        <f t="shared" si="47"/>
        <v>524.16666666666674</v>
      </c>
      <c r="K166">
        <v>36</v>
      </c>
      <c r="N166" s="51">
        <f>683+150</f>
        <v>833</v>
      </c>
      <c r="P166" t="s">
        <v>1126</v>
      </c>
    </row>
    <row r="167" spans="1:17">
      <c r="A167" s="80" t="s">
        <v>1061</v>
      </c>
      <c r="B167" s="4">
        <v>9</v>
      </c>
      <c r="C167" s="4">
        <v>18</v>
      </c>
      <c r="D167" s="4">
        <v>55</v>
      </c>
      <c r="E167" s="4">
        <v>1</v>
      </c>
      <c r="F167" s="4">
        <v>50</v>
      </c>
      <c r="G167" s="10">
        <f t="shared" si="39"/>
        <v>9.3000000000000007</v>
      </c>
      <c r="H167" s="4">
        <v>50</v>
      </c>
      <c r="I167" s="5">
        <f t="shared" si="46"/>
        <v>511.50000000000006</v>
      </c>
      <c r="J167" s="5">
        <f t="shared" si="47"/>
        <v>461.50000000000006</v>
      </c>
      <c r="K167">
        <v>29</v>
      </c>
      <c r="N167" s="51">
        <f>746</f>
        <v>746</v>
      </c>
      <c r="P167" t="s">
        <v>1127</v>
      </c>
    </row>
    <row r="168" spans="1:17">
      <c r="A168" s="80" t="s">
        <v>1063</v>
      </c>
      <c r="B168" s="4">
        <v>9</v>
      </c>
      <c r="C168" s="4">
        <v>30</v>
      </c>
      <c r="D168" s="4">
        <v>65</v>
      </c>
      <c r="E168" s="4">
        <v>1</v>
      </c>
      <c r="F168" s="4">
        <v>50</v>
      </c>
      <c r="G168" s="10">
        <f t="shared" si="39"/>
        <v>9.5</v>
      </c>
      <c r="H168" s="4">
        <v>50</v>
      </c>
      <c r="I168" s="5">
        <f t="shared" si="46"/>
        <v>617.5</v>
      </c>
      <c r="J168" s="5">
        <f t="shared" si="47"/>
        <v>567.5</v>
      </c>
      <c r="K168">
        <v>38</v>
      </c>
      <c r="N168" s="51">
        <f>433</f>
        <v>433</v>
      </c>
      <c r="P168" t="s">
        <v>1128</v>
      </c>
    </row>
    <row r="169" spans="1:17">
      <c r="A169" s="80" t="s">
        <v>1065</v>
      </c>
      <c r="B169" s="4">
        <v>8</v>
      </c>
      <c r="C169" s="4">
        <v>51</v>
      </c>
      <c r="D169" s="4">
        <v>65</v>
      </c>
      <c r="E169" s="4">
        <v>1</v>
      </c>
      <c r="F169" s="4">
        <v>50</v>
      </c>
      <c r="G169" s="10">
        <f t="shared" si="39"/>
        <v>8.85</v>
      </c>
      <c r="H169" s="4">
        <v>50</v>
      </c>
      <c r="I169" s="5">
        <f t="shared" si="46"/>
        <v>575.25</v>
      </c>
      <c r="J169" s="5">
        <f t="shared" si="47"/>
        <v>525.25</v>
      </c>
      <c r="K169">
        <v>37</v>
      </c>
      <c r="N169" s="51">
        <v>877</v>
      </c>
      <c r="P169" t="s">
        <v>1129</v>
      </c>
    </row>
    <row r="170" spans="1:17" ht="19">
      <c r="A170" s="91" t="s">
        <v>530</v>
      </c>
      <c r="B170" s="8">
        <f>SUM(B171:B176)</f>
        <v>30</v>
      </c>
      <c r="C170" s="8">
        <f>SUM(C171:C176)</f>
        <v>52</v>
      </c>
      <c r="D170" s="126">
        <f>SUM(D171)</f>
        <v>55</v>
      </c>
      <c r="E170" s="126">
        <f>SUM(E171:E176)</f>
        <v>3</v>
      </c>
      <c r="F170" s="126">
        <f>SUM(F171:F176)</f>
        <v>150</v>
      </c>
      <c r="G170" s="123">
        <f t="shared" si="39"/>
        <v>30.866666666666667</v>
      </c>
      <c r="H170" s="8">
        <f>SUM(H171:H176)</f>
        <v>253.5</v>
      </c>
      <c r="I170" s="14">
        <f>SUM(I171:I176)</f>
        <v>1575.5833333333335</v>
      </c>
      <c r="J170" s="14">
        <f>SUM(J171:J176)</f>
        <v>1322.0833333333335</v>
      </c>
      <c r="K170" s="8">
        <f>SUM(K171:K176)</f>
        <v>96</v>
      </c>
      <c r="L170" s="9">
        <v>0</v>
      </c>
      <c r="M170" s="96">
        <f>J170</f>
        <v>1322.0833333333335</v>
      </c>
      <c r="N170" s="102">
        <f>SUM(N171:N176)</f>
        <v>2272</v>
      </c>
      <c r="O170" s="98">
        <f>2268-N170</f>
        <v>-4</v>
      </c>
      <c r="P170" s="86"/>
      <c r="Q170" s="86"/>
    </row>
    <row r="171" spans="1:17">
      <c r="A171" s="80" t="s">
        <v>1058</v>
      </c>
      <c r="B171" s="4">
        <v>10</v>
      </c>
      <c r="C171" s="4">
        <v>35</v>
      </c>
      <c r="D171" s="4">
        <v>55</v>
      </c>
      <c r="E171" s="4">
        <v>1</v>
      </c>
      <c r="F171" s="4">
        <v>50</v>
      </c>
      <c r="G171" s="10">
        <f t="shared" si="39"/>
        <v>10.583333333333334</v>
      </c>
      <c r="H171" s="4">
        <v>50</v>
      </c>
      <c r="I171" s="5">
        <f t="shared" ref="I171:I176" si="48">G171*D171</f>
        <v>582.08333333333337</v>
      </c>
      <c r="J171" s="5">
        <f t="shared" ref="J171:J176" si="49">I171-H171</f>
        <v>532.08333333333337</v>
      </c>
      <c r="K171">
        <v>31</v>
      </c>
      <c r="N171" s="51">
        <v>517</v>
      </c>
      <c r="O171" s="51"/>
    </row>
    <row r="172" spans="1:17">
      <c r="A172" s="80" t="s">
        <v>1059</v>
      </c>
      <c r="B172" s="4">
        <v>0</v>
      </c>
      <c r="C172" s="4">
        <v>0</v>
      </c>
      <c r="D172" s="4">
        <v>45</v>
      </c>
      <c r="E172" s="4">
        <v>0</v>
      </c>
      <c r="F172" s="4">
        <v>0</v>
      </c>
      <c r="G172" s="10">
        <f t="shared" si="39"/>
        <v>0</v>
      </c>
      <c r="H172" s="4">
        <v>0</v>
      </c>
      <c r="I172" s="5">
        <f t="shared" si="48"/>
        <v>0</v>
      </c>
      <c r="J172" s="5">
        <f t="shared" si="49"/>
        <v>0</v>
      </c>
      <c r="K172">
        <v>0</v>
      </c>
      <c r="N172" s="51">
        <v>0</v>
      </c>
    </row>
    <row r="173" spans="1:17">
      <c r="A173" s="80" t="s">
        <v>1060</v>
      </c>
      <c r="B173" s="4">
        <v>9</v>
      </c>
      <c r="C173" s="4">
        <v>17</v>
      </c>
      <c r="D173" s="4">
        <v>30</v>
      </c>
      <c r="E173" s="4">
        <v>1</v>
      </c>
      <c r="F173" s="4">
        <v>50</v>
      </c>
      <c r="G173" s="10">
        <f t="shared" si="39"/>
        <v>9.2833333333333332</v>
      </c>
      <c r="H173" s="4">
        <f>50+103.5</f>
        <v>153.5</v>
      </c>
      <c r="I173" s="5">
        <f t="shared" si="48"/>
        <v>278.5</v>
      </c>
      <c r="J173" s="5">
        <f t="shared" si="49"/>
        <v>125</v>
      </c>
      <c r="K173">
        <v>30</v>
      </c>
      <c r="N173" s="51">
        <v>730</v>
      </c>
      <c r="P173" t="s">
        <v>1130</v>
      </c>
    </row>
    <row r="174" spans="1:17">
      <c r="A174" s="80" t="s">
        <v>1061</v>
      </c>
      <c r="B174" s="4">
        <v>0</v>
      </c>
      <c r="C174" s="4">
        <v>0</v>
      </c>
      <c r="D174" s="4">
        <v>45</v>
      </c>
      <c r="E174" s="4">
        <v>0</v>
      </c>
      <c r="F174" s="4">
        <v>0</v>
      </c>
      <c r="G174" s="10">
        <f t="shared" si="39"/>
        <v>0</v>
      </c>
      <c r="H174" s="4">
        <v>0</v>
      </c>
      <c r="I174" s="5">
        <f t="shared" si="48"/>
        <v>0</v>
      </c>
      <c r="J174" s="5">
        <f t="shared" si="49"/>
        <v>0</v>
      </c>
      <c r="K174">
        <v>0</v>
      </c>
      <c r="N174" s="51">
        <v>0</v>
      </c>
    </row>
    <row r="175" spans="1:17">
      <c r="A175" s="80" t="s">
        <v>1063</v>
      </c>
      <c r="B175" s="4">
        <v>0</v>
      </c>
      <c r="C175" s="4">
        <v>0</v>
      </c>
      <c r="D175" s="4">
        <v>45</v>
      </c>
      <c r="E175" s="4">
        <v>0</v>
      </c>
      <c r="F175" s="4">
        <v>0</v>
      </c>
      <c r="G175" s="10">
        <f t="shared" si="39"/>
        <v>0</v>
      </c>
      <c r="H175" s="4">
        <v>0</v>
      </c>
      <c r="I175" s="5">
        <f t="shared" si="48"/>
        <v>0</v>
      </c>
      <c r="J175" s="5">
        <f t="shared" si="49"/>
        <v>0</v>
      </c>
      <c r="K175">
        <v>0</v>
      </c>
      <c r="N175" s="51">
        <v>0</v>
      </c>
    </row>
    <row r="176" spans="1:17">
      <c r="A176" s="80" t="s">
        <v>1065</v>
      </c>
      <c r="B176" s="4">
        <v>11</v>
      </c>
      <c r="C176" s="4">
        <v>0</v>
      </c>
      <c r="D176" s="4">
        <v>65</v>
      </c>
      <c r="E176" s="4">
        <v>1</v>
      </c>
      <c r="F176" s="4">
        <v>50</v>
      </c>
      <c r="G176" s="10">
        <f t="shared" si="39"/>
        <v>11</v>
      </c>
      <c r="H176" s="4">
        <v>50</v>
      </c>
      <c r="I176" s="5">
        <f t="shared" si="48"/>
        <v>715</v>
      </c>
      <c r="J176" s="5">
        <f t="shared" si="49"/>
        <v>665</v>
      </c>
      <c r="K176">
        <v>35</v>
      </c>
      <c r="N176" s="51">
        <v>1025</v>
      </c>
    </row>
    <row r="177" spans="1:17" ht="19">
      <c r="A177" s="91" t="s">
        <v>1131</v>
      </c>
      <c r="B177" s="8">
        <f>SUM(B178:B183)</f>
        <v>24</v>
      </c>
      <c r="C177" s="8">
        <f>SUM(C178:C183)</f>
        <v>111</v>
      </c>
      <c r="D177" s="126">
        <f>SUM(D178)</f>
        <v>45</v>
      </c>
      <c r="E177" s="126">
        <f>SUM(E178:E183)</f>
        <v>4</v>
      </c>
      <c r="F177" s="126">
        <f>SUM(F178:F183)</f>
        <v>200</v>
      </c>
      <c r="G177" s="123">
        <f t="shared" ref="G177:G183" si="50">B177+C177/60</f>
        <v>25.85</v>
      </c>
      <c r="H177" s="8">
        <f>SUM(H178:H183)</f>
        <v>2105.9</v>
      </c>
      <c r="I177" s="8">
        <f>SUM(I178:I183)</f>
        <v>1302.75</v>
      </c>
      <c r="J177" s="8">
        <f>SUM(J178:J183)</f>
        <v>-803.14999999999986</v>
      </c>
      <c r="K177" s="8">
        <f>SUM(K178:K183)</f>
        <v>92</v>
      </c>
      <c r="L177" s="9">
        <v>0</v>
      </c>
      <c r="M177" s="96">
        <f>J177</f>
        <v>-803.14999999999986</v>
      </c>
      <c r="N177" s="102">
        <f>SUM(N178:N183)</f>
        <v>2438</v>
      </c>
      <c r="O177" s="98">
        <f>2466-N177</f>
        <v>28</v>
      </c>
      <c r="P177" s="86"/>
      <c r="Q177" s="86"/>
    </row>
    <row r="178" spans="1:17">
      <c r="A178" s="80" t="s">
        <v>1058</v>
      </c>
      <c r="B178" s="4">
        <v>0</v>
      </c>
      <c r="C178" s="4">
        <v>0</v>
      </c>
      <c r="D178" s="4">
        <v>45</v>
      </c>
      <c r="E178" s="4">
        <v>0</v>
      </c>
      <c r="F178" s="4">
        <v>0</v>
      </c>
      <c r="G178" s="10">
        <f t="shared" si="50"/>
        <v>0</v>
      </c>
      <c r="H178" s="4">
        <v>0</v>
      </c>
      <c r="I178" s="5">
        <f t="shared" ref="I178:I183" si="51">G178*D178</f>
        <v>0</v>
      </c>
      <c r="J178" s="5">
        <f t="shared" ref="J178:J183" si="52">I178-H178</f>
        <v>0</v>
      </c>
      <c r="K178">
        <v>0</v>
      </c>
      <c r="N178" s="51">
        <v>0</v>
      </c>
      <c r="O178" s="51"/>
    </row>
    <row r="179" spans="1:17">
      <c r="A179" s="80" t="s">
        <v>1059</v>
      </c>
      <c r="B179" s="4">
        <v>7</v>
      </c>
      <c r="C179" s="4">
        <v>31</v>
      </c>
      <c r="D179" s="4">
        <v>55</v>
      </c>
      <c r="E179" s="4">
        <v>1</v>
      </c>
      <c r="F179" s="4">
        <v>50</v>
      </c>
      <c r="G179" s="10">
        <f t="shared" si="50"/>
        <v>7.5166666666666666</v>
      </c>
      <c r="H179" s="4">
        <f>50+927</f>
        <v>977</v>
      </c>
      <c r="I179" s="5">
        <f t="shared" si="51"/>
        <v>413.41666666666669</v>
      </c>
      <c r="J179" s="5">
        <f t="shared" si="52"/>
        <v>-563.58333333333326</v>
      </c>
      <c r="K179">
        <v>30</v>
      </c>
      <c r="N179" s="83">
        <v>608</v>
      </c>
      <c r="P179" t="s">
        <v>1132</v>
      </c>
    </row>
    <row r="180" spans="1:17">
      <c r="A180" s="80" t="s">
        <v>1060</v>
      </c>
      <c r="B180" s="4">
        <v>6</v>
      </c>
      <c r="C180" s="4">
        <v>26</v>
      </c>
      <c r="D180" s="4">
        <v>45</v>
      </c>
      <c r="E180" s="4">
        <v>1</v>
      </c>
      <c r="F180" s="4">
        <v>50</v>
      </c>
      <c r="G180" s="10">
        <f t="shared" si="50"/>
        <v>6.4333333333333336</v>
      </c>
      <c r="H180" s="4">
        <f>50+933</f>
        <v>983</v>
      </c>
      <c r="I180" s="5">
        <f t="shared" si="51"/>
        <v>289.5</v>
      </c>
      <c r="J180" s="5">
        <f t="shared" si="52"/>
        <v>-693.5</v>
      </c>
      <c r="K180">
        <v>11</v>
      </c>
      <c r="N180" s="83">
        <f>300+300</f>
        <v>600</v>
      </c>
      <c r="P180" t="s">
        <v>1133</v>
      </c>
    </row>
    <row r="181" spans="1:17">
      <c r="A181" s="80" t="s">
        <v>1061</v>
      </c>
      <c r="B181" s="4">
        <v>5</v>
      </c>
      <c r="C181" s="4">
        <v>28</v>
      </c>
      <c r="D181" s="4">
        <v>45</v>
      </c>
      <c r="E181" s="4">
        <v>1</v>
      </c>
      <c r="F181" s="4">
        <v>50</v>
      </c>
      <c r="G181" s="10">
        <f t="shared" si="50"/>
        <v>5.4666666666666668</v>
      </c>
      <c r="H181" s="4">
        <v>50</v>
      </c>
      <c r="I181" s="5">
        <f t="shared" si="51"/>
        <v>246</v>
      </c>
      <c r="J181" s="5">
        <f t="shared" si="52"/>
        <v>196</v>
      </c>
      <c r="K181">
        <v>21</v>
      </c>
      <c r="N181" s="83">
        <v>450</v>
      </c>
      <c r="P181" t="s">
        <v>1134</v>
      </c>
    </row>
    <row r="182" spans="1:17">
      <c r="A182" s="80" t="s">
        <v>1063</v>
      </c>
      <c r="B182" s="4">
        <v>6</v>
      </c>
      <c r="C182" s="4">
        <v>26</v>
      </c>
      <c r="D182" s="4">
        <v>55</v>
      </c>
      <c r="E182" s="4">
        <v>1</v>
      </c>
      <c r="F182" s="4">
        <v>50</v>
      </c>
      <c r="G182" s="10">
        <f t="shared" si="50"/>
        <v>6.4333333333333336</v>
      </c>
      <c r="H182" s="4">
        <f>50+45.9</f>
        <v>95.9</v>
      </c>
      <c r="I182" s="5">
        <f t="shared" si="51"/>
        <v>353.83333333333337</v>
      </c>
      <c r="J182" s="5">
        <f t="shared" si="52"/>
        <v>257.93333333333339</v>
      </c>
      <c r="K182">
        <v>30</v>
      </c>
      <c r="N182" s="51">
        <f>430+200+150</f>
        <v>780</v>
      </c>
      <c r="P182" t="s">
        <v>1135</v>
      </c>
    </row>
    <row r="183" spans="1:17">
      <c r="A183" s="80" t="s">
        <v>1065</v>
      </c>
      <c r="B183" s="4">
        <v>0</v>
      </c>
      <c r="C183" s="4">
        <v>0</v>
      </c>
      <c r="D183" s="12">
        <v>45</v>
      </c>
      <c r="E183" s="12">
        <v>0</v>
      </c>
      <c r="F183" s="12">
        <v>0</v>
      </c>
      <c r="G183" s="10">
        <f t="shared" si="50"/>
        <v>0</v>
      </c>
      <c r="H183" s="4">
        <v>0</v>
      </c>
      <c r="I183" s="5">
        <f t="shared" si="51"/>
        <v>0</v>
      </c>
      <c r="J183" s="5">
        <f t="shared" si="52"/>
        <v>0</v>
      </c>
      <c r="K183">
        <v>0</v>
      </c>
      <c r="N183" s="51">
        <v>0</v>
      </c>
    </row>
    <row r="184" spans="1:17" ht="19">
      <c r="A184" s="91" t="s">
        <v>1021</v>
      </c>
      <c r="B184" s="8">
        <f>SUM(B185:B190)</f>
        <v>34</v>
      </c>
      <c r="C184" s="173">
        <f>SUM(C185:C190)</f>
        <v>110</v>
      </c>
      <c r="D184" s="171">
        <f>SUM(D185)</f>
        <v>45</v>
      </c>
      <c r="E184" s="171">
        <f>SUM(E185:E190)</f>
        <v>5</v>
      </c>
      <c r="F184" s="171">
        <f>SUM(F185:F190)</f>
        <v>250</v>
      </c>
      <c r="G184" s="175">
        <f t="shared" ref="G184:G190" si="53">B184+C184/60</f>
        <v>35.833333333333336</v>
      </c>
      <c r="H184" s="8">
        <f>SUM(H185:H190)</f>
        <v>337</v>
      </c>
      <c r="I184" s="14">
        <f>SUM(I185:I190)</f>
        <v>1612.5</v>
      </c>
      <c r="J184" s="14">
        <f>SUM(J185:J190)</f>
        <v>1275.5</v>
      </c>
      <c r="K184" s="8">
        <f>SUM(K185:K190)</f>
        <v>104</v>
      </c>
      <c r="L184" s="9">
        <v>0</v>
      </c>
      <c r="M184" s="96">
        <f>J184</f>
        <v>1275.5</v>
      </c>
      <c r="N184" s="102">
        <f>SUM(N185:N190)</f>
        <v>621</v>
      </c>
      <c r="O184" s="98">
        <f>834-N184</f>
        <v>213</v>
      </c>
      <c r="P184" s="86"/>
      <c r="Q184" s="86"/>
    </row>
    <row r="185" spans="1:17">
      <c r="A185" s="80" t="s">
        <v>1058</v>
      </c>
      <c r="B185" s="4">
        <v>7</v>
      </c>
      <c r="C185" s="4">
        <v>1</v>
      </c>
      <c r="D185" s="141">
        <v>45</v>
      </c>
      <c r="E185" s="141">
        <v>1</v>
      </c>
      <c r="F185" s="141">
        <v>50</v>
      </c>
      <c r="G185" s="10">
        <f t="shared" si="53"/>
        <v>7.0166666666666666</v>
      </c>
      <c r="H185" s="4">
        <v>50</v>
      </c>
      <c r="I185" s="5">
        <f t="shared" ref="I185:I190" si="54">G185*D185</f>
        <v>315.75</v>
      </c>
      <c r="J185" s="5">
        <f t="shared" ref="J185:J190" si="55">I185-H185</f>
        <v>265.75</v>
      </c>
      <c r="K185">
        <v>20</v>
      </c>
      <c r="N185" s="51">
        <v>207</v>
      </c>
      <c r="O185" s="51"/>
      <c r="P185" t="s">
        <v>1136</v>
      </c>
    </row>
    <row r="186" spans="1:17">
      <c r="A186" s="80" t="s">
        <v>1059</v>
      </c>
      <c r="B186" s="4">
        <v>7</v>
      </c>
      <c r="C186" s="4">
        <v>10</v>
      </c>
      <c r="D186" s="4">
        <v>45</v>
      </c>
      <c r="E186" s="4">
        <v>1</v>
      </c>
      <c r="F186" s="4">
        <v>50</v>
      </c>
      <c r="G186" s="10">
        <f t="shared" si="53"/>
        <v>7.166666666666667</v>
      </c>
      <c r="H186" s="4">
        <v>50</v>
      </c>
      <c r="I186" s="5">
        <f t="shared" si="54"/>
        <v>322.5</v>
      </c>
      <c r="J186" s="5">
        <f t="shared" si="55"/>
        <v>272.5</v>
      </c>
      <c r="K186">
        <v>18</v>
      </c>
      <c r="N186" s="83">
        <v>214</v>
      </c>
      <c r="P186" t="s">
        <v>1137</v>
      </c>
    </row>
    <row r="187" spans="1:17">
      <c r="A187" s="80" t="s">
        <v>1060</v>
      </c>
      <c r="B187" s="4">
        <v>7</v>
      </c>
      <c r="C187" s="4">
        <v>28</v>
      </c>
      <c r="D187" s="4">
        <v>45</v>
      </c>
      <c r="E187" s="4">
        <v>1</v>
      </c>
      <c r="F187" s="4">
        <v>50</v>
      </c>
      <c r="G187" s="10">
        <f t="shared" si="53"/>
        <v>7.4666666666666668</v>
      </c>
      <c r="H187" s="4">
        <f>50+87</f>
        <v>137</v>
      </c>
      <c r="I187" s="5">
        <f t="shared" si="54"/>
        <v>336</v>
      </c>
      <c r="J187" s="5">
        <f t="shared" si="55"/>
        <v>199</v>
      </c>
      <c r="K187">
        <v>17</v>
      </c>
      <c r="N187" s="83">
        <v>150</v>
      </c>
      <c r="P187" t="s">
        <v>1138</v>
      </c>
    </row>
    <row r="188" spans="1:17">
      <c r="A188" s="80" t="s">
        <v>1061</v>
      </c>
      <c r="B188" s="4">
        <v>8</v>
      </c>
      <c r="C188" s="4">
        <v>21</v>
      </c>
      <c r="D188" s="4">
        <v>45</v>
      </c>
      <c r="E188" s="4">
        <v>1</v>
      </c>
      <c r="F188" s="4">
        <v>50</v>
      </c>
      <c r="G188" s="10">
        <f t="shared" si="53"/>
        <v>8.35</v>
      </c>
      <c r="H188" s="4">
        <v>50</v>
      </c>
      <c r="I188" s="5">
        <f t="shared" si="54"/>
        <v>375.75</v>
      </c>
      <c r="J188" s="5">
        <f t="shared" si="55"/>
        <v>325.75</v>
      </c>
      <c r="K188">
        <v>26</v>
      </c>
      <c r="N188" s="83">
        <v>50</v>
      </c>
      <c r="P188" t="s">
        <v>1139</v>
      </c>
    </row>
    <row r="189" spans="1:17">
      <c r="A189" s="80" t="s">
        <v>1063</v>
      </c>
      <c r="B189" s="4">
        <v>5</v>
      </c>
      <c r="C189" s="4">
        <v>50</v>
      </c>
      <c r="D189" s="4">
        <v>45</v>
      </c>
      <c r="E189" s="4">
        <v>1</v>
      </c>
      <c r="F189" s="4">
        <v>50</v>
      </c>
      <c r="G189" s="10">
        <f t="shared" si="53"/>
        <v>5.833333333333333</v>
      </c>
      <c r="H189" s="4">
        <v>50</v>
      </c>
      <c r="I189" s="5">
        <f t="shared" si="54"/>
        <v>262.5</v>
      </c>
      <c r="J189" s="5">
        <f t="shared" si="55"/>
        <v>212.5</v>
      </c>
      <c r="K189">
        <v>23</v>
      </c>
      <c r="N189" s="51"/>
      <c r="P189" t="s">
        <v>1140</v>
      </c>
    </row>
    <row r="190" spans="1:17">
      <c r="A190" s="80" t="s">
        <v>1065</v>
      </c>
      <c r="B190" s="4">
        <v>0</v>
      </c>
      <c r="C190" s="4">
        <v>0</v>
      </c>
      <c r="D190" s="12">
        <v>45</v>
      </c>
      <c r="E190" s="12">
        <v>0</v>
      </c>
      <c r="F190" s="12">
        <v>0</v>
      </c>
      <c r="G190" s="10">
        <f t="shared" si="53"/>
        <v>0</v>
      </c>
      <c r="H190" s="4">
        <v>0</v>
      </c>
      <c r="I190" s="5">
        <f t="shared" si="54"/>
        <v>0</v>
      </c>
      <c r="J190" s="5">
        <f t="shared" si="55"/>
        <v>0</v>
      </c>
      <c r="K190">
        <v>0</v>
      </c>
      <c r="N190" s="51">
        <v>0</v>
      </c>
    </row>
    <row r="191" spans="1:17" ht="19">
      <c r="A191" s="91" t="s">
        <v>895</v>
      </c>
      <c r="B191" s="8">
        <f>SUM(B192:B198)</f>
        <v>46</v>
      </c>
      <c r="C191" s="173">
        <f>SUM(C192:C198)</f>
        <v>158</v>
      </c>
      <c r="D191" s="171">
        <f>SUM(D192)</f>
        <v>45</v>
      </c>
      <c r="E191" s="171">
        <f>SUM(E192:E198)</f>
        <v>5</v>
      </c>
      <c r="F191" s="171">
        <f>SUM(F192:F198)</f>
        <v>250</v>
      </c>
      <c r="G191" s="175">
        <f t="shared" ref="G191:G204" si="56">B191+C191/60</f>
        <v>48.633333333333333</v>
      </c>
      <c r="H191" s="8">
        <f>SUM(H192:H198)</f>
        <v>250</v>
      </c>
      <c r="I191" s="14">
        <f>SUM(I192:I198)</f>
        <v>3073.166666666667</v>
      </c>
      <c r="J191" s="14">
        <f>SUM(J192:J198)</f>
        <v>2823.166666666667</v>
      </c>
      <c r="K191" s="8">
        <f>SUM(K192:K198)</f>
        <v>167</v>
      </c>
      <c r="L191" s="9">
        <v>0</v>
      </c>
      <c r="M191" s="96">
        <f>J191</f>
        <v>2823.166666666667</v>
      </c>
      <c r="N191" s="102">
        <f>SUM(N192:N198)</f>
        <v>3412</v>
      </c>
      <c r="O191" s="98">
        <f>3650-N191</f>
        <v>238</v>
      </c>
      <c r="P191" s="86"/>
      <c r="Q191" s="86"/>
    </row>
    <row r="192" spans="1:17">
      <c r="A192" s="80" t="s">
        <v>1058</v>
      </c>
      <c r="B192" s="4">
        <v>0</v>
      </c>
      <c r="C192" s="4">
        <v>0</v>
      </c>
      <c r="D192" s="141">
        <v>45</v>
      </c>
      <c r="E192" s="141">
        <v>0</v>
      </c>
      <c r="F192" s="141">
        <v>0</v>
      </c>
      <c r="G192" s="10">
        <f t="shared" si="56"/>
        <v>0</v>
      </c>
      <c r="H192" s="4">
        <v>0</v>
      </c>
      <c r="I192" s="5">
        <f t="shared" ref="I192:I198" si="57">G192*D192</f>
        <v>0</v>
      </c>
      <c r="J192" s="5">
        <f t="shared" ref="J192:J198" si="58">I192-H192</f>
        <v>0</v>
      </c>
      <c r="K192">
        <v>0</v>
      </c>
      <c r="N192" s="51">
        <v>0</v>
      </c>
      <c r="O192" s="51"/>
    </row>
    <row r="193" spans="1:17">
      <c r="A193" s="80" t="s">
        <v>1059</v>
      </c>
      <c r="B193" s="4">
        <v>10</v>
      </c>
      <c r="C193" s="4">
        <v>45</v>
      </c>
      <c r="D193" s="4">
        <v>65</v>
      </c>
      <c r="E193" s="4">
        <v>1</v>
      </c>
      <c r="F193" s="4">
        <v>50</v>
      </c>
      <c r="G193" s="10">
        <f t="shared" si="56"/>
        <v>10.75</v>
      </c>
      <c r="H193" s="4">
        <v>50</v>
      </c>
      <c r="I193" s="5">
        <f t="shared" si="57"/>
        <v>698.75</v>
      </c>
      <c r="J193" s="5">
        <f t="shared" si="58"/>
        <v>648.75</v>
      </c>
      <c r="K193">
        <v>36</v>
      </c>
      <c r="N193" s="51">
        <v>614</v>
      </c>
      <c r="P193" t="s">
        <v>1141</v>
      </c>
    </row>
    <row r="194" spans="1:17">
      <c r="A194" s="80" t="s">
        <v>1060</v>
      </c>
      <c r="B194" s="4">
        <v>9</v>
      </c>
      <c r="C194" s="4">
        <v>48</v>
      </c>
      <c r="D194" s="4">
        <v>65</v>
      </c>
      <c r="E194" s="4">
        <v>1</v>
      </c>
      <c r="F194" s="4">
        <v>50</v>
      </c>
      <c r="G194" s="10">
        <f t="shared" si="56"/>
        <v>9.8000000000000007</v>
      </c>
      <c r="H194" s="4">
        <v>50</v>
      </c>
      <c r="I194" s="5">
        <f t="shared" si="57"/>
        <v>637</v>
      </c>
      <c r="J194" s="5">
        <f t="shared" si="58"/>
        <v>587</v>
      </c>
      <c r="K194">
        <v>36</v>
      </c>
      <c r="N194" s="51">
        <f>605+100</f>
        <v>705</v>
      </c>
      <c r="P194" t="s">
        <v>1142</v>
      </c>
    </row>
    <row r="195" spans="1:17">
      <c r="A195" s="80" t="s">
        <v>1061</v>
      </c>
      <c r="B195" s="4">
        <v>9</v>
      </c>
      <c r="C195" s="4">
        <v>7</v>
      </c>
      <c r="D195" s="4">
        <v>65</v>
      </c>
      <c r="E195" s="4">
        <v>1</v>
      </c>
      <c r="F195" s="4">
        <v>50</v>
      </c>
      <c r="G195" s="10">
        <f t="shared" si="56"/>
        <v>9.1166666666666671</v>
      </c>
      <c r="H195" s="4">
        <v>50</v>
      </c>
      <c r="I195" s="5">
        <f t="shared" si="57"/>
        <v>592.58333333333337</v>
      </c>
      <c r="J195" s="5">
        <f t="shared" si="58"/>
        <v>542.58333333333337</v>
      </c>
      <c r="K195">
        <v>34</v>
      </c>
      <c r="N195" s="51">
        <v>700</v>
      </c>
      <c r="P195" t="s">
        <v>1143</v>
      </c>
    </row>
    <row r="196" spans="1:17">
      <c r="A196" s="80" t="s">
        <v>1063</v>
      </c>
      <c r="B196" s="4">
        <v>0</v>
      </c>
      <c r="C196" s="4">
        <v>0</v>
      </c>
      <c r="D196" s="4">
        <v>45</v>
      </c>
      <c r="E196" s="4">
        <v>0</v>
      </c>
      <c r="F196" s="4">
        <v>0</v>
      </c>
      <c r="G196" s="10">
        <f t="shared" si="56"/>
        <v>0</v>
      </c>
      <c r="H196" s="4">
        <v>0</v>
      </c>
      <c r="I196" s="5">
        <f t="shared" si="57"/>
        <v>0</v>
      </c>
      <c r="J196" s="5">
        <f t="shared" si="58"/>
        <v>0</v>
      </c>
      <c r="K196">
        <v>0</v>
      </c>
      <c r="N196" s="51">
        <v>0</v>
      </c>
    </row>
    <row r="197" spans="1:17">
      <c r="A197" s="80" t="s">
        <v>1065</v>
      </c>
      <c r="B197" s="4">
        <v>10</v>
      </c>
      <c r="C197" s="4">
        <v>10</v>
      </c>
      <c r="D197" s="4">
        <v>65</v>
      </c>
      <c r="E197" s="4">
        <v>1</v>
      </c>
      <c r="F197" s="4">
        <v>50</v>
      </c>
      <c r="G197" s="10">
        <f t="shared" si="56"/>
        <v>10.166666666666666</v>
      </c>
      <c r="H197" s="4">
        <v>50</v>
      </c>
      <c r="I197" s="5">
        <f t="shared" si="57"/>
        <v>660.83333333333326</v>
      </c>
      <c r="J197" s="5">
        <f t="shared" si="58"/>
        <v>610.83333333333326</v>
      </c>
      <c r="K197">
        <v>36</v>
      </c>
      <c r="N197" s="51">
        <v>883</v>
      </c>
      <c r="P197" t="s">
        <v>1144</v>
      </c>
    </row>
    <row r="198" spans="1:17">
      <c r="A198" s="80" t="s">
        <v>1072</v>
      </c>
      <c r="B198" s="4">
        <v>8</v>
      </c>
      <c r="C198" s="4">
        <v>48</v>
      </c>
      <c r="D198" s="4">
        <v>55</v>
      </c>
      <c r="E198" s="4">
        <v>1</v>
      </c>
      <c r="F198" s="4">
        <v>50</v>
      </c>
      <c r="G198" s="10">
        <f t="shared" si="56"/>
        <v>8.8000000000000007</v>
      </c>
      <c r="H198" s="4">
        <v>50</v>
      </c>
      <c r="I198" s="5">
        <f t="shared" si="57"/>
        <v>484.00000000000006</v>
      </c>
      <c r="J198" s="5">
        <f t="shared" si="58"/>
        <v>434.00000000000006</v>
      </c>
      <c r="K198">
        <v>25</v>
      </c>
      <c r="N198" s="51">
        <f>210+300</f>
        <v>510</v>
      </c>
      <c r="P198" t="s">
        <v>1145</v>
      </c>
    </row>
    <row r="199" spans="1:17" ht="19">
      <c r="A199" s="91" t="s">
        <v>533</v>
      </c>
      <c r="B199" s="8">
        <f>SUM(B200:B205)</f>
        <v>49</v>
      </c>
      <c r="C199" s="8">
        <f>SUM(C200:C205)</f>
        <v>134</v>
      </c>
      <c r="D199" s="126">
        <f>SUM(D200)</f>
        <v>45</v>
      </c>
      <c r="E199" s="126">
        <f>SUM(E200:E205)</f>
        <v>5</v>
      </c>
      <c r="F199" s="126">
        <f>SUM(F200:F205)</f>
        <v>250</v>
      </c>
      <c r="G199" s="123">
        <f>B199+C199/60</f>
        <v>51.233333333333334</v>
      </c>
      <c r="H199" s="8">
        <f>SUM(H200:H205)</f>
        <v>250</v>
      </c>
      <c r="I199" s="14">
        <f>SUM(I200:I205)</f>
        <v>2804.833333333333</v>
      </c>
      <c r="J199" s="14">
        <f>SUM(J200:J205)</f>
        <v>2554.833333333333</v>
      </c>
      <c r="K199" s="8">
        <f>SUM(K200:K205)</f>
        <v>142</v>
      </c>
      <c r="L199" s="9">
        <v>0</v>
      </c>
      <c r="M199" s="96">
        <f>J199</f>
        <v>2554.833333333333</v>
      </c>
      <c r="N199" s="102">
        <f>SUM(N200:N205)</f>
        <v>2389</v>
      </c>
      <c r="O199" s="98">
        <f>2372-N199</f>
        <v>-17</v>
      </c>
      <c r="P199" s="86"/>
      <c r="Q199" s="86"/>
    </row>
    <row r="200" spans="1:17">
      <c r="A200" s="80" t="s">
        <v>1058</v>
      </c>
      <c r="B200" s="4">
        <v>10</v>
      </c>
      <c r="C200" s="4">
        <v>56</v>
      </c>
      <c r="D200" s="4">
        <v>45</v>
      </c>
      <c r="E200" s="4">
        <v>1</v>
      </c>
      <c r="F200" s="4">
        <v>50</v>
      </c>
      <c r="G200" s="10">
        <f t="shared" si="56"/>
        <v>10.933333333333334</v>
      </c>
      <c r="H200" s="4">
        <v>50</v>
      </c>
      <c r="I200" s="5">
        <f t="shared" ref="I200:I205" si="59">G200*D200</f>
        <v>492</v>
      </c>
      <c r="J200" s="5">
        <f t="shared" ref="J200:J205" si="60">I200-H200</f>
        <v>442</v>
      </c>
      <c r="K200">
        <v>24</v>
      </c>
      <c r="N200" s="51">
        <v>291</v>
      </c>
      <c r="O200" s="51"/>
    </row>
    <row r="201" spans="1:17">
      <c r="A201" s="80" t="s">
        <v>1059</v>
      </c>
      <c r="B201" s="4">
        <v>11</v>
      </c>
      <c r="C201" s="4">
        <v>0</v>
      </c>
      <c r="D201" s="4">
        <v>55</v>
      </c>
      <c r="E201" s="4">
        <v>1</v>
      </c>
      <c r="F201" s="4">
        <v>50</v>
      </c>
      <c r="G201" s="10">
        <f t="shared" si="56"/>
        <v>11</v>
      </c>
      <c r="H201" s="4">
        <v>50</v>
      </c>
      <c r="I201" s="5">
        <f t="shared" si="59"/>
        <v>605</v>
      </c>
      <c r="J201" s="5">
        <f t="shared" si="60"/>
        <v>555</v>
      </c>
      <c r="K201">
        <v>27</v>
      </c>
      <c r="N201" s="51">
        <v>366</v>
      </c>
    </row>
    <row r="202" spans="1:17">
      <c r="A202" s="80" t="s">
        <v>1060</v>
      </c>
      <c r="B202" s="4">
        <v>9</v>
      </c>
      <c r="C202" s="4">
        <v>38</v>
      </c>
      <c r="D202" s="4">
        <v>65</v>
      </c>
      <c r="E202" s="4">
        <v>1</v>
      </c>
      <c r="F202" s="4">
        <v>50</v>
      </c>
      <c r="G202" s="10">
        <f t="shared" si="56"/>
        <v>9.6333333333333329</v>
      </c>
      <c r="H202" s="4">
        <v>50</v>
      </c>
      <c r="I202" s="5">
        <f t="shared" si="59"/>
        <v>626.16666666666663</v>
      </c>
      <c r="J202" s="5">
        <f t="shared" si="60"/>
        <v>576.16666666666663</v>
      </c>
      <c r="K202">
        <v>34</v>
      </c>
      <c r="N202" s="51">
        <v>393</v>
      </c>
      <c r="O202" t="s">
        <v>856</v>
      </c>
      <c r="P202" t="s">
        <v>1146</v>
      </c>
    </row>
    <row r="203" spans="1:17">
      <c r="A203" s="80" t="s">
        <v>1061</v>
      </c>
      <c r="B203" s="4">
        <v>8</v>
      </c>
      <c r="C203" s="4">
        <v>40</v>
      </c>
      <c r="D203" s="4">
        <v>55</v>
      </c>
      <c r="E203" s="4">
        <v>1</v>
      </c>
      <c r="F203" s="4">
        <v>50</v>
      </c>
      <c r="G203" s="10">
        <f t="shared" si="56"/>
        <v>8.6666666666666661</v>
      </c>
      <c r="H203" s="4">
        <v>50</v>
      </c>
      <c r="I203" s="5">
        <f t="shared" si="59"/>
        <v>476.66666666666663</v>
      </c>
      <c r="J203" s="5">
        <f t="shared" si="60"/>
        <v>426.66666666666663</v>
      </c>
      <c r="K203">
        <v>30</v>
      </c>
      <c r="N203" s="51">
        <v>340</v>
      </c>
      <c r="P203" t="s">
        <v>956</v>
      </c>
    </row>
    <row r="204" spans="1:17">
      <c r="A204" s="80" t="s">
        <v>1063</v>
      </c>
      <c r="B204" s="4">
        <v>11</v>
      </c>
      <c r="C204" s="4">
        <v>0</v>
      </c>
      <c r="D204" s="4">
        <v>55</v>
      </c>
      <c r="E204" s="4">
        <v>1</v>
      </c>
      <c r="F204" s="4">
        <v>50</v>
      </c>
      <c r="G204" s="10">
        <f t="shared" si="56"/>
        <v>11</v>
      </c>
      <c r="H204" s="4">
        <v>50</v>
      </c>
      <c r="I204" s="5">
        <f t="shared" si="59"/>
        <v>605</v>
      </c>
      <c r="J204" s="5">
        <f t="shared" si="60"/>
        <v>555</v>
      </c>
      <c r="K204">
        <v>27</v>
      </c>
      <c r="N204" s="51">
        <f>159</f>
        <v>159</v>
      </c>
    </row>
    <row r="205" spans="1:17">
      <c r="A205" s="80" t="s">
        <v>1065</v>
      </c>
      <c r="B205" s="4">
        <v>0</v>
      </c>
      <c r="C205" s="4">
        <v>0</v>
      </c>
      <c r="D205" s="4">
        <v>45</v>
      </c>
      <c r="E205" s="4">
        <v>0</v>
      </c>
      <c r="F205" s="4">
        <v>0</v>
      </c>
      <c r="G205" s="10">
        <v>0</v>
      </c>
      <c r="H205" s="4">
        <v>0</v>
      </c>
      <c r="I205" s="5">
        <f t="shared" si="59"/>
        <v>0</v>
      </c>
      <c r="J205" s="5">
        <f t="shared" si="60"/>
        <v>0</v>
      </c>
      <c r="K205">
        <v>0</v>
      </c>
      <c r="N205" s="51">
        <v>840</v>
      </c>
    </row>
    <row r="206" spans="1:17" ht="19">
      <c r="A206" s="91" t="s">
        <v>1037</v>
      </c>
      <c r="B206" s="8">
        <f>SUM(B207:B213)</f>
        <v>48</v>
      </c>
      <c r="C206" s="8">
        <f>SUM(C207:C213)</f>
        <v>178</v>
      </c>
      <c r="D206" s="126">
        <f>SUM(D207)</f>
        <v>45</v>
      </c>
      <c r="E206" s="126">
        <f>SUM(E207:E213)</f>
        <v>6</v>
      </c>
      <c r="F206" s="126">
        <f>SUM(F207:F213)</f>
        <v>300</v>
      </c>
      <c r="G206" s="123">
        <f t="shared" ref="G206:G213" si="61">B206+C206/60</f>
        <v>50.966666666666669</v>
      </c>
      <c r="H206" s="8">
        <f>SUM(H207:H213)</f>
        <v>300</v>
      </c>
      <c r="I206" s="14">
        <f>SUM(I207:I213)</f>
        <v>2293.5</v>
      </c>
      <c r="J206" s="14">
        <f>SUM(J207:J213)</f>
        <v>1993.5</v>
      </c>
      <c r="K206" s="8">
        <f>SUM(K207:K213)</f>
        <v>112</v>
      </c>
      <c r="L206" s="9">
        <v>0</v>
      </c>
      <c r="M206" s="96">
        <f>J206</f>
        <v>1993.5</v>
      </c>
      <c r="N206" s="102">
        <f>SUM(N207:N213)</f>
        <v>3156.5</v>
      </c>
      <c r="O206" s="98">
        <f>3186-N206</f>
        <v>29.5</v>
      </c>
      <c r="P206" s="86"/>
      <c r="Q206" s="86"/>
    </row>
    <row r="207" spans="1:17">
      <c r="A207" s="80">
        <v>46146</v>
      </c>
      <c r="B207" s="4">
        <v>8</v>
      </c>
      <c r="C207" s="4">
        <v>19</v>
      </c>
      <c r="D207" s="4">
        <v>45</v>
      </c>
      <c r="E207" s="4">
        <v>1</v>
      </c>
      <c r="F207" s="4">
        <v>50</v>
      </c>
      <c r="G207" s="10">
        <f t="shared" si="61"/>
        <v>8.3166666666666664</v>
      </c>
      <c r="H207" s="4">
        <v>50</v>
      </c>
      <c r="I207" s="5">
        <f t="shared" ref="I207:I213" si="62">G207*D207</f>
        <v>374.25</v>
      </c>
      <c r="J207" s="5">
        <f t="shared" ref="J207:J213" si="63">I207-H207</f>
        <v>324.25</v>
      </c>
      <c r="K207">
        <v>20</v>
      </c>
      <c r="N207" s="51">
        <v>103</v>
      </c>
      <c r="O207" s="51"/>
      <c r="P207" t="s">
        <v>1147</v>
      </c>
    </row>
    <row r="208" spans="1:17">
      <c r="A208" s="80">
        <v>46147</v>
      </c>
      <c r="B208" s="4">
        <v>7</v>
      </c>
      <c r="C208" s="4">
        <v>58</v>
      </c>
      <c r="D208" s="4">
        <v>45</v>
      </c>
      <c r="E208" s="4">
        <v>1</v>
      </c>
      <c r="F208" s="4">
        <v>50</v>
      </c>
      <c r="G208" s="10">
        <f t="shared" si="61"/>
        <v>7.9666666666666668</v>
      </c>
      <c r="H208" s="4">
        <v>50</v>
      </c>
      <c r="I208" s="5">
        <f t="shared" si="62"/>
        <v>358.5</v>
      </c>
      <c r="J208" s="5">
        <f t="shared" si="63"/>
        <v>308.5</v>
      </c>
      <c r="K208">
        <v>16</v>
      </c>
      <c r="N208" s="51">
        <v>450.5</v>
      </c>
      <c r="P208" t="s">
        <v>1148</v>
      </c>
    </row>
    <row r="209" spans="1:17">
      <c r="A209" s="80">
        <v>46148</v>
      </c>
      <c r="B209" s="4">
        <v>0</v>
      </c>
      <c r="C209" s="4">
        <v>0</v>
      </c>
      <c r="D209" s="4">
        <v>45</v>
      </c>
      <c r="E209" s="4">
        <v>0</v>
      </c>
      <c r="F209" s="4">
        <v>0</v>
      </c>
      <c r="G209" s="10">
        <f t="shared" si="61"/>
        <v>0</v>
      </c>
      <c r="H209" s="4">
        <v>0</v>
      </c>
      <c r="I209" s="5">
        <f t="shared" si="62"/>
        <v>0</v>
      </c>
      <c r="J209" s="5">
        <f t="shared" si="63"/>
        <v>0</v>
      </c>
      <c r="K209">
        <v>0</v>
      </c>
      <c r="N209" s="51">
        <v>0</v>
      </c>
    </row>
    <row r="210" spans="1:17">
      <c r="A210" s="80">
        <v>46149</v>
      </c>
      <c r="B210" s="4">
        <v>8</v>
      </c>
      <c r="C210" s="4">
        <v>1</v>
      </c>
      <c r="D210" s="4">
        <v>45</v>
      </c>
      <c r="E210" s="4">
        <v>1</v>
      </c>
      <c r="F210" s="4">
        <v>50</v>
      </c>
      <c r="G210" s="10">
        <f t="shared" si="61"/>
        <v>8.0166666666666675</v>
      </c>
      <c r="H210" s="4">
        <v>50</v>
      </c>
      <c r="I210" s="5">
        <f t="shared" si="62"/>
        <v>360.75000000000006</v>
      </c>
      <c r="J210" s="5">
        <f t="shared" si="63"/>
        <v>310.75000000000006</v>
      </c>
      <c r="K210">
        <v>18</v>
      </c>
      <c r="N210" s="51">
        <f>506+303</f>
        <v>809</v>
      </c>
      <c r="P210" t="s">
        <v>1149</v>
      </c>
    </row>
    <row r="211" spans="1:17">
      <c r="A211" s="80">
        <v>46150</v>
      </c>
      <c r="B211" s="4">
        <v>7</v>
      </c>
      <c r="C211" s="4">
        <v>24</v>
      </c>
      <c r="D211" s="4">
        <v>45</v>
      </c>
      <c r="E211" s="4">
        <v>1</v>
      </c>
      <c r="F211" s="4">
        <v>50</v>
      </c>
      <c r="G211" s="10">
        <f t="shared" si="61"/>
        <v>7.4</v>
      </c>
      <c r="H211" s="4">
        <v>50</v>
      </c>
      <c r="I211" s="5">
        <f t="shared" si="62"/>
        <v>333</v>
      </c>
      <c r="J211" s="5">
        <f t="shared" si="63"/>
        <v>283</v>
      </c>
      <c r="K211">
        <v>15</v>
      </c>
      <c r="N211" s="51">
        <f>428</f>
        <v>428</v>
      </c>
      <c r="P211" t="s">
        <v>1069</v>
      </c>
    </row>
    <row r="212" spans="1:17">
      <c r="A212" s="80">
        <v>46151</v>
      </c>
      <c r="B212" s="4">
        <v>9</v>
      </c>
      <c r="C212" s="4">
        <v>52</v>
      </c>
      <c r="D212" s="12">
        <v>45</v>
      </c>
      <c r="E212" s="12">
        <v>1</v>
      </c>
      <c r="F212" s="12">
        <v>50</v>
      </c>
      <c r="G212" s="10">
        <f t="shared" si="61"/>
        <v>9.8666666666666671</v>
      </c>
      <c r="H212" s="4">
        <v>50</v>
      </c>
      <c r="I212" s="5">
        <f t="shared" si="62"/>
        <v>444</v>
      </c>
      <c r="J212" s="5">
        <f t="shared" si="63"/>
        <v>394</v>
      </c>
      <c r="K212">
        <v>20</v>
      </c>
      <c r="N212" s="51">
        <v>732</v>
      </c>
    </row>
    <row r="213" spans="1:17">
      <c r="A213" s="80">
        <v>46152</v>
      </c>
      <c r="B213" s="4">
        <v>9</v>
      </c>
      <c r="C213" s="172">
        <v>24</v>
      </c>
      <c r="D213" s="167">
        <v>45</v>
      </c>
      <c r="E213" s="167">
        <v>1</v>
      </c>
      <c r="F213" s="167">
        <v>50</v>
      </c>
      <c r="G213" s="10">
        <f t="shared" si="61"/>
        <v>9.4</v>
      </c>
      <c r="H213" s="4">
        <v>50</v>
      </c>
      <c r="I213" s="5">
        <f t="shared" si="62"/>
        <v>423</v>
      </c>
      <c r="J213" s="5">
        <f t="shared" si="63"/>
        <v>373</v>
      </c>
      <c r="K213">
        <v>23</v>
      </c>
      <c r="N213" s="51">
        <f>334+300</f>
        <v>634</v>
      </c>
    </row>
    <row r="214" spans="1:17" ht="19">
      <c r="A214" s="91" t="s">
        <v>1150</v>
      </c>
      <c r="B214" s="8">
        <f>SUM(B215:B221)</f>
        <v>62</v>
      </c>
      <c r="C214" s="8">
        <f>SUM(C215:C221)</f>
        <v>98</v>
      </c>
      <c r="D214" s="126">
        <f>SUM(D215)</f>
        <v>45</v>
      </c>
      <c r="E214" s="126">
        <f>SUM(E215:E221)</f>
        <v>6</v>
      </c>
      <c r="F214" s="126">
        <f>SUM(F215:F221)</f>
        <v>300</v>
      </c>
      <c r="G214" s="123">
        <f t="shared" ref="G214:G219" si="64">B214+C214/60</f>
        <v>63.633333333333333</v>
      </c>
      <c r="H214" s="8">
        <f>SUM(H215:H221)</f>
        <v>300</v>
      </c>
      <c r="I214" s="14">
        <f>SUM(I215:I221)</f>
        <v>3193.5</v>
      </c>
      <c r="J214" s="14">
        <f>SUM(J215:J221)</f>
        <v>2893.5</v>
      </c>
      <c r="K214" s="8">
        <f>SUM(K215:K221)</f>
        <v>160</v>
      </c>
      <c r="L214" s="9">
        <v>0</v>
      </c>
      <c r="M214" s="96">
        <f>J214</f>
        <v>2893.5</v>
      </c>
      <c r="N214" s="102">
        <f>SUM(N215:N221)</f>
        <v>1974</v>
      </c>
      <c r="O214" s="98">
        <f>2067-N214</f>
        <v>93</v>
      </c>
      <c r="P214" s="86"/>
      <c r="Q214" s="86"/>
    </row>
    <row r="215" spans="1:17">
      <c r="A215" s="80">
        <v>46146</v>
      </c>
      <c r="B215" s="4">
        <v>9</v>
      </c>
      <c r="C215" s="4">
        <v>12</v>
      </c>
      <c r="D215" s="4">
        <v>45</v>
      </c>
      <c r="E215" s="4">
        <v>1</v>
      </c>
      <c r="F215" s="4">
        <v>50</v>
      </c>
      <c r="G215" s="10">
        <f t="shared" si="64"/>
        <v>9.1999999999999993</v>
      </c>
      <c r="H215" s="4">
        <v>50</v>
      </c>
      <c r="I215" s="5">
        <f t="shared" ref="I215:I221" si="65">G215*D215</f>
        <v>413.99999999999994</v>
      </c>
      <c r="J215" s="5">
        <f t="shared" ref="J215:J221" si="66">I215-H215</f>
        <v>363.99999999999994</v>
      </c>
      <c r="K215">
        <v>23</v>
      </c>
      <c r="N215" s="51">
        <v>527</v>
      </c>
      <c r="O215" s="51"/>
      <c r="P215" t="s">
        <v>1151</v>
      </c>
    </row>
    <row r="216" spans="1:17">
      <c r="A216" s="80">
        <v>46147</v>
      </c>
      <c r="B216" s="4">
        <v>11</v>
      </c>
      <c r="C216" s="4">
        <v>0</v>
      </c>
      <c r="D216" s="4">
        <v>45</v>
      </c>
      <c r="E216" s="4">
        <v>1</v>
      </c>
      <c r="F216" s="4">
        <v>50</v>
      </c>
      <c r="G216" s="10">
        <f t="shared" si="64"/>
        <v>11</v>
      </c>
      <c r="H216" s="4">
        <v>50</v>
      </c>
      <c r="I216" s="5">
        <f t="shared" si="65"/>
        <v>495</v>
      </c>
      <c r="J216" s="5">
        <f t="shared" si="66"/>
        <v>445</v>
      </c>
      <c r="K216">
        <v>26</v>
      </c>
      <c r="N216" s="51">
        <v>210</v>
      </c>
    </row>
    <row r="217" spans="1:17">
      <c r="A217" s="80">
        <v>46148</v>
      </c>
      <c r="B217" s="4">
        <v>11</v>
      </c>
      <c r="C217" s="4">
        <v>0</v>
      </c>
      <c r="D217" s="4">
        <v>65</v>
      </c>
      <c r="E217" s="4">
        <v>1</v>
      </c>
      <c r="F217" s="4">
        <v>50</v>
      </c>
      <c r="G217" s="10">
        <f t="shared" si="64"/>
        <v>11</v>
      </c>
      <c r="H217" s="4">
        <v>50</v>
      </c>
      <c r="I217" s="5">
        <f t="shared" si="65"/>
        <v>715</v>
      </c>
      <c r="J217" s="5">
        <f t="shared" si="66"/>
        <v>665</v>
      </c>
      <c r="K217">
        <v>34</v>
      </c>
      <c r="N217" s="51">
        <v>344</v>
      </c>
      <c r="Q217" t="s">
        <v>64</v>
      </c>
    </row>
    <row r="218" spans="1:17">
      <c r="A218" s="80">
        <v>46149</v>
      </c>
      <c r="B218" s="4">
        <v>10</v>
      </c>
      <c r="C218" s="4">
        <v>39</v>
      </c>
      <c r="D218" s="4">
        <v>45</v>
      </c>
      <c r="E218" s="4">
        <v>1</v>
      </c>
      <c r="F218" s="4">
        <v>50</v>
      </c>
      <c r="G218" s="10">
        <f t="shared" si="64"/>
        <v>10.65</v>
      </c>
      <c r="H218" s="4">
        <v>50</v>
      </c>
      <c r="I218" s="5">
        <f t="shared" si="65"/>
        <v>479.25</v>
      </c>
      <c r="J218" s="5">
        <f t="shared" si="66"/>
        <v>429.25</v>
      </c>
      <c r="K218">
        <v>24</v>
      </c>
      <c r="N218" s="51">
        <v>293</v>
      </c>
      <c r="P218" t="s">
        <v>1152</v>
      </c>
    </row>
    <row r="219" spans="1:17">
      <c r="A219" s="80">
        <v>46150</v>
      </c>
      <c r="B219" s="4">
        <v>10</v>
      </c>
      <c r="C219" s="4">
        <v>47</v>
      </c>
      <c r="D219" s="4">
        <v>45</v>
      </c>
      <c r="E219" s="4">
        <v>1</v>
      </c>
      <c r="F219" s="4">
        <v>50</v>
      </c>
      <c r="G219" s="10">
        <f t="shared" si="64"/>
        <v>10.783333333333333</v>
      </c>
      <c r="H219" s="4">
        <v>50</v>
      </c>
      <c r="I219" s="5">
        <f t="shared" si="65"/>
        <v>485.25</v>
      </c>
      <c r="J219" s="5">
        <f t="shared" si="66"/>
        <v>435.25</v>
      </c>
      <c r="K219">
        <v>24</v>
      </c>
      <c r="N219" s="51">
        <f>218</f>
        <v>218</v>
      </c>
      <c r="P219" t="s">
        <v>1153</v>
      </c>
    </row>
    <row r="220" spans="1:17">
      <c r="A220" s="80">
        <v>46151</v>
      </c>
      <c r="B220" s="4">
        <v>11</v>
      </c>
      <c r="C220" s="4">
        <v>0</v>
      </c>
      <c r="D220" s="4">
        <v>55</v>
      </c>
      <c r="E220" s="4">
        <v>1</v>
      </c>
      <c r="F220" s="4">
        <v>50</v>
      </c>
      <c r="G220" s="10">
        <f>B220+C220/60</f>
        <v>11</v>
      </c>
      <c r="H220" s="4">
        <v>50</v>
      </c>
      <c r="I220" s="5">
        <f t="shared" si="65"/>
        <v>605</v>
      </c>
      <c r="J220" s="5">
        <f t="shared" si="66"/>
        <v>555</v>
      </c>
      <c r="K220">
        <v>29</v>
      </c>
      <c r="N220" s="51">
        <v>382</v>
      </c>
    </row>
    <row r="221" spans="1:17">
      <c r="A221" s="80">
        <v>46152</v>
      </c>
      <c r="B221" s="4">
        <v>0</v>
      </c>
      <c r="C221" s="4">
        <v>0</v>
      </c>
      <c r="D221" s="4">
        <v>45</v>
      </c>
      <c r="E221" s="4">
        <v>0</v>
      </c>
      <c r="F221" s="4">
        <v>0</v>
      </c>
      <c r="G221" s="10">
        <f t="shared" ref="G221:G272" si="67">B221+C221/60</f>
        <v>0</v>
      </c>
      <c r="H221" s="4">
        <v>0</v>
      </c>
      <c r="I221" s="5">
        <f t="shared" si="65"/>
        <v>0</v>
      </c>
      <c r="J221" s="5">
        <f t="shared" si="66"/>
        <v>0</v>
      </c>
      <c r="K221">
        <v>0</v>
      </c>
      <c r="N221" s="51">
        <v>0</v>
      </c>
    </row>
    <row r="222" spans="1:17" ht="19">
      <c r="A222" s="91" t="s">
        <v>1038</v>
      </c>
      <c r="B222" s="8">
        <f>SUM(B223:B229)</f>
        <v>10</v>
      </c>
      <c r="C222" s="8">
        <f>SUM(C223:C229)</f>
        <v>43</v>
      </c>
      <c r="D222" s="126">
        <f>SUM(D223)</f>
        <v>45</v>
      </c>
      <c r="E222" s="126">
        <f>SUM(E223:E229)</f>
        <v>1</v>
      </c>
      <c r="F222" s="126">
        <f>SUM(F223:F229)</f>
        <v>50</v>
      </c>
      <c r="G222" s="123">
        <f>B222+C222/60</f>
        <v>10.716666666666667</v>
      </c>
      <c r="H222" s="8">
        <f>SUM(H223:H229)</f>
        <v>50</v>
      </c>
      <c r="I222" s="14">
        <f>SUM(I223:I229)</f>
        <v>482.25</v>
      </c>
      <c r="J222" s="14">
        <f>SUM(J223:J229)</f>
        <v>432.25</v>
      </c>
      <c r="K222" s="8">
        <f>SUM(K223:K228)</f>
        <v>19</v>
      </c>
      <c r="L222" s="9">
        <v>0</v>
      </c>
      <c r="M222" s="96">
        <f>J222</f>
        <v>432.25</v>
      </c>
      <c r="N222" s="102">
        <f>SUM(N223:N229)</f>
        <v>305</v>
      </c>
      <c r="O222" s="98">
        <f>355-N222</f>
        <v>50</v>
      </c>
      <c r="P222" s="86"/>
      <c r="Q222" s="86"/>
    </row>
    <row r="223" spans="1:17">
      <c r="A223" s="80">
        <v>46146</v>
      </c>
      <c r="B223" s="4">
        <v>10</v>
      </c>
      <c r="C223" s="4">
        <v>43</v>
      </c>
      <c r="D223" s="4">
        <v>45</v>
      </c>
      <c r="E223" s="4">
        <v>1</v>
      </c>
      <c r="F223" s="4">
        <v>50</v>
      </c>
      <c r="G223" s="10">
        <f t="shared" ref="G223:G229" si="68">B223+C223/60</f>
        <v>10.716666666666667</v>
      </c>
      <c r="H223" s="4">
        <v>50</v>
      </c>
      <c r="I223" s="5">
        <f t="shared" ref="I223:I229" si="69">G223*D223</f>
        <v>482.25</v>
      </c>
      <c r="J223" s="5">
        <f t="shared" ref="J223:J229" si="70">I223-H223</f>
        <v>432.25</v>
      </c>
      <c r="K223">
        <v>19</v>
      </c>
      <c r="N223" s="51">
        <f>155+150</f>
        <v>305</v>
      </c>
      <c r="O223" s="51"/>
    </row>
    <row r="224" spans="1:17">
      <c r="A224" s="80">
        <v>46147</v>
      </c>
      <c r="B224" s="4">
        <v>0</v>
      </c>
      <c r="C224" s="4">
        <v>0</v>
      </c>
      <c r="D224" s="4">
        <v>45</v>
      </c>
      <c r="E224" s="4">
        <v>0</v>
      </c>
      <c r="F224" s="4">
        <v>0</v>
      </c>
      <c r="G224" s="10">
        <f t="shared" si="68"/>
        <v>0</v>
      </c>
      <c r="H224" s="4">
        <v>0</v>
      </c>
      <c r="I224" s="5">
        <f t="shared" si="69"/>
        <v>0</v>
      </c>
      <c r="J224" s="5">
        <f t="shared" si="70"/>
        <v>0</v>
      </c>
      <c r="K224">
        <v>0</v>
      </c>
      <c r="N224" s="51">
        <v>0</v>
      </c>
    </row>
    <row r="225" spans="1:17">
      <c r="A225" s="80">
        <v>46148</v>
      </c>
      <c r="B225" s="4">
        <v>0</v>
      </c>
      <c r="C225" s="4">
        <v>0</v>
      </c>
      <c r="D225" s="4">
        <v>45</v>
      </c>
      <c r="E225" s="4">
        <v>0</v>
      </c>
      <c r="F225" s="4">
        <v>0</v>
      </c>
      <c r="G225" s="10">
        <f>B225+C225/60</f>
        <v>0</v>
      </c>
      <c r="H225" s="4">
        <v>0</v>
      </c>
      <c r="I225" s="5">
        <f t="shared" si="69"/>
        <v>0</v>
      </c>
      <c r="J225" s="5">
        <f t="shared" si="70"/>
        <v>0</v>
      </c>
      <c r="K225">
        <v>0</v>
      </c>
      <c r="N225" s="51">
        <v>0</v>
      </c>
    </row>
    <row r="226" spans="1:17">
      <c r="A226" s="80">
        <v>46149</v>
      </c>
      <c r="B226" s="4">
        <v>0</v>
      </c>
      <c r="C226" s="4">
        <v>0</v>
      </c>
      <c r="D226" s="4">
        <v>45</v>
      </c>
      <c r="E226" s="4">
        <v>0</v>
      </c>
      <c r="F226" s="4">
        <v>0</v>
      </c>
      <c r="G226" s="10">
        <f t="shared" si="68"/>
        <v>0</v>
      </c>
      <c r="H226" s="4">
        <v>0</v>
      </c>
      <c r="I226" s="5">
        <f t="shared" si="69"/>
        <v>0</v>
      </c>
      <c r="J226" s="5">
        <f t="shared" si="70"/>
        <v>0</v>
      </c>
      <c r="K226">
        <v>0</v>
      </c>
      <c r="N226" s="51">
        <v>0</v>
      </c>
    </row>
    <row r="227" spans="1:17">
      <c r="A227" s="80">
        <v>46150</v>
      </c>
      <c r="B227" s="4">
        <v>0</v>
      </c>
      <c r="C227" s="4">
        <v>0</v>
      </c>
      <c r="D227" s="4">
        <v>45</v>
      </c>
      <c r="E227" s="4">
        <v>0</v>
      </c>
      <c r="F227" s="4">
        <v>0</v>
      </c>
      <c r="G227" s="10">
        <f t="shared" si="68"/>
        <v>0</v>
      </c>
      <c r="H227" s="4">
        <v>0</v>
      </c>
      <c r="I227" s="5">
        <f t="shared" si="69"/>
        <v>0</v>
      </c>
      <c r="J227" s="5">
        <f t="shared" si="70"/>
        <v>0</v>
      </c>
      <c r="K227">
        <v>0</v>
      </c>
      <c r="N227" s="51">
        <v>0</v>
      </c>
    </row>
    <row r="228" spans="1:17">
      <c r="A228" s="80">
        <v>46151</v>
      </c>
      <c r="B228" s="4">
        <v>0</v>
      </c>
      <c r="C228" s="4">
        <v>0</v>
      </c>
      <c r="D228" s="4">
        <v>45</v>
      </c>
      <c r="E228" s="4">
        <v>0</v>
      </c>
      <c r="F228" s="4">
        <v>0</v>
      </c>
      <c r="G228" s="10">
        <f t="shared" si="68"/>
        <v>0</v>
      </c>
      <c r="H228" s="4">
        <v>0</v>
      </c>
      <c r="I228" s="5">
        <f t="shared" si="69"/>
        <v>0</v>
      </c>
      <c r="J228" s="5">
        <f t="shared" si="70"/>
        <v>0</v>
      </c>
      <c r="K228">
        <v>0</v>
      </c>
      <c r="N228" s="51">
        <v>0</v>
      </c>
    </row>
    <row r="229" spans="1:17">
      <c r="A229" s="80">
        <v>46152</v>
      </c>
      <c r="B229" s="4">
        <v>0</v>
      </c>
      <c r="C229" s="4">
        <v>0</v>
      </c>
      <c r="D229" s="4">
        <v>45</v>
      </c>
      <c r="E229" s="4">
        <v>0</v>
      </c>
      <c r="F229" s="4">
        <v>0</v>
      </c>
      <c r="G229" s="10">
        <f t="shared" si="68"/>
        <v>0</v>
      </c>
      <c r="H229" s="4">
        <v>0</v>
      </c>
      <c r="I229" s="5">
        <f t="shared" si="69"/>
        <v>0</v>
      </c>
      <c r="J229" s="5">
        <f t="shared" si="70"/>
        <v>0</v>
      </c>
      <c r="K229">
        <v>0</v>
      </c>
      <c r="N229" s="51"/>
    </row>
    <row r="230" spans="1:17" ht="19">
      <c r="A230" s="91" t="s">
        <v>540</v>
      </c>
      <c r="B230" s="8">
        <f>SUM(B231:B237)</f>
        <v>25</v>
      </c>
      <c r="C230" s="8">
        <f>SUM(C231:C237)</f>
        <v>88</v>
      </c>
      <c r="D230" s="126">
        <f>SUM(D231)</f>
        <v>45</v>
      </c>
      <c r="E230" s="126">
        <f>SUM(E231:E244)</f>
        <v>4</v>
      </c>
      <c r="F230" s="126">
        <f>SUM(F231:F237)</f>
        <v>200</v>
      </c>
      <c r="G230" s="123">
        <f t="shared" ref="G230:G237" si="71">B230+C230/60</f>
        <v>26.466666666666665</v>
      </c>
      <c r="H230" s="8">
        <f>SUM(H231:H237)</f>
        <v>269</v>
      </c>
      <c r="I230" s="14">
        <f>SUM(I231:I237)</f>
        <v>1191</v>
      </c>
      <c r="J230" s="14">
        <f>SUM(J231:J237)</f>
        <v>922</v>
      </c>
      <c r="K230" s="176">
        <f>SUM(K231:K237)</f>
        <v>59</v>
      </c>
      <c r="L230" s="9">
        <v>0</v>
      </c>
      <c r="M230" s="96">
        <f>J230</f>
        <v>922</v>
      </c>
      <c r="N230" s="102">
        <f>SUM(N231:N237)</f>
        <v>1033</v>
      </c>
      <c r="O230" s="98">
        <f>733-N230</f>
        <v>-300</v>
      </c>
      <c r="P230" s="86"/>
      <c r="Q230" s="86"/>
    </row>
    <row r="231" spans="1:17">
      <c r="A231" s="80">
        <v>46146</v>
      </c>
      <c r="B231" s="4">
        <v>0</v>
      </c>
      <c r="C231" s="4">
        <v>0</v>
      </c>
      <c r="D231" s="4">
        <v>45</v>
      </c>
      <c r="E231" s="4">
        <v>0</v>
      </c>
      <c r="F231" s="4">
        <v>0</v>
      </c>
      <c r="G231" s="10">
        <f t="shared" si="71"/>
        <v>0</v>
      </c>
      <c r="H231" s="4">
        <v>0</v>
      </c>
      <c r="I231" s="5">
        <f t="shared" ref="I231:I237" si="72">G231*D231</f>
        <v>0</v>
      </c>
      <c r="J231" s="5">
        <f t="shared" ref="J231:J237" si="73">I231-H231</f>
        <v>0</v>
      </c>
      <c r="K231">
        <v>0</v>
      </c>
      <c r="N231" s="51">
        <v>0</v>
      </c>
      <c r="O231" s="51"/>
    </row>
    <row r="232" spans="1:17">
      <c r="A232" s="80">
        <v>46147</v>
      </c>
      <c r="B232" s="4">
        <v>0</v>
      </c>
      <c r="C232" s="4">
        <v>0</v>
      </c>
      <c r="D232" s="4">
        <v>45</v>
      </c>
      <c r="E232" s="4">
        <v>0</v>
      </c>
      <c r="F232" s="4">
        <v>0</v>
      </c>
      <c r="G232" s="10">
        <f t="shared" si="71"/>
        <v>0</v>
      </c>
      <c r="H232" s="4">
        <v>0</v>
      </c>
      <c r="I232" s="5">
        <f t="shared" si="72"/>
        <v>0</v>
      </c>
      <c r="J232" s="5">
        <f t="shared" si="73"/>
        <v>0</v>
      </c>
      <c r="K232">
        <v>0</v>
      </c>
      <c r="N232" s="51">
        <v>0</v>
      </c>
    </row>
    <row r="233" spans="1:17">
      <c r="A233" s="80">
        <v>46148</v>
      </c>
      <c r="B233" s="4">
        <v>5</v>
      </c>
      <c r="C233" s="4">
        <v>50</v>
      </c>
      <c r="D233" s="4">
        <v>45</v>
      </c>
      <c r="E233" s="4">
        <v>1</v>
      </c>
      <c r="F233" s="4">
        <v>50</v>
      </c>
      <c r="G233" s="10">
        <f t="shared" si="71"/>
        <v>5.833333333333333</v>
      </c>
      <c r="H233" s="4">
        <v>50</v>
      </c>
      <c r="I233" s="5">
        <f t="shared" si="72"/>
        <v>262.5</v>
      </c>
      <c r="J233" s="5">
        <f t="shared" si="73"/>
        <v>212.5</v>
      </c>
      <c r="K233">
        <v>12</v>
      </c>
      <c r="N233" s="51">
        <v>34</v>
      </c>
      <c r="P233" t="s">
        <v>1154</v>
      </c>
    </row>
    <row r="234" spans="1:17">
      <c r="A234" s="80">
        <v>46149</v>
      </c>
      <c r="B234" s="4">
        <v>7</v>
      </c>
      <c r="C234" s="4">
        <v>4</v>
      </c>
      <c r="D234" s="4">
        <v>45</v>
      </c>
      <c r="E234" s="4">
        <v>1</v>
      </c>
      <c r="F234" s="4">
        <v>50</v>
      </c>
      <c r="G234" s="10">
        <f t="shared" si="71"/>
        <v>7.0666666666666664</v>
      </c>
      <c r="H234" s="4">
        <f>50+69</f>
        <v>119</v>
      </c>
      <c r="I234" s="5">
        <f t="shared" si="72"/>
        <v>318</v>
      </c>
      <c r="J234" s="5">
        <f t="shared" si="73"/>
        <v>199</v>
      </c>
      <c r="K234">
        <v>16</v>
      </c>
      <c r="N234" s="51">
        <v>196</v>
      </c>
      <c r="O234" t="s">
        <v>1155</v>
      </c>
      <c r="P234" t="s">
        <v>1156</v>
      </c>
    </row>
    <row r="235" spans="1:17">
      <c r="A235" s="80">
        <v>46150</v>
      </c>
      <c r="B235" s="4">
        <v>8</v>
      </c>
      <c r="C235" s="4">
        <v>0</v>
      </c>
      <c r="D235" s="4">
        <v>45</v>
      </c>
      <c r="E235" s="4">
        <v>1</v>
      </c>
      <c r="F235" s="4">
        <v>50</v>
      </c>
      <c r="G235" s="10">
        <f t="shared" si="71"/>
        <v>8</v>
      </c>
      <c r="H235" s="4">
        <v>50</v>
      </c>
      <c r="I235" s="5">
        <f t="shared" si="72"/>
        <v>360</v>
      </c>
      <c r="J235" s="5">
        <f t="shared" si="73"/>
        <v>310</v>
      </c>
      <c r="K235">
        <v>18</v>
      </c>
      <c r="N235" s="51">
        <f>249</f>
        <v>249</v>
      </c>
      <c r="P235" t="s">
        <v>1157</v>
      </c>
    </row>
    <row r="236" spans="1:17">
      <c r="A236" s="80">
        <v>46151</v>
      </c>
      <c r="B236" s="4">
        <v>5</v>
      </c>
      <c r="C236" s="4">
        <v>34</v>
      </c>
      <c r="D236" s="4">
        <v>45</v>
      </c>
      <c r="E236" s="4">
        <v>1</v>
      </c>
      <c r="F236" s="4">
        <v>50</v>
      </c>
      <c r="G236" s="10">
        <f t="shared" si="71"/>
        <v>5.5666666666666664</v>
      </c>
      <c r="H236" s="4">
        <v>50</v>
      </c>
      <c r="I236" s="5">
        <f t="shared" si="72"/>
        <v>250.5</v>
      </c>
      <c r="J236" s="5">
        <f t="shared" si="73"/>
        <v>200.5</v>
      </c>
      <c r="K236">
        <v>13</v>
      </c>
      <c r="N236" s="51">
        <v>554</v>
      </c>
      <c r="P236" t="s">
        <v>1158</v>
      </c>
    </row>
    <row r="237" spans="1:17">
      <c r="A237" s="80">
        <v>46152</v>
      </c>
      <c r="B237" s="4">
        <v>0</v>
      </c>
      <c r="C237" s="4">
        <v>0</v>
      </c>
      <c r="D237" s="4">
        <v>45</v>
      </c>
      <c r="E237" s="4">
        <v>0</v>
      </c>
      <c r="F237" s="4">
        <v>0</v>
      </c>
      <c r="G237" s="10">
        <f t="shared" si="71"/>
        <v>0</v>
      </c>
      <c r="H237" s="4">
        <v>0</v>
      </c>
      <c r="I237" s="5">
        <f t="shared" si="72"/>
        <v>0</v>
      </c>
      <c r="J237" s="5">
        <f t="shared" si="73"/>
        <v>0</v>
      </c>
      <c r="K237">
        <v>0</v>
      </c>
      <c r="N237" s="51" t="s">
        <v>774</v>
      </c>
    </row>
    <row r="238" spans="1:17" ht="19" hidden="1">
      <c r="A238" s="91" t="s">
        <v>932</v>
      </c>
      <c r="B238" s="8">
        <f>SUM(B239:B244)</f>
        <v>0</v>
      </c>
      <c r="C238" s="8">
        <f>SUM(C239:C244)</f>
        <v>0</v>
      </c>
      <c r="D238" s="126">
        <f>SUM(D239)</f>
        <v>45</v>
      </c>
      <c r="E238" s="126">
        <f>SUM(E239:E244)</f>
        <v>0</v>
      </c>
      <c r="F238" s="126">
        <f>SUM(F239:F244)</f>
        <v>300</v>
      </c>
      <c r="G238" s="123">
        <f t="shared" si="67"/>
        <v>0</v>
      </c>
      <c r="H238" s="8">
        <f>SUM(H239:H253)</f>
        <v>1082.2</v>
      </c>
      <c r="I238" s="14">
        <f>SUM(I239:I244)</f>
        <v>0</v>
      </c>
      <c r="J238" s="14">
        <f>SUM(J239:J244)</f>
        <v>0</v>
      </c>
      <c r="K238" s="8">
        <f>SUM(K239:K244)</f>
        <v>0</v>
      </c>
      <c r="L238" s="9">
        <v>0</v>
      </c>
      <c r="M238" s="96">
        <f>J238</f>
        <v>0</v>
      </c>
      <c r="N238" s="102">
        <f>SUM(N239:N244)</f>
        <v>0</v>
      </c>
      <c r="O238" s="98"/>
      <c r="P238" s="86"/>
      <c r="Q238" s="86"/>
    </row>
    <row r="239" spans="1:17" hidden="1">
      <c r="A239" s="80">
        <v>46146</v>
      </c>
      <c r="B239" s="4">
        <v>0</v>
      </c>
      <c r="C239" s="4">
        <v>0</v>
      </c>
      <c r="D239" s="4">
        <v>45</v>
      </c>
      <c r="E239" s="4">
        <v>0</v>
      </c>
      <c r="F239" s="4">
        <v>50</v>
      </c>
      <c r="G239" s="10">
        <f t="shared" si="67"/>
        <v>0</v>
      </c>
      <c r="H239" s="4">
        <v>0</v>
      </c>
      <c r="I239" s="5">
        <f t="shared" ref="I239:I245" si="74">G239*D239</f>
        <v>0</v>
      </c>
      <c r="J239" s="5">
        <f t="shared" ref="J239:J240" si="75">I239-H239</f>
        <v>0</v>
      </c>
      <c r="K239">
        <v>0</v>
      </c>
      <c r="N239" s="51">
        <v>0</v>
      </c>
      <c r="O239" s="51"/>
    </row>
    <row r="240" spans="1:17" hidden="1">
      <c r="A240" s="80">
        <v>46147</v>
      </c>
      <c r="B240" s="4">
        <v>0</v>
      </c>
      <c r="C240" s="4">
        <v>0</v>
      </c>
      <c r="D240" s="4">
        <v>45</v>
      </c>
      <c r="E240" s="4">
        <v>0</v>
      </c>
      <c r="F240" s="4">
        <v>50</v>
      </c>
      <c r="G240" s="10">
        <f t="shared" si="67"/>
        <v>0</v>
      </c>
      <c r="H240" s="4">
        <v>0</v>
      </c>
      <c r="I240" s="5">
        <f t="shared" si="74"/>
        <v>0</v>
      </c>
      <c r="J240" s="5">
        <f t="shared" si="75"/>
        <v>0</v>
      </c>
      <c r="K240">
        <v>0</v>
      </c>
      <c r="N240" s="51">
        <v>0</v>
      </c>
    </row>
    <row r="241" spans="1:17" hidden="1">
      <c r="A241" s="80">
        <v>46148</v>
      </c>
      <c r="B241" s="4">
        <v>0</v>
      </c>
      <c r="C241" s="4">
        <v>0</v>
      </c>
      <c r="D241" s="4">
        <v>45</v>
      </c>
      <c r="E241" s="4">
        <v>0</v>
      </c>
      <c r="F241" s="4">
        <v>50</v>
      </c>
      <c r="G241" s="10">
        <f t="shared" si="67"/>
        <v>0</v>
      </c>
      <c r="H241" s="4">
        <v>0</v>
      </c>
      <c r="I241" s="5">
        <f t="shared" si="74"/>
        <v>0</v>
      </c>
      <c r="J241" s="5">
        <f>I241-H241</f>
        <v>0</v>
      </c>
      <c r="K241">
        <v>0</v>
      </c>
      <c r="N241" s="51">
        <v>0</v>
      </c>
      <c r="Q241" t="s">
        <v>64</v>
      </c>
    </row>
    <row r="242" spans="1:17" hidden="1">
      <c r="A242" s="80">
        <v>46149</v>
      </c>
      <c r="B242" s="4">
        <v>0</v>
      </c>
      <c r="C242" s="4">
        <v>0</v>
      </c>
      <c r="D242" s="4">
        <v>45</v>
      </c>
      <c r="E242" s="4">
        <v>0</v>
      </c>
      <c r="F242" s="4">
        <v>50</v>
      </c>
      <c r="G242" s="10">
        <f t="shared" si="67"/>
        <v>0</v>
      </c>
      <c r="H242" s="4">
        <v>0</v>
      </c>
      <c r="I242" s="5">
        <f t="shared" si="74"/>
        <v>0</v>
      </c>
      <c r="J242" s="5">
        <f t="shared" ref="J242:J245" si="76">I242-H242</f>
        <v>0</v>
      </c>
      <c r="K242">
        <v>0</v>
      </c>
      <c r="N242" s="51">
        <v>0</v>
      </c>
    </row>
    <row r="243" spans="1:17" hidden="1">
      <c r="A243" s="80">
        <v>46150</v>
      </c>
      <c r="B243" s="4">
        <v>0</v>
      </c>
      <c r="C243" s="4">
        <v>0</v>
      </c>
      <c r="D243" s="4">
        <v>45</v>
      </c>
      <c r="E243" s="4">
        <v>0</v>
      </c>
      <c r="F243" s="4">
        <v>50</v>
      </c>
      <c r="G243" s="10">
        <f t="shared" si="67"/>
        <v>0</v>
      </c>
      <c r="H243" s="4">
        <v>0</v>
      </c>
      <c r="I243" s="5">
        <f t="shared" si="74"/>
        <v>0</v>
      </c>
      <c r="J243" s="5">
        <f t="shared" si="76"/>
        <v>0</v>
      </c>
      <c r="K243">
        <v>0</v>
      </c>
      <c r="N243" s="51">
        <v>0</v>
      </c>
    </row>
    <row r="244" spans="1:17" hidden="1">
      <c r="A244" s="80">
        <v>46151</v>
      </c>
      <c r="B244" s="4">
        <v>0</v>
      </c>
      <c r="C244" s="4">
        <v>0</v>
      </c>
      <c r="D244" s="4">
        <v>45</v>
      </c>
      <c r="E244" s="4">
        <v>0</v>
      </c>
      <c r="F244" s="4">
        <v>50</v>
      </c>
      <c r="G244" s="10">
        <f t="shared" si="67"/>
        <v>0</v>
      </c>
      <c r="H244" s="4">
        <v>0</v>
      </c>
      <c r="I244" s="5">
        <f t="shared" si="74"/>
        <v>0</v>
      </c>
      <c r="J244" s="5">
        <f t="shared" si="76"/>
        <v>0</v>
      </c>
      <c r="K244">
        <v>0</v>
      </c>
      <c r="N244" s="51">
        <v>0</v>
      </c>
    </row>
    <row r="245" spans="1:17" hidden="1">
      <c r="A245" s="80">
        <v>46152</v>
      </c>
      <c r="B245" s="4">
        <v>0</v>
      </c>
      <c r="C245" s="4">
        <v>0</v>
      </c>
      <c r="D245" s="4">
        <v>45</v>
      </c>
      <c r="E245" s="4">
        <v>0</v>
      </c>
      <c r="F245" s="4">
        <v>50</v>
      </c>
      <c r="G245" s="10">
        <f t="shared" si="67"/>
        <v>0</v>
      </c>
      <c r="H245" s="4">
        <v>0</v>
      </c>
      <c r="I245" s="5">
        <f t="shared" si="74"/>
        <v>0</v>
      </c>
      <c r="J245" s="5">
        <f t="shared" si="76"/>
        <v>0</v>
      </c>
      <c r="K245">
        <v>0</v>
      </c>
      <c r="N245" s="51"/>
    </row>
    <row r="246" spans="1:17" ht="19">
      <c r="A246" s="91" t="s">
        <v>936</v>
      </c>
      <c r="B246" s="8">
        <f>SUM(B247:B253)</f>
        <v>52</v>
      </c>
      <c r="C246" s="8">
        <f>SUM(C247:C253)</f>
        <v>156</v>
      </c>
      <c r="D246" s="126">
        <f>SUM(D247)</f>
        <v>45</v>
      </c>
      <c r="E246" s="126">
        <f>SUM(E247:E253)</f>
        <v>7</v>
      </c>
      <c r="F246" s="126">
        <f>SUM(F247:F253)</f>
        <v>350</v>
      </c>
      <c r="G246" s="123">
        <f t="shared" si="67"/>
        <v>54.6</v>
      </c>
      <c r="H246" s="8">
        <f>SUM(H247:H253)</f>
        <v>541.1</v>
      </c>
      <c r="I246" s="14">
        <f>SUM(I247:I253)</f>
        <v>2620</v>
      </c>
      <c r="J246" s="14">
        <f>SUM(J247:J253)</f>
        <v>2078.9</v>
      </c>
      <c r="K246" s="176">
        <f>SUM(K247:K253)</f>
        <v>154</v>
      </c>
      <c r="L246" s="9">
        <v>0</v>
      </c>
      <c r="M246" s="96">
        <f>J246</f>
        <v>2078.9</v>
      </c>
      <c r="N246" s="102">
        <f>SUM(N247:N253)</f>
        <v>3269</v>
      </c>
      <c r="O246" s="98">
        <f>3260-N246</f>
        <v>-9</v>
      </c>
      <c r="P246" s="86"/>
      <c r="Q246" s="86"/>
    </row>
    <row r="247" spans="1:17">
      <c r="A247" s="80">
        <v>46146</v>
      </c>
      <c r="B247" s="4">
        <v>8</v>
      </c>
      <c r="C247" s="4">
        <v>41</v>
      </c>
      <c r="D247" s="4">
        <v>45</v>
      </c>
      <c r="E247" s="4">
        <v>1</v>
      </c>
      <c r="F247" s="4">
        <v>50</v>
      </c>
      <c r="G247" s="10">
        <f t="shared" si="67"/>
        <v>8.6833333333333336</v>
      </c>
      <c r="H247" s="4">
        <f>50+191.1</f>
        <v>241.1</v>
      </c>
      <c r="I247" s="5">
        <f t="shared" ref="I247:I253" si="77">G247*D247</f>
        <v>390.75</v>
      </c>
      <c r="J247" s="5">
        <f t="shared" ref="J247:J253" si="78">I247-H247</f>
        <v>149.65</v>
      </c>
      <c r="K247">
        <v>20</v>
      </c>
      <c r="N247" s="51">
        <v>620</v>
      </c>
      <c r="O247" s="51"/>
      <c r="P247" t="s">
        <v>1159</v>
      </c>
    </row>
    <row r="248" spans="1:17">
      <c r="A248" s="80">
        <v>46147</v>
      </c>
      <c r="B248" s="4">
        <v>7</v>
      </c>
      <c r="C248" s="4">
        <v>47</v>
      </c>
      <c r="D248" s="4">
        <v>45</v>
      </c>
      <c r="E248" s="4">
        <v>1</v>
      </c>
      <c r="F248" s="4">
        <v>50</v>
      </c>
      <c r="G248" s="10">
        <f t="shared" si="67"/>
        <v>7.7833333333333332</v>
      </c>
      <c r="H248" s="4">
        <v>50</v>
      </c>
      <c r="I248" s="5">
        <f t="shared" si="77"/>
        <v>350.25</v>
      </c>
      <c r="J248" s="5">
        <f t="shared" si="78"/>
        <v>300.25</v>
      </c>
      <c r="K248">
        <v>23</v>
      </c>
      <c r="N248" s="51">
        <v>449</v>
      </c>
      <c r="P248" t="s">
        <v>1160</v>
      </c>
    </row>
    <row r="249" spans="1:17">
      <c r="A249" s="80">
        <v>46148</v>
      </c>
      <c r="B249" s="4">
        <v>6</v>
      </c>
      <c r="C249" s="4">
        <v>5</v>
      </c>
      <c r="D249" s="4">
        <v>45</v>
      </c>
      <c r="E249" s="4">
        <v>1</v>
      </c>
      <c r="F249" s="4">
        <v>50</v>
      </c>
      <c r="G249" s="10">
        <f t="shared" si="67"/>
        <v>6.083333333333333</v>
      </c>
      <c r="H249" s="4">
        <v>50</v>
      </c>
      <c r="I249" s="5">
        <f t="shared" si="77"/>
        <v>273.75</v>
      </c>
      <c r="J249" s="5">
        <f t="shared" si="78"/>
        <v>223.75</v>
      </c>
      <c r="K249">
        <v>11</v>
      </c>
      <c r="N249" s="51">
        <v>385</v>
      </c>
    </row>
    <row r="250" spans="1:17">
      <c r="A250" s="80">
        <v>46149</v>
      </c>
      <c r="B250" s="4">
        <v>6</v>
      </c>
      <c r="C250" s="4">
        <v>43</v>
      </c>
      <c r="D250" s="4">
        <v>45</v>
      </c>
      <c r="E250" s="4">
        <v>1</v>
      </c>
      <c r="F250" s="4">
        <v>50</v>
      </c>
      <c r="G250" s="10">
        <f t="shared" si="67"/>
        <v>6.7166666666666668</v>
      </c>
      <c r="H250" s="4">
        <v>50</v>
      </c>
      <c r="I250" s="5">
        <f t="shared" si="77"/>
        <v>302.25</v>
      </c>
      <c r="J250" s="5">
        <f t="shared" si="78"/>
        <v>252.25</v>
      </c>
      <c r="K250">
        <v>19</v>
      </c>
      <c r="N250" s="51">
        <v>370</v>
      </c>
    </row>
    <row r="251" spans="1:17">
      <c r="A251" s="80">
        <v>46150</v>
      </c>
      <c r="B251" s="4">
        <v>9</v>
      </c>
      <c r="C251" s="4">
        <v>2</v>
      </c>
      <c r="D251" s="4">
        <v>45</v>
      </c>
      <c r="E251" s="4">
        <v>1</v>
      </c>
      <c r="F251" s="4">
        <v>50</v>
      </c>
      <c r="G251" s="10">
        <f t="shared" si="67"/>
        <v>9.0333333333333332</v>
      </c>
      <c r="H251" s="4">
        <v>50</v>
      </c>
      <c r="I251" s="5">
        <f t="shared" si="77"/>
        <v>406.5</v>
      </c>
      <c r="J251" s="5">
        <f t="shared" si="78"/>
        <v>356.5</v>
      </c>
      <c r="K251">
        <v>23</v>
      </c>
      <c r="N251" s="51">
        <f>305</f>
        <v>305</v>
      </c>
    </row>
    <row r="252" spans="1:17">
      <c r="A252" s="80">
        <v>46151</v>
      </c>
      <c r="B252" s="4">
        <v>8</v>
      </c>
      <c r="C252" s="4">
        <v>9</v>
      </c>
      <c r="D252" s="4">
        <v>55</v>
      </c>
      <c r="E252" s="4">
        <v>1</v>
      </c>
      <c r="F252" s="4">
        <v>50</v>
      </c>
      <c r="G252" s="10">
        <f t="shared" si="67"/>
        <v>8.15</v>
      </c>
      <c r="H252" s="4">
        <v>50</v>
      </c>
      <c r="I252" s="5">
        <f t="shared" si="77"/>
        <v>448.25</v>
      </c>
      <c r="J252" s="5">
        <f t="shared" si="78"/>
        <v>398.25</v>
      </c>
      <c r="K252">
        <v>30</v>
      </c>
      <c r="N252" s="51">
        <f>320+50+300</f>
        <v>670</v>
      </c>
    </row>
    <row r="253" spans="1:17">
      <c r="A253" s="80">
        <v>46152</v>
      </c>
      <c r="B253" s="4">
        <v>8</v>
      </c>
      <c r="C253" s="4">
        <v>9</v>
      </c>
      <c r="D253" s="4">
        <v>55</v>
      </c>
      <c r="E253" s="4">
        <v>1</v>
      </c>
      <c r="F253" s="4">
        <v>50</v>
      </c>
      <c r="G253" s="10">
        <f t="shared" si="67"/>
        <v>8.15</v>
      </c>
      <c r="H253" s="4">
        <v>50</v>
      </c>
      <c r="I253" s="5">
        <f t="shared" si="77"/>
        <v>448.25</v>
      </c>
      <c r="J253" s="5">
        <f t="shared" si="78"/>
        <v>398.25</v>
      </c>
      <c r="K253">
        <v>28</v>
      </c>
      <c r="N253" s="51">
        <f>330+140</f>
        <v>470</v>
      </c>
    </row>
    <row r="254" spans="1:17" ht="19">
      <c r="A254" s="91" t="s">
        <v>542</v>
      </c>
      <c r="B254" s="8">
        <f>SUM(B255:B260)</f>
        <v>37</v>
      </c>
      <c r="C254" s="8">
        <f>SUM(C255:C260)</f>
        <v>182</v>
      </c>
      <c r="D254" s="126">
        <f>SUM(D255)</f>
        <v>45</v>
      </c>
      <c r="E254" s="126">
        <f>SUM(E255:E260)</f>
        <v>5</v>
      </c>
      <c r="F254" s="126">
        <f>SUM(F255:F260)</f>
        <v>250</v>
      </c>
      <c r="G254" s="123">
        <f t="shared" si="67"/>
        <v>40.033333333333331</v>
      </c>
      <c r="H254" s="8">
        <f>SUM(H255:H260)</f>
        <v>250</v>
      </c>
      <c r="I254" s="14">
        <f>SUM(I255:I260)</f>
        <v>2104.1666666666665</v>
      </c>
      <c r="J254" s="14">
        <f>SUM(J255:J260)</f>
        <v>1854.1666666666667</v>
      </c>
      <c r="K254" s="8">
        <f>SUM(K255:K260)</f>
        <v>126</v>
      </c>
      <c r="L254" s="9">
        <v>0</v>
      </c>
      <c r="M254" s="96">
        <f>J254</f>
        <v>1854.1666666666667</v>
      </c>
      <c r="N254" s="102">
        <f>SUM(N255:N260)</f>
        <v>2162</v>
      </c>
      <c r="O254" s="98">
        <f>2699-N254</f>
        <v>537</v>
      </c>
      <c r="P254" s="86"/>
      <c r="Q254" s="86"/>
    </row>
    <row r="255" spans="1:17">
      <c r="A255" s="80" t="s">
        <v>1058</v>
      </c>
      <c r="B255" s="4">
        <v>0</v>
      </c>
      <c r="C255" s="4">
        <v>0</v>
      </c>
      <c r="D255" s="4">
        <v>45</v>
      </c>
      <c r="E255" s="4">
        <v>0</v>
      </c>
      <c r="F255" s="4">
        <v>0</v>
      </c>
      <c r="G255" s="10">
        <f t="shared" si="67"/>
        <v>0</v>
      </c>
      <c r="H255" s="4">
        <v>0</v>
      </c>
      <c r="I255" s="5">
        <f t="shared" ref="I255:I260" si="79">G255*D255</f>
        <v>0</v>
      </c>
      <c r="J255" s="5">
        <f t="shared" ref="J255:J260" si="80">I255-H255</f>
        <v>0</v>
      </c>
      <c r="K255">
        <v>0</v>
      </c>
      <c r="N255" s="51">
        <v>0</v>
      </c>
      <c r="O255" s="51"/>
    </row>
    <row r="256" spans="1:17">
      <c r="A256" s="80" t="s">
        <v>1059</v>
      </c>
      <c r="B256" s="4">
        <v>10</v>
      </c>
      <c r="C256" s="4">
        <v>42</v>
      </c>
      <c r="D256" s="4">
        <v>65</v>
      </c>
      <c r="E256" s="4">
        <v>1</v>
      </c>
      <c r="F256" s="4">
        <v>50</v>
      </c>
      <c r="G256" s="10">
        <f t="shared" si="67"/>
        <v>10.7</v>
      </c>
      <c r="H256" s="4">
        <v>50</v>
      </c>
      <c r="I256" s="5">
        <f t="shared" si="79"/>
        <v>695.5</v>
      </c>
      <c r="J256" s="5">
        <f t="shared" si="80"/>
        <v>645.5</v>
      </c>
      <c r="K256">
        <v>35</v>
      </c>
      <c r="N256" s="51">
        <v>597</v>
      </c>
    </row>
    <row r="257" spans="1:17">
      <c r="A257" s="80" t="s">
        <v>1060</v>
      </c>
      <c r="B257" s="4">
        <v>4</v>
      </c>
      <c r="C257" s="4">
        <v>40</v>
      </c>
      <c r="D257" s="4">
        <v>45</v>
      </c>
      <c r="E257" s="4">
        <v>1</v>
      </c>
      <c r="F257" s="4">
        <v>50</v>
      </c>
      <c r="G257" s="10">
        <f t="shared" si="67"/>
        <v>4.666666666666667</v>
      </c>
      <c r="H257" s="4">
        <v>50</v>
      </c>
      <c r="I257" s="5">
        <f t="shared" si="79"/>
        <v>210</v>
      </c>
      <c r="J257" s="5">
        <f t="shared" si="80"/>
        <v>160</v>
      </c>
      <c r="K257">
        <v>14</v>
      </c>
      <c r="N257" s="51">
        <v>0</v>
      </c>
      <c r="P257" t="s">
        <v>1161</v>
      </c>
    </row>
    <row r="258" spans="1:17">
      <c r="A258" s="80" t="s">
        <v>1061</v>
      </c>
      <c r="B258" s="4">
        <v>8</v>
      </c>
      <c r="C258" s="4">
        <v>11</v>
      </c>
      <c r="D258" s="4">
        <v>45</v>
      </c>
      <c r="E258" s="4">
        <v>1</v>
      </c>
      <c r="F258" s="4">
        <v>50</v>
      </c>
      <c r="G258" s="10">
        <f t="shared" si="67"/>
        <v>8.1833333333333336</v>
      </c>
      <c r="H258" s="4">
        <v>50</v>
      </c>
      <c r="I258" s="5">
        <f t="shared" si="79"/>
        <v>368.25</v>
      </c>
      <c r="J258" s="5">
        <f t="shared" si="80"/>
        <v>318.25</v>
      </c>
      <c r="K258">
        <v>25</v>
      </c>
      <c r="N258" s="51">
        <v>609</v>
      </c>
      <c r="P258" t="s">
        <v>1162</v>
      </c>
    </row>
    <row r="259" spans="1:17">
      <c r="A259" s="80" t="s">
        <v>1063</v>
      </c>
      <c r="B259" s="4">
        <v>7</v>
      </c>
      <c r="C259" s="4">
        <v>37</v>
      </c>
      <c r="D259" s="4">
        <v>45</v>
      </c>
      <c r="E259" s="4">
        <v>1</v>
      </c>
      <c r="F259" s="4">
        <v>50</v>
      </c>
      <c r="G259" s="10">
        <f t="shared" si="67"/>
        <v>7.6166666666666671</v>
      </c>
      <c r="H259" s="4">
        <v>50</v>
      </c>
      <c r="I259" s="5">
        <f t="shared" si="79"/>
        <v>342.75</v>
      </c>
      <c r="J259" s="5">
        <f t="shared" si="80"/>
        <v>292.75</v>
      </c>
      <c r="K259">
        <v>23</v>
      </c>
      <c r="N259" s="51">
        <f>350+150</f>
        <v>500</v>
      </c>
      <c r="P259" t="s">
        <v>1163</v>
      </c>
    </row>
    <row r="260" spans="1:17">
      <c r="A260" s="80" t="s">
        <v>1065</v>
      </c>
      <c r="B260" s="4">
        <v>8</v>
      </c>
      <c r="C260" s="4">
        <v>52</v>
      </c>
      <c r="D260" s="4">
        <v>55</v>
      </c>
      <c r="E260" s="4">
        <v>1</v>
      </c>
      <c r="F260" s="4">
        <v>50</v>
      </c>
      <c r="G260" s="10">
        <f t="shared" si="67"/>
        <v>8.8666666666666671</v>
      </c>
      <c r="H260" s="4">
        <v>50</v>
      </c>
      <c r="I260" s="5">
        <f t="shared" si="79"/>
        <v>487.66666666666669</v>
      </c>
      <c r="J260" s="5">
        <f t="shared" si="80"/>
        <v>437.66666666666669</v>
      </c>
      <c r="K260">
        <v>29</v>
      </c>
      <c r="N260" s="51">
        <v>456</v>
      </c>
      <c r="P260" t="s">
        <v>1164</v>
      </c>
    </row>
    <row r="261" spans="1:17" ht="19">
      <c r="A261" s="91" t="s">
        <v>548</v>
      </c>
      <c r="B261" s="8">
        <f>SUM(B262:B268)</f>
        <v>59</v>
      </c>
      <c r="C261" s="8">
        <f>SUM(C262:C268)</f>
        <v>130</v>
      </c>
      <c r="D261" s="126">
        <f>SUM(D262)</f>
        <v>45</v>
      </c>
      <c r="E261" s="126">
        <f>SUM(E262:E268)</f>
        <v>6</v>
      </c>
      <c r="F261" s="126">
        <f>SUM(F262:F268)</f>
        <v>300</v>
      </c>
      <c r="G261" s="123">
        <f t="shared" si="67"/>
        <v>61.166666666666664</v>
      </c>
      <c r="H261" s="8">
        <f>SUM(H262:H268)</f>
        <v>300</v>
      </c>
      <c r="I261" s="14">
        <f>SUM(I262:I268)</f>
        <v>3608.833333333333</v>
      </c>
      <c r="J261" s="14">
        <f>SUM(J262:J268)</f>
        <v>3308.833333333333</v>
      </c>
      <c r="K261" s="176">
        <f>SUM(K262:K268)</f>
        <v>184</v>
      </c>
      <c r="L261" s="9">
        <v>0</v>
      </c>
      <c r="M261" s="96">
        <f>J261</f>
        <v>3308.833333333333</v>
      </c>
      <c r="N261" s="102">
        <f>SUM(N262:N268)</f>
        <v>3711</v>
      </c>
      <c r="O261" s="98">
        <f>3809-N261</f>
        <v>98</v>
      </c>
      <c r="P261" s="86"/>
      <c r="Q261" s="86"/>
    </row>
    <row r="262" spans="1:17">
      <c r="A262" s="80">
        <v>46146</v>
      </c>
      <c r="B262" s="4">
        <v>7</v>
      </c>
      <c r="C262" s="4">
        <v>49</v>
      </c>
      <c r="D262" s="4">
        <v>45</v>
      </c>
      <c r="E262" s="4">
        <v>1</v>
      </c>
      <c r="F262" s="4">
        <v>50</v>
      </c>
      <c r="G262" s="10">
        <f t="shared" si="67"/>
        <v>7.8166666666666664</v>
      </c>
      <c r="H262" s="4">
        <v>50</v>
      </c>
      <c r="I262" s="5">
        <f t="shared" ref="I262:I268" si="81">G262*D262</f>
        <v>351.75</v>
      </c>
      <c r="J262" s="5">
        <f t="shared" ref="J262:J268" si="82">I262-H262</f>
        <v>301.75</v>
      </c>
      <c r="K262">
        <v>25</v>
      </c>
      <c r="N262" s="51">
        <f>476+52</f>
        <v>528</v>
      </c>
      <c r="O262" s="51"/>
      <c r="P262" t="s">
        <v>1165</v>
      </c>
    </row>
    <row r="263" spans="1:17">
      <c r="A263" s="80">
        <v>46147</v>
      </c>
      <c r="B263" s="4">
        <v>11</v>
      </c>
      <c r="C263" s="4">
        <v>0</v>
      </c>
      <c r="D263" s="4">
        <v>65</v>
      </c>
      <c r="E263" s="4">
        <v>1</v>
      </c>
      <c r="F263" s="4">
        <v>50</v>
      </c>
      <c r="G263" s="10">
        <f t="shared" si="67"/>
        <v>11</v>
      </c>
      <c r="H263" s="4">
        <v>50</v>
      </c>
      <c r="I263" s="5">
        <f t="shared" si="81"/>
        <v>715</v>
      </c>
      <c r="J263" s="5">
        <f t="shared" si="82"/>
        <v>665</v>
      </c>
      <c r="K263">
        <v>32</v>
      </c>
      <c r="N263" s="51">
        <v>758</v>
      </c>
    </row>
    <row r="264" spans="1:17">
      <c r="A264" s="80">
        <v>46148</v>
      </c>
      <c r="B264" s="4">
        <v>11</v>
      </c>
      <c r="C264" s="4">
        <v>0</v>
      </c>
      <c r="D264" s="4">
        <v>55</v>
      </c>
      <c r="E264" s="4">
        <v>1</v>
      </c>
      <c r="F264" s="4">
        <v>50</v>
      </c>
      <c r="G264" s="10">
        <f t="shared" si="67"/>
        <v>11</v>
      </c>
      <c r="H264" s="4">
        <v>50</v>
      </c>
      <c r="I264" s="5">
        <f t="shared" si="81"/>
        <v>605</v>
      </c>
      <c r="J264" s="5">
        <f t="shared" si="82"/>
        <v>555</v>
      </c>
      <c r="K264">
        <v>31</v>
      </c>
      <c r="N264" s="51">
        <v>529</v>
      </c>
    </row>
    <row r="265" spans="1:17">
      <c r="A265" s="80">
        <v>46149</v>
      </c>
      <c r="B265" s="4">
        <v>10</v>
      </c>
      <c r="C265" s="4">
        <v>33</v>
      </c>
      <c r="D265" s="4">
        <v>65</v>
      </c>
      <c r="E265" s="4">
        <v>1</v>
      </c>
      <c r="F265" s="4">
        <v>50</v>
      </c>
      <c r="G265" s="10">
        <f t="shared" si="67"/>
        <v>10.55</v>
      </c>
      <c r="H265" s="4">
        <v>50</v>
      </c>
      <c r="I265" s="5">
        <f t="shared" si="81"/>
        <v>685.75</v>
      </c>
      <c r="J265" s="5">
        <f t="shared" si="82"/>
        <v>635.75</v>
      </c>
      <c r="K265">
        <v>34</v>
      </c>
      <c r="N265" s="51">
        <v>574</v>
      </c>
    </row>
    <row r="266" spans="1:17">
      <c r="A266" s="80">
        <v>46150</v>
      </c>
      <c r="B266" s="4">
        <v>10</v>
      </c>
      <c r="C266" s="4">
        <v>44</v>
      </c>
      <c r="D266" s="4">
        <v>65</v>
      </c>
      <c r="E266" s="4">
        <v>1</v>
      </c>
      <c r="F266" s="4">
        <v>50</v>
      </c>
      <c r="G266" s="10">
        <f t="shared" si="67"/>
        <v>10.733333333333333</v>
      </c>
      <c r="H266" s="4">
        <v>50</v>
      </c>
      <c r="I266" s="5">
        <f t="shared" si="81"/>
        <v>697.66666666666663</v>
      </c>
      <c r="J266" s="5">
        <f t="shared" si="82"/>
        <v>647.66666666666663</v>
      </c>
      <c r="K266">
        <v>32</v>
      </c>
      <c r="N266" s="51">
        <f>706</f>
        <v>706</v>
      </c>
    </row>
    <row r="267" spans="1:17">
      <c r="A267" s="80">
        <v>46151</v>
      </c>
      <c r="B267" s="4">
        <v>10</v>
      </c>
      <c r="C267" s="4">
        <v>4</v>
      </c>
      <c r="D267" s="4">
        <v>55</v>
      </c>
      <c r="E267" s="4">
        <v>1</v>
      </c>
      <c r="F267" s="4">
        <v>50</v>
      </c>
      <c r="G267" s="10">
        <f t="shared" si="67"/>
        <v>10.066666666666666</v>
      </c>
      <c r="H267" s="4">
        <v>50</v>
      </c>
      <c r="I267" s="5">
        <f t="shared" si="81"/>
        <v>553.66666666666663</v>
      </c>
      <c r="J267" s="5">
        <f t="shared" si="82"/>
        <v>503.66666666666663</v>
      </c>
      <c r="K267">
        <v>30</v>
      </c>
      <c r="N267" s="51">
        <v>616</v>
      </c>
    </row>
    <row r="268" spans="1:17">
      <c r="A268" s="80">
        <v>46152</v>
      </c>
      <c r="B268" s="4">
        <v>0</v>
      </c>
      <c r="C268" s="4">
        <v>0</v>
      </c>
      <c r="D268" s="4">
        <v>45</v>
      </c>
      <c r="E268" s="4">
        <v>0</v>
      </c>
      <c r="F268" s="4">
        <v>0</v>
      </c>
      <c r="G268" s="10">
        <f t="shared" si="67"/>
        <v>0</v>
      </c>
      <c r="H268" s="4">
        <v>0</v>
      </c>
      <c r="I268" s="5">
        <f t="shared" si="81"/>
        <v>0</v>
      </c>
      <c r="J268" s="5">
        <f t="shared" si="82"/>
        <v>0</v>
      </c>
      <c r="K268">
        <v>0</v>
      </c>
      <c r="N268" s="51" t="s">
        <v>774</v>
      </c>
    </row>
    <row r="269" spans="1:17" ht="19">
      <c r="A269" s="91" t="s">
        <v>1166</v>
      </c>
      <c r="B269" s="8">
        <f>SUM(B270:B275)</f>
        <v>42</v>
      </c>
      <c r="C269" s="8">
        <f>SUM(C270:C275)</f>
        <v>193</v>
      </c>
      <c r="D269" s="8">
        <f>SUM(D270)</f>
        <v>45</v>
      </c>
      <c r="E269" s="8">
        <f>SUM(E270:E275)</f>
        <v>6</v>
      </c>
      <c r="F269" s="8">
        <f>SUM(F270:F275)</f>
        <v>300</v>
      </c>
      <c r="G269" s="93">
        <f t="shared" si="67"/>
        <v>45.216666666666669</v>
      </c>
      <c r="H269" s="8">
        <f>SUM(H270:H275)</f>
        <v>300</v>
      </c>
      <c r="I269" s="9">
        <f>SUM(I270:I275)</f>
        <v>2366.75</v>
      </c>
      <c r="J269" s="14">
        <f>SUM(J270:J275)</f>
        <v>2066.75</v>
      </c>
      <c r="K269" s="8">
        <f>SUM(K270:K275)</f>
        <v>163</v>
      </c>
      <c r="L269" s="9">
        <v>0</v>
      </c>
      <c r="M269" s="96">
        <f>J269</f>
        <v>2066.75</v>
      </c>
      <c r="N269" s="102">
        <f>SUM(N270:N275)</f>
        <v>2953</v>
      </c>
      <c r="O269" s="98">
        <f>3215-N269</f>
        <v>262</v>
      </c>
      <c r="P269" s="86"/>
      <c r="Q269" s="86"/>
    </row>
    <row r="270" spans="1:17" ht="19">
      <c r="A270" s="80" t="s">
        <v>1058</v>
      </c>
      <c r="B270" s="4">
        <v>7</v>
      </c>
      <c r="C270" s="4">
        <v>17</v>
      </c>
      <c r="D270" s="4">
        <v>45</v>
      </c>
      <c r="E270" s="4">
        <v>1</v>
      </c>
      <c r="F270" s="4">
        <v>50</v>
      </c>
      <c r="G270" s="10">
        <f t="shared" si="67"/>
        <v>7.2833333333333332</v>
      </c>
      <c r="H270" s="4">
        <v>50</v>
      </c>
      <c r="I270" s="5">
        <f t="shared" ref="I270:I275" si="83">G270*D270</f>
        <v>327.75</v>
      </c>
      <c r="J270" s="5">
        <f t="shared" ref="J270:J275" si="84">I270-H270</f>
        <v>277.75</v>
      </c>
      <c r="K270">
        <v>22</v>
      </c>
      <c r="N270" s="51">
        <v>393</v>
      </c>
      <c r="O270" s="49"/>
      <c r="P270" t="s">
        <v>1167</v>
      </c>
    </row>
    <row r="271" spans="1:17">
      <c r="A271" s="80" t="s">
        <v>1059</v>
      </c>
      <c r="B271" s="4">
        <v>8</v>
      </c>
      <c r="C271" s="4">
        <v>38</v>
      </c>
      <c r="D271" s="4">
        <v>65</v>
      </c>
      <c r="E271" s="4">
        <v>1</v>
      </c>
      <c r="F271" s="4">
        <v>50</v>
      </c>
      <c r="G271" s="10">
        <f t="shared" si="67"/>
        <v>8.6333333333333329</v>
      </c>
      <c r="H271" s="4">
        <v>50</v>
      </c>
      <c r="I271" s="5">
        <f t="shared" si="83"/>
        <v>561.16666666666663</v>
      </c>
      <c r="J271" s="5">
        <f t="shared" si="84"/>
        <v>511.16666666666663</v>
      </c>
      <c r="K271">
        <v>34</v>
      </c>
      <c r="N271" s="51">
        <v>440</v>
      </c>
      <c r="P271" t="s">
        <v>1168</v>
      </c>
    </row>
    <row r="272" spans="1:17">
      <c r="A272" s="80" t="s">
        <v>1060</v>
      </c>
      <c r="B272" s="4">
        <v>5</v>
      </c>
      <c r="C272" s="4">
        <v>32</v>
      </c>
      <c r="D272" s="4">
        <v>45</v>
      </c>
      <c r="E272" s="4">
        <v>1</v>
      </c>
      <c r="F272" s="4">
        <v>50</v>
      </c>
      <c r="G272" s="10">
        <f t="shared" si="67"/>
        <v>5.5333333333333332</v>
      </c>
      <c r="H272" s="4">
        <v>50</v>
      </c>
      <c r="I272" s="5">
        <f t="shared" si="83"/>
        <v>249</v>
      </c>
      <c r="J272" s="5">
        <f t="shared" si="84"/>
        <v>199</v>
      </c>
      <c r="K272">
        <v>20</v>
      </c>
      <c r="N272" s="51">
        <f>350+150</f>
        <v>500</v>
      </c>
      <c r="P272" t="s">
        <v>1169</v>
      </c>
    </row>
    <row r="273" spans="1:17">
      <c r="A273" s="80" t="s">
        <v>1061</v>
      </c>
      <c r="B273" s="4">
        <v>8</v>
      </c>
      <c r="C273" s="4">
        <v>7</v>
      </c>
      <c r="D273" s="4">
        <v>55</v>
      </c>
      <c r="E273" s="4">
        <v>1</v>
      </c>
      <c r="F273" s="4">
        <v>50</v>
      </c>
      <c r="G273" s="10">
        <f>B273+C273/60</f>
        <v>8.1166666666666671</v>
      </c>
      <c r="H273" s="4">
        <v>50</v>
      </c>
      <c r="I273" s="5">
        <f t="shared" si="83"/>
        <v>446.41666666666669</v>
      </c>
      <c r="J273" s="5">
        <f t="shared" si="84"/>
        <v>396.41666666666669</v>
      </c>
      <c r="K273">
        <v>31</v>
      </c>
      <c r="N273" s="51">
        <v>600</v>
      </c>
      <c r="P273" t="s">
        <v>1170</v>
      </c>
    </row>
    <row r="274" spans="1:17">
      <c r="A274" s="80" t="s">
        <v>1063</v>
      </c>
      <c r="B274" s="4">
        <v>7</v>
      </c>
      <c r="C274" s="4">
        <v>49</v>
      </c>
      <c r="D274" s="4">
        <v>55</v>
      </c>
      <c r="E274" s="4">
        <v>1</v>
      </c>
      <c r="F274" s="4">
        <v>50</v>
      </c>
      <c r="G274" s="10">
        <f t="shared" ref="G274:G282" si="85">B274+C274/60</f>
        <v>7.8166666666666664</v>
      </c>
      <c r="H274" s="4">
        <v>50</v>
      </c>
      <c r="I274" s="5">
        <f t="shared" si="83"/>
        <v>429.91666666666663</v>
      </c>
      <c r="J274" s="5">
        <f t="shared" si="84"/>
        <v>379.91666666666663</v>
      </c>
      <c r="K274">
        <v>31</v>
      </c>
      <c r="N274" s="51">
        <f>330</f>
        <v>330</v>
      </c>
      <c r="P274" t="s">
        <v>1171</v>
      </c>
    </row>
    <row r="275" spans="1:17">
      <c r="A275" s="80" t="s">
        <v>1065</v>
      </c>
      <c r="B275" s="4">
        <v>7</v>
      </c>
      <c r="C275" s="4">
        <v>50</v>
      </c>
      <c r="D275" s="4">
        <v>45</v>
      </c>
      <c r="E275" s="4">
        <v>1</v>
      </c>
      <c r="F275" s="4">
        <v>50</v>
      </c>
      <c r="G275" s="10">
        <f t="shared" si="85"/>
        <v>7.833333333333333</v>
      </c>
      <c r="H275" s="4">
        <v>50</v>
      </c>
      <c r="I275" s="5">
        <f t="shared" si="83"/>
        <v>352.5</v>
      </c>
      <c r="J275" s="5">
        <f t="shared" si="84"/>
        <v>302.5</v>
      </c>
      <c r="K275">
        <v>25</v>
      </c>
      <c r="N275" s="51">
        <f>690</f>
        <v>690</v>
      </c>
      <c r="P275" t="s">
        <v>1172</v>
      </c>
    </row>
    <row r="276" spans="1:17" ht="19">
      <c r="A276" s="91" t="s">
        <v>549</v>
      </c>
      <c r="B276" s="8">
        <f>SUM(B277:B282)</f>
        <v>50</v>
      </c>
      <c r="C276" s="8">
        <f>SUM(C277:C282)</f>
        <v>117</v>
      </c>
      <c r="D276" s="126">
        <f>SUM(D277)</f>
        <v>45</v>
      </c>
      <c r="E276" s="126">
        <f>SUM(E277:E282)</f>
        <v>5</v>
      </c>
      <c r="F276" s="126">
        <f>SUM(F277:F282)</f>
        <v>300</v>
      </c>
      <c r="G276" s="123">
        <f t="shared" si="85"/>
        <v>51.95</v>
      </c>
      <c r="H276" s="8">
        <f>SUM(H277:H283)</f>
        <v>250</v>
      </c>
      <c r="I276" s="9">
        <f>SUM(I277:I283)</f>
        <v>2960.583333333333</v>
      </c>
      <c r="J276" s="9">
        <f>SUM(J277:J283)</f>
        <v>2710.583333333333</v>
      </c>
      <c r="K276" s="8">
        <f>SUM(K277:K282)</f>
        <v>151</v>
      </c>
      <c r="L276" s="9">
        <v>0</v>
      </c>
      <c r="M276" s="96">
        <f>J276</f>
        <v>2710.583333333333</v>
      </c>
      <c r="N276" s="102">
        <f>SUM(M277:N283)</f>
        <v>3304</v>
      </c>
      <c r="O276" s="98">
        <f>3313-N276</f>
        <v>9</v>
      </c>
      <c r="P276" s="86"/>
      <c r="Q276" s="86"/>
    </row>
    <row r="277" spans="1:17">
      <c r="A277" s="80">
        <v>46146</v>
      </c>
      <c r="B277" s="7">
        <v>0</v>
      </c>
      <c r="C277" s="7">
        <v>0</v>
      </c>
      <c r="D277" s="4">
        <v>45</v>
      </c>
      <c r="E277" s="4">
        <v>0</v>
      </c>
      <c r="F277" s="4">
        <v>50</v>
      </c>
      <c r="G277" s="10">
        <f t="shared" si="85"/>
        <v>0</v>
      </c>
      <c r="H277" s="4">
        <v>0</v>
      </c>
      <c r="I277" s="5">
        <f t="shared" ref="I277:I282" si="86">G277*D277</f>
        <v>0</v>
      </c>
      <c r="J277" s="5">
        <f t="shared" ref="J277:J282" si="87">I277-H277</f>
        <v>0</v>
      </c>
      <c r="K277">
        <v>0</v>
      </c>
      <c r="N277" s="51">
        <v>0</v>
      </c>
      <c r="O277" s="51"/>
    </row>
    <row r="278" spans="1:17">
      <c r="A278" s="80">
        <v>46147</v>
      </c>
      <c r="B278" s="4">
        <v>9</v>
      </c>
      <c r="C278" s="4">
        <v>48</v>
      </c>
      <c r="D278" s="4">
        <v>55</v>
      </c>
      <c r="E278" s="4">
        <v>1</v>
      </c>
      <c r="F278" s="4">
        <v>50</v>
      </c>
      <c r="G278" s="10">
        <f t="shared" si="85"/>
        <v>9.8000000000000007</v>
      </c>
      <c r="H278" s="4">
        <v>50</v>
      </c>
      <c r="I278" s="5">
        <f t="shared" si="86"/>
        <v>539</v>
      </c>
      <c r="J278" s="5">
        <f t="shared" si="87"/>
        <v>489</v>
      </c>
      <c r="K278">
        <v>28</v>
      </c>
      <c r="N278" s="51">
        <v>710</v>
      </c>
    </row>
    <row r="279" spans="1:17">
      <c r="A279" s="80">
        <v>46148</v>
      </c>
      <c r="B279" s="4">
        <v>10</v>
      </c>
      <c r="C279" s="4">
        <v>49</v>
      </c>
      <c r="D279" s="4">
        <v>55</v>
      </c>
      <c r="E279" s="4">
        <v>1</v>
      </c>
      <c r="F279" s="4">
        <v>50</v>
      </c>
      <c r="G279" s="10">
        <f t="shared" si="85"/>
        <v>10.816666666666666</v>
      </c>
      <c r="H279" s="4">
        <v>50</v>
      </c>
      <c r="I279" s="5">
        <f t="shared" si="86"/>
        <v>594.91666666666663</v>
      </c>
      <c r="J279" s="5">
        <f t="shared" si="87"/>
        <v>544.91666666666663</v>
      </c>
      <c r="K279">
        <v>30</v>
      </c>
      <c r="N279" s="51">
        <f>340+300</f>
        <v>640</v>
      </c>
      <c r="P279" t="s">
        <v>1173</v>
      </c>
    </row>
    <row r="280" spans="1:17">
      <c r="A280" s="80">
        <v>46149</v>
      </c>
      <c r="B280" s="4">
        <v>11</v>
      </c>
      <c r="C280" s="4">
        <v>0</v>
      </c>
      <c r="D280" s="4">
        <v>55</v>
      </c>
      <c r="E280" s="4">
        <v>1</v>
      </c>
      <c r="F280" s="4">
        <v>50</v>
      </c>
      <c r="G280" s="10">
        <f t="shared" si="85"/>
        <v>11</v>
      </c>
      <c r="H280" s="4">
        <v>50</v>
      </c>
      <c r="I280" s="5">
        <f t="shared" si="86"/>
        <v>605</v>
      </c>
      <c r="J280" s="5">
        <f t="shared" si="87"/>
        <v>555</v>
      </c>
      <c r="K280">
        <v>30</v>
      </c>
      <c r="N280" s="51">
        <f>863</f>
        <v>863</v>
      </c>
      <c r="P280" t="s">
        <v>1174</v>
      </c>
    </row>
    <row r="281" spans="1:17">
      <c r="A281" s="80">
        <v>46150</v>
      </c>
      <c r="B281" s="4">
        <v>10</v>
      </c>
      <c r="C281" s="4">
        <v>20</v>
      </c>
      <c r="D281" s="4">
        <v>65</v>
      </c>
      <c r="E281" s="4">
        <v>1</v>
      </c>
      <c r="F281" s="4">
        <v>50</v>
      </c>
      <c r="G281" s="10">
        <f t="shared" si="85"/>
        <v>10.333333333333334</v>
      </c>
      <c r="H281" s="4">
        <v>50</v>
      </c>
      <c r="I281" s="5">
        <f t="shared" si="86"/>
        <v>671.66666666666674</v>
      </c>
      <c r="J281" s="5">
        <f t="shared" si="87"/>
        <v>621.66666666666674</v>
      </c>
      <c r="K281">
        <v>34</v>
      </c>
      <c r="N281" s="51">
        <v>300</v>
      </c>
      <c r="P281" t="s">
        <v>1175</v>
      </c>
    </row>
    <row r="282" spans="1:17">
      <c r="A282" s="80">
        <v>46151</v>
      </c>
      <c r="B282" s="4">
        <v>10</v>
      </c>
      <c r="C282" s="4">
        <v>0</v>
      </c>
      <c r="D282" s="4">
        <v>55</v>
      </c>
      <c r="E282" s="4">
        <v>1</v>
      </c>
      <c r="F282" s="4">
        <v>50</v>
      </c>
      <c r="G282" s="10">
        <f t="shared" si="85"/>
        <v>10</v>
      </c>
      <c r="H282" s="4">
        <v>50</v>
      </c>
      <c r="I282" s="5">
        <f t="shared" si="86"/>
        <v>550</v>
      </c>
      <c r="J282" s="5">
        <f t="shared" si="87"/>
        <v>500</v>
      </c>
      <c r="K282">
        <v>29</v>
      </c>
      <c r="N282" s="51">
        <v>731</v>
      </c>
    </row>
    <row r="283" spans="1:17">
      <c r="A283" s="80">
        <v>46152</v>
      </c>
      <c r="B283" s="4">
        <v>0</v>
      </c>
      <c r="C283" s="4">
        <v>0</v>
      </c>
      <c r="D283" s="4">
        <v>0</v>
      </c>
      <c r="E283" s="4">
        <v>0</v>
      </c>
      <c r="F283" s="4">
        <v>0</v>
      </c>
      <c r="G283" s="10">
        <v>0</v>
      </c>
      <c r="H283" s="4">
        <v>0</v>
      </c>
      <c r="I283" s="5">
        <v>0</v>
      </c>
      <c r="J283" s="5">
        <v>0</v>
      </c>
      <c r="K283">
        <v>0</v>
      </c>
      <c r="N283" s="51">
        <v>60</v>
      </c>
    </row>
    <row r="284" spans="1:17" ht="19">
      <c r="A284" s="91" t="s">
        <v>551</v>
      </c>
      <c r="B284" s="8">
        <f>SUM(B285:B291)</f>
        <v>51</v>
      </c>
      <c r="C284" s="8">
        <f>SUM(C285:C291)</f>
        <v>157</v>
      </c>
      <c r="D284" s="8">
        <v>45</v>
      </c>
      <c r="E284" s="8">
        <f>SUM(E285:E291)</f>
        <v>6</v>
      </c>
      <c r="F284" s="8">
        <f>SUM(F285:F290)</f>
        <v>250</v>
      </c>
      <c r="G284" s="93">
        <f t="shared" ref="G284:G301" si="88">B284+C284/60</f>
        <v>53.616666666666667</v>
      </c>
      <c r="H284" s="8">
        <f>SUM(H285:H291)</f>
        <v>563.70000000000005</v>
      </c>
      <c r="I284" s="9">
        <f>SUM(I285:I291)</f>
        <v>2412.75</v>
      </c>
      <c r="J284" s="9">
        <f>SUM(J285:J291)</f>
        <v>1849.05</v>
      </c>
      <c r="K284" s="8">
        <f>SUM(K285:K291)</f>
        <v>122</v>
      </c>
      <c r="L284" s="9">
        <v>0</v>
      </c>
      <c r="M284" s="96">
        <f>J284</f>
        <v>1849.05</v>
      </c>
      <c r="N284" s="102">
        <f>SUM(N285:N291)</f>
        <v>3477</v>
      </c>
      <c r="O284" s="98">
        <f>3475-N284</f>
        <v>-2</v>
      </c>
      <c r="P284" s="86"/>
      <c r="Q284" s="86"/>
    </row>
    <row r="285" spans="1:17">
      <c r="A285" s="80">
        <v>46146</v>
      </c>
      <c r="B285" s="4">
        <v>0</v>
      </c>
      <c r="C285" s="4">
        <v>0</v>
      </c>
      <c r="D285" s="4">
        <v>45</v>
      </c>
      <c r="E285" s="4">
        <v>0</v>
      </c>
      <c r="F285" s="4">
        <v>0</v>
      </c>
      <c r="G285" s="10">
        <f t="shared" si="88"/>
        <v>0</v>
      </c>
      <c r="H285" s="4">
        <v>0</v>
      </c>
      <c r="I285" s="5">
        <f t="shared" ref="I285:I291" si="89">G285*D285</f>
        <v>0</v>
      </c>
      <c r="J285" s="5">
        <f t="shared" ref="J285:J291" si="90">I285-H285</f>
        <v>0</v>
      </c>
      <c r="K285">
        <v>0</v>
      </c>
      <c r="N285" s="51">
        <v>0</v>
      </c>
      <c r="O285" s="51"/>
    </row>
    <row r="286" spans="1:17">
      <c r="A286" s="80">
        <v>46147</v>
      </c>
      <c r="B286" s="4">
        <v>10</v>
      </c>
      <c r="C286" s="4">
        <v>15</v>
      </c>
      <c r="D286" s="4">
        <v>45</v>
      </c>
      <c r="E286" s="4">
        <v>1</v>
      </c>
      <c r="F286" s="4">
        <v>50</v>
      </c>
      <c r="G286" s="10">
        <f t="shared" si="88"/>
        <v>10.25</v>
      </c>
      <c r="H286" s="4">
        <v>50</v>
      </c>
      <c r="I286" s="5">
        <f t="shared" si="89"/>
        <v>461.25</v>
      </c>
      <c r="J286" s="5">
        <f t="shared" si="90"/>
        <v>411.25</v>
      </c>
      <c r="K286">
        <v>22</v>
      </c>
      <c r="N286" s="51">
        <v>546</v>
      </c>
      <c r="P286" t="s">
        <v>1176</v>
      </c>
    </row>
    <row r="287" spans="1:17">
      <c r="A287" s="80">
        <v>46148</v>
      </c>
      <c r="B287" s="4">
        <v>6</v>
      </c>
      <c r="C287" s="4">
        <v>53</v>
      </c>
      <c r="D287" s="4">
        <v>45</v>
      </c>
      <c r="E287" s="4">
        <v>1</v>
      </c>
      <c r="F287" s="4">
        <v>50</v>
      </c>
      <c r="G287" s="10">
        <f t="shared" si="88"/>
        <v>6.8833333333333329</v>
      </c>
      <c r="H287" s="4">
        <v>50</v>
      </c>
      <c r="I287" s="5">
        <f t="shared" si="89"/>
        <v>309.75</v>
      </c>
      <c r="J287" s="5">
        <f t="shared" si="90"/>
        <v>259.75</v>
      </c>
      <c r="K287">
        <v>18</v>
      </c>
      <c r="N287" s="51">
        <f>305+200</f>
        <v>505</v>
      </c>
      <c r="P287" t="s">
        <v>1177</v>
      </c>
    </row>
    <row r="288" spans="1:17">
      <c r="A288" s="80">
        <v>46149</v>
      </c>
      <c r="B288" s="4">
        <v>8</v>
      </c>
      <c r="C288" s="4">
        <v>10</v>
      </c>
      <c r="D288" s="4">
        <v>45</v>
      </c>
      <c r="E288" s="4">
        <v>1</v>
      </c>
      <c r="F288" s="4">
        <v>50</v>
      </c>
      <c r="G288" s="10">
        <f t="shared" si="88"/>
        <v>8.1666666666666661</v>
      </c>
      <c r="H288" s="4">
        <f>50+104.4</f>
        <v>154.4</v>
      </c>
      <c r="I288" s="5">
        <f t="shared" si="89"/>
        <v>367.5</v>
      </c>
      <c r="J288" s="5">
        <f t="shared" si="90"/>
        <v>213.1</v>
      </c>
      <c r="K288">
        <v>18</v>
      </c>
      <c r="N288" s="51">
        <f>511</f>
        <v>511</v>
      </c>
      <c r="P288" t="s">
        <v>1178</v>
      </c>
    </row>
    <row r="289" spans="1:17">
      <c r="A289" s="80">
        <v>46150</v>
      </c>
      <c r="B289" s="4">
        <v>9</v>
      </c>
      <c r="C289" s="4">
        <v>44</v>
      </c>
      <c r="D289" s="4">
        <v>45</v>
      </c>
      <c r="E289" s="4">
        <v>1</v>
      </c>
      <c r="F289" s="4">
        <v>50</v>
      </c>
      <c r="G289" s="10">
        <f t="shared" si="88"/>
        <v>9.7333333333333325</v>
      </c>
      <c r="H289" s="4">
        <v>50</v>
      </c>
      <c r="I289" s="5">
        <f t="shared" si="89"/>
        <v>437.99999999999994</v>
      </c>
      <c r="J289" s="5">
        <f t="shared" si="90"/>
        <v>387.99999999999994</v>
      </c>
      <c r="K289">
        <v>19</v>
      </c>
      <c r="N289" s="51">
        <v>588</v>
      </c>
      <c r="P289" t="s">
        <v>987</v>
      </c>
    </row>
    <row r="290" spans="1:17">
      <c r="A290" s="80">
        <v>46151</v>
      </c>
      <c r="B290" s="4">
        <v>9</v>
      </c>
      <c r="C290" s="4">
        <v>33</v>
      </c>
      <c r="D290" s="4">
        <v>45</v>
      </c>
      <c r="E290" s="4">
        <v>1</v>
      </c>
      <c r="F290" s="4">
        <v>50</v>
      </c>
      <c r="G290" s="10">
        <f t="shared" si="88"/>
        <v>9.5500000000000007</v>
      </c>
      <c r="H290" s="4">
        <v>50</v>
      </c>
      <c r="I290" s="5">
        <f t="shared" si="89"/>
        <v>429.75000000000006</v>
      </c>
      <c r="J290" s="5">
        <f t="shared" si="90"/>
        <v>379.75000000000006</v>
      </c>
      <c r="K290">
        <v>23</v>
      </c>
      <c r="N290" s="51">
        <v>720</v>
      </c>
      <c r="P290" t="s">
        <v>1179</v>
      </c>
    </row>
    <row r="291" spans="1:17">
      <c r="A291" s="80">
        <v>46152</v>
      </c>
      <c r="B291" s="4">
        <v>9</v>
      </c>
      <c r="C291" s="4">
        <v>2</v>
      </c>
      <c r="D291" s="4">
        <v>45</v>
      </c>
      <c r="E291" s="4">
        <v>1</v>
      </c>
      <c r="F291" s="4">
        <v>50</v>
      </c>
      <c r="G291" s="10">
        <f t="shared" si="88"/>
        <v>9.0333333333333332</v>
      </c>
      <c r="H291" s="4">
        <f>50+159.3</f>
        <v>209.3</v>
      </c>
      <c r="I291" s="5">
        <f t="shared" si="89"/>
        <v>406.5</v>
      </c>
      <c r="J291" s="5">
        <f t="shared" si="90"/>
        <v>197.2</v>
      </c>
      <c r="K291">
        <v>22</v>
      </c>
      <c r="N291" s="51">
        <f>287+120+200</f>
        <v>607</v>
      </c>
      <c r="P291" t="s">
        <v>1180</v>
      </c>
    </row>
    <row r="292" spans="1:17" ht="19">
      <c r="A292" s="91" t="s">
        <v>1053</v>
      </c>
      <c r="B292" s="8">
        <f>SUM(B293:B299)</f>
        <v>41</v>
      </c>
      <c r="C292" s="8">
        <f>SUM(C293:C299)</f>
        <v>85</v>
      </c>
      <c r="D292" s="8">
        <f>SUM(D293)</f>
        <v>45</v>
      </c>
      <c r="E292" s="8">
        <f>SUM(E293:E299)</f>
        <v>4</v>
      </c>
      <c r="F292" s="8">
        <f>SUM(F293:F299)</f>
        <v>200</v>
      </c>
      <c r="G292" s="93">
        <f t="shared" si="88"/>
        <v>42.416666666666664</v>
      </c>
      <c r="H292" s="8">
        <f>SUM(H293:H299)</f>
        <v>200</v>
      </c>
      <c r="I292" s="9">
        <f>SUM(I293:I299)</f>
        <v>2537.083333333333</v>
      </c>
      <c r="J292" s="14">
        <f>SUM(J293:J299)</f>
        <v>2337.083333333333</v>
      </c>
      <c r="K292" s="8">
        <f>SUM(K293:K299)</f>
        <v>119</v>
      </c>
      <c r="L292" s="9">
        <v>0</v>
      </c>
      <c r="M292" s="96">
        <f>J292</f>
        <v>2337.083333333333</v>
      </c>
      <c r="N292" s="102">
        <f>SUM(N293:N299)</f>
        <v>3150</v>
      </c>
      <c r="O292" s="98">
        <f>3125-N292</f>
        <v>-25</v>
      </c>
      <c r="P292" s="86"/>
      <c r="Q292" s="86"/>
    </row>
    <row r="293" spans="1:17">
      <c r="A293" s="80" t="s">
        <v>1058</v>
      </c>
      <c r="B293" s="4">
        <v>11</v>
      </c>
      <c r="C293" s="4">
        <v>0</v>
      </c>
      <c r="D293" s="4">
        <v>45</v>
      </c>
      <c r="E293" s="4">
        <v>1</v>
      </c>
      <c r="F293" s="4">
        <v>50</v>
      </c>
      <c r="G293" s="10">
        <f t="shared" si="88"/>
        <v>11</v>
      </c>
      <c r="H293" s="4">
        <v>50</v>
      </c>
      <c r="I293" s="5">
        <f t="shared" ref="I293:I299" si="91">G293*D293</f>
        <v>495</v>
      </c>
      <c r="J293" s="5">
        <f t="shared" ref="J293:J299" si="92">I293-H293</f>
        <v>445</v>
      </c>
      <c r="K293">
        <v>23</v>
      </c>
      <c r="N293" s="51">
        <v>440</v>
      </c>
      <c r="O293" s="51"/>
    </row>
    <row r="294" spans="1:17">
      <c r="A294" s="80" t="s">
        <v>1059</v>
      </c>
      <c r="B294" s="4">
        <v>0</v>
      </c>
      <c r="C294" s="4">
        <v>0</v>
      </c>
      <c r="D294" s="4">
        <v>45</v>
      </c>
      <c r="E294" s="4">
        <v>0</v>
      </c>
      <c r="F294" s="4">
        <v>0</v>
      </c>
      <c r="G294" s="10">
        <f t="shared" si="88"/>
        <v>0</v>
      </c>
      <c r="H294" s="4">
        <v>0</v>
      </c>
      <c r="I294" s="5">
        <f t="shared" si="91"/>
        <v>0</v>
      </c>
      <c r="J294" s="5">
        <f t="shared" si="92"/>
        <v>0</v>
      </c>
      <c r="K294">
        <v>0</v>
      </c>
      <c r="N294" s="51">
        <v>0</v>
      </c>
    </row>
    <row r="295" spans="1:17">
      <c r="A295" s="80" t="s">
        <v>1060</v>
      </c>
      <c r="B295" s="4">
        <v>0</v>
      </c>
      <c r="C295" s="4">
        <v>0</v>
      </c>
      <c r="D295" s="4">
        <v>45</v>
      </c>
      <c r="E295" s="4">
        <v>0</v>
      </c>
      <c r="F295" s="4">
        <v>0</v>
      </c>
      <c r="G295" s="10">
        <f t="shared" si="88"/>
        <v>0</v>
      </c>
      <c r="H295" s="4">
        <v>0</v>
      </c>
      <c r="I295" s="5">
        <f t="shared" si="91"/>
        <v>0</v>
      </c>
      <c r="J295" s="5">
        <f t="shared" si="92"/>
        <v>0</v>
      </c>
      <c r="K295">
        <v>0</v>
      </c>
      <c r="N295" s="51">
        <v>0</v>
      </c>
      <c r="Q295" t="s">
        <v>64</v>
      </c>
    </row>
    <row r="296" spans="1:17">
      <c r="A296" s="80" t="s">
        <v>1061</v>
      </c>
      <c r="B296" s="4">
        <v>0</v>
      </c>
      <c r="C296" s="4">
        <v>0</v>
      </c>
      <c r="D296" s="4">
        <v>45</v>
      </c>
      <c r="E296" s="4">
        <v>0</v>
      </c>
      <c r="F296" s="4">
        <v>0</v>
      </c>
      <c r="G296" s="10">
        <f t="shared" si="88"/>
        <v>0</v>
      </c>
      <c r="H296" s="4">
        <v>0</v>
      </c>
      <c r="I296" s="5">
        <f t="shared" si="91"/>
        <v>0</v>
      </c>
      <c r="J296" s="5">
        <f t="shared" si="92"/>
        <v>0</v>
      </c>
      <c r="K296">
        <v>0</v>
      </c>
      <c r="N296" s="51">
        <v>0</v>
      </c>
    </row>
    <row r="297" spans="1:17">
      <c r="A297" s="80" t="s">
        <v>1063</v>
      </c>
      <c r="B297" s="4">
        <v>10</v>
      </c>
      <c r="C297" s="4">
        <v>23</v>
      </c>
      <c r="D297" s="4">
        <v>65</v>
      </c>
      <c r="E297" s="4">
        <v>1</v>
      </c>
      <c r="F297" s="4">
        <v>50</v>
      </c>
      <c r="G297" s="10">
        <f t="shared" si="88"/>
        <v>10.383333333333333</v>
      </c>
      <c r="H297" s="4">
        <v>50</v>
      </c>
      <c r="I297" s="5">
        <f t="shared" si="91"/>
        <v>674.91666666666663</v>
      </c>
      <c r="J297" s="5">
        <f t="shared" si="92"/>
        <v>624.91666666666663</v>
      </c>
      <c r="K297">
        <v>34</v>
      </c>
      <c r="N297" s="51">
        <v>900</v>
      </c>
      <c r="P297" t="s">
        <v>1181</v>
      </c>
    </row>
    <row r="298" spans="1:17">
      <c r="A298" s="80" t="s">
        <v>1065</v>
      </c>
      <c r="B298" s="4">
        <v>10</v>
      </c>
      <c r="C298" s="4">
        <v>40</v>
      </c>
      <c r="D298" s="12">
        <v>65</v>
      </c>
      <c r="E298" s="12">
        <v>1</v>
      </c>
      <c r="F298" s="12">
        <v>50</v>
      </c>
      <c r="G298" s="10">
        <f t="shared" si="88"/>
        <v>10.666666666666666</v>
      </c>
      <c r="H298" s="4">
        <v>50</v>
      </c>
      <c r="I298" s="5">
        <f t="shared" si="91"/>
        <v>693.33333333333326</v>
      </c>
      <c r="J298" s="5">
        <f t="shared" si="92"/>
        <v>643.33333333333326</v>
      </c>
      <c r="K298">
        <v>34</v>
      </c>
      <c r="N298" s="51">
        <f>910+100</f>
        <v>1010</v>
      </c>
      <c r="P298" t="s">
        <v>1141</v>
      </c>
    </row>
    <row r="299" spans="1:17">
      <c r="A299" s="80" t="s">
        <v>1072</v>
      </c>
      <c r="B299" s="4">
        <v>10</v>
      </c>
      <c r="C299" s="172">
        <v>22</v>
      </c>
      <c r="D299" s="167">
        <v>65</v>
      </c>
      <c r="E299" s="167">
        <v>1</v>
      </c>
      <c r="F299" s="167">
        <v>50</v>
      </c>
      <c r="G299" s="10">
        <f t="shared" si="88"/>
        <v>10.366666666666667</v>
      </c>
      <c r="H299" s="4">
        <v>50</v>
      </c>
      <c r="I299" s="5">
        <f t="shared" si="91"/>
        <v>673.83333333333337</v>
      </c>
      <c r="J299" s="5">
        <f t="shared" si="92"/>
        <v>623.83333333333337</v>
      </c>
      <c r="K299">
        <v>28</v>
      </c>
      <c r="N299" s="51">
        <f>800</f>
        <v>800</v>
      </c>
      <c r="P299" t="s">
        <v>1182</v>
      </c>
    </row>
    <row r="300" spans="1:17" ht="19">
      <c r="A300" s="91" t="s">
        <v>649</v>
      </c>
      <c r="B300" s="8">
        <f>SUM(B301:B307)</f>
        <v>61</v>
      </c>
      <c r="C300" s="8">
        <f>SUM(C301:C307)</f>
        <v>76</v>
      </c>
      <c r="D300" s="8">
        <f>SUM(D301)</f>
        <v>45</v>
      </c>
      <c r="E300" s="8">
        <f>SUM(E301:E307)</f>
        <v>6</v>
      </c>
      <c r="F300" s="8">
        <f>SUM(F301:F307)</f>
        <v>300</v>
      </c>
      <c r="G300" s="93">
        <f t="shared" si="88"/>
        <v>62.266666666666666</v>
      </c>
      <c r="H300" s="8">
        <f>SUM(H301:H307)</f>
        <v>300</v>
      </c>
      <c r="I300" s="9">
        <f>SUM(I301:I307)</f>
        <v>3964</v>
      </c>
      <c r="J300" s="14">
        <f>SUM(J301:J307)</f>
        <v>3664</v>
      </c>
      <c r="K300" s="8">
        <f>SUM(K301:K307)</f>
        <v>199</v>
      </c>
      <c r="L300" s="9">
        <v>0</v>
      </c>
      <c r="M300" s="96">
        <f>J300</f>
        <v>3664</v>
      </c>
      <c r="N300" s="102">
        <f>SUM(N301:N307)</f>
        <v>3568</v>
      </c>
      <c r="O300" s="98">
        <f>4066-N300</f>
        <v>498</v>
      </c>
      <c r="P300" s="86"/>
      <c r="Q300" s="86"/>
    </row>
    <row r="301" spans="1:17">
      <c r="A301" s="80">
        <v>46146</v>
      </c>
      <c r="B301" s="4">
        <v>0</v>
      </c>
      <c r="C301" s="4">
        <v>0</v>
      </c>
      <c r="D301" s="4">
        <v>45</v>
      </c>
      <c r="E301" s="4">
        <v>0</v>
      </c>
      <c r="F301" s="4">
        <v>0</v>
      </c>
      <c r="G301" s="10">
        <f t="shared" si="88"/>
        <v>0</v>
      </c>
      <c r="H301" s="4">
        <v>0</v>
      </c>
      <c r="I301" s="5">
        <f t="shared" ref="I301:I307" si="93">G301*D301</f>
        <v>0</v>
      </c>
      <c r="J301" s="5">
        <f t="shared" ref="J301:J307" si="94">I301-H301</f>
        <v>0</v>
      </c>
      <c r="K301">
        <v>0</v>
      </c>
      <c r="N301" s="51">
        <v>0</v>
      </c>
      <c r="O301" s="51"/>
    </row>
    <row r="302" spans="1:17">
      <c r="A302" s="80">
        <v>46147</v>
      </c>
      <c r="B302" s="4">
        <v>11</v>
      </c>
      <c r="C302" s="4">
        <v>0</v>
      </c>
      <c r="D302" s="4">
        <v>65</v>
      </c>
      <c r="E302" s="4">
        <v>1</v>
      </c>
      <c r="F302" s="4">
        <v>50</v>
      </c>
      <c r="G302" s="10">
        <f>B302+C302/60</f>
        <v>11</v>
      </c>
      <c r="H302" s="4">
        <v>50</v>
      </c>
      <c r="I302" s="5">
        <f t="shared" si="93"/>
        <v>715</v>
      </c>
      <c r="J302" s="5">
        <f t="shared" si="94"/>
        <v>665</v>
      </c>
      <c r="K302">
        <v>32</v>
      </c>
      <c r="N302" s="51">
        <v>549</v>
      </c>
    </row>
    <row r="303" spans="1:17">
      <c r="A303" s="80">
        <v>46148</v>
      </c>
      <c r="B303" s="4">
        <v>8</v>
      </c>
      <c r="C303" s="4">
        <v>20</v>
      </c>
      <c r="D303" s="4">
        <v>55</v>
      </c>
      <c r="E303" s="4">
        <v>1</v>
      </c>
      <c r="F303" s="4">
        <v>50</v>
      </c>
      <c r="G303" s="10">
        <f t="shared" ref="G303:G354" si="95">B303+C303/60</f>
        <v>8.3333333333333339</v>
      </c>
      <c r="H303" s="4">
        <v>50</v>
      </c>
      <c r="I303" s="5">
        <f t="shared" si="93"/>
        <v>458.33333333333337</v>
      </c>
      <c r="J303" s="5">
        <f t="shared" si="94"/>
        <v>408.33333333333337</v>
      </c>
      <c r="K303">
        <v>30</v>
      </c>
      <c r="N303" s="51">
        <v>437</v>
      </c>
      <c r="P303" t="s">
        <v>1183</v>
      </c>
    </row>
    <row r="304" spans="1:17">
      <c r="A304" s="80">
        <v>46149</v>
      </c>
      <c r="B304" s="4">
        <v>9</v>
      </c>
      <c r="C304" s="4">
        <v>56</v>
      </c>
      <c r="D304" s="4">
        <v>65</v>
      </c>
      <c r="E304" s="4">
        <v>1</v>
      </c>
      <c r="F304" s="4">
        <v>50</v>
      </c>
      <c r="G304" s="10">
        <f t="shared" si="95"/>
        <v>9.9333333333333336</v>
      </c>
      <c r="H304" s="4">
        <v>50</v>
      </c>
      <c r="I304" s="5">
        <f t="shared" si="93"/>
        <v>645.66666666666663</v>
      </c>
      <c r="J304" s="5">
        <f t="shared" si="94"/>
        <v>595.66666666666663</v>
      </c>
      <c r="K304">
        <v>34</v>
      </c>
      <c r="N304" s="51">
        <f>833</f>
        <v>833</v>
      </c>
      <c r="P304" t="s">
        <v>975</v>
      </c>
    </row>
    <row r="305" spans="1:17">
      <c r="A305" s="80">
        <v>46150</v>
      </c>
      <c r="B305" s="4">
        <v>11</v>
      </c>
      <c r="C305" s="4">
        <v>0</v>
      </c>
      <c r="D305" s="4">
        <v>65</v>
      </c>
      <c r="E305" s="4">
        <v>1</v>
      </c>
      <c r="F305" s="4">
        <v>50</v>
      </c>
      <c r="G305" s="10">
        <f t="shared" si="95"/>
        <v>11</v>
      </c>
      <c r="H305" s="4">
        <v>50</v>
      </c>
      <c r="I305" s="5">
        <f t="shared" si="93"/>
        <v>715</v>
      </c>
      <c r="J305" s="5">
        <f t="shared" si="94"/>
        <v>665</v>
      </c>
      <c r="K305">
        <v>36</v>
      </c>
      <c r="N305" s="51">
        <v>547</v>
      </c>
    </row>
    <row r="306" spans="1:17">
      <c r="A306" s="80">
        <v>46151</v>
      </c>
      <c r="B306" s="4">
        <v>11</v>
      </c>
      <c r="C306" s="4">
        <v>0</v>
      </c>
      <c r="D306" s="4">
        <v>65</v>
      </c>
      <c r="E306" s="4">
        <v>1</v>
      </c>
      <c r="F306" s="4">
        <v>50</v>
      </c>
      <c r="G306" s="10">
        <f t="shared" si="95"/>
        <v>11</v>
      </c>
      <c r="H306" s="4">
        <v>50</v>
      </c>
      <c r="I306" s="5">
        <f t="shared" si="93"/>
        <v>715</v>
      </c>
      <c r="J306" s="5">
        <f t="shared" si="94"/>
        <v>665</v>
      </c>
      <c r="K306">
        <v>35</v>
      </c>
      <c r="N306" s="51">
        <v>405</v>
      </c>
    </row>
    <row r="307" spans="1:17">
      <c r="A307" s="80">
        <v>46152</v>
      </c>
      <c r="B307" s="4">
        <v>11</v>
      </c>
      <c r="C307" s="4">
        <v>0</v>
      </c>
      <c r="D307" s="4">
        <v>65</v>
      </c>
      <c r="E307" s="4">
        <v>1</v>
      </c>
      <c r="F307" s="4">
        <v>50</v>
      </c>
      <c r="G307" s="10">
        <f t="shared" si="95"/>
        <v>11</v>
      </c>
      <c r="H307" s="4">
        <v>50</v>
      </c>
      <c r="I307" s="5">
        <f t="shared" si="93"/>
        <v>715</v>
      </c>
      <c r="J307" s="5">
        <f t="shared" si="94"/>
        <v>665</v>
      </c>
      <c r="K307">
        <v>32</v>
      </c>
      <c r="N307" s="51">
        <f>497+300</f>
        <v>797</v>
      </c>
    </row>
    <row r="308" spans="1:17" ht="19">
      <c r="A308" s="91" t="s">
        <v>559</v>
      </c>
      <c r="B308" s="8">
        <f>SUM(B309:B314)</f>
        <v>59</v>
      </c>
      <c r="C308" s="8">
        <f>SUM(C309:C314)</f>
        <v>84</v>
      </c>
      <c r="D308" s="8">
        <f>SUM(D309)</f>
        <v>65</v>
      </c>
      <c r="E308" s="8">
        <f>SUM(E309:E314)</f>
        <v>6</v>
      </c>
      <c r="F308" s="8">
        <f>SUM(F309:F314)</f>
        <v>300</v>
      </c>
      <c r="G308" s="93">
        <f t="shared" si="95"/>
        <v>60.4</v>
      </c>
      <c r="H308" s="8">
        <f>SUM(H309:H315)</f>
        <v>300</v>
      </c>
      <c r="I308" s="9">
        <f>SUM(I309:I314)</f>
        <v>3833.5</v>
      </c>
      <c r="J308" s="14">
        <f>SUM(J309:J314)</f>
        <v>3533.5</v>
      </c>
      <c r="K308" s="8">
        <f>SUM(K309:K315)</f>
        <v>209</v>
      </c>
      <c r="L308" s="9">
        <v>0</v>
      </c>
      <c r="M308" s="96">
        <f>J308</f>
        <v>3533.5</v>
      </c>
      <c r="N308" s="102">
        <f>SUM(N309:N314)</f>
        <v>5653</v>
      </c>
      <c r="O308" s="98">
        <f>5658-N308</f>
        <v>5</v>
      </c>
      <c r="P308" s="86"/>
      <c r="Q308" s="86"/>
    </row>
    <row r="309" spans="1:17">
      <c r="A309" s="80">
        <v>46146</v>
      </c>
      <c r="B309" s="4">
        <v>10</v>
      </c>
      <c r="C309" s="4">
        <v>47</v>
      </c>
      <c r="D309" s="4">
        <v>65</v>
      </c>
      <c r="E309" s="4">
        <v>1</v>
      </c>
      <c r="F309" s="4">
        <v>50</v>
      </c>
      <c r="G309" s="10">
        <f t="shared" si="95"/>
        <v>10.783333333333333</v>
      </c>
      <c r="H309" s="4">
        <v>50</v>
      </c>
      <c r="I309" s="5">
        <f t="shared" ref="I309:I315" si="96">G309*D309</f>
        <v>700.91666666666663</v>
      </c>
      <c r="J309" s="5">
        <f t="shared" ref="J309:J315" si="97">I309-H309</f>
        <v>650.91666666666663</v>
      </c>
      <c r="K309">
        <v>33</v>
      </c>
      <c r="N309" s="51">
        <v>1067</v>
      </c>
      <c r="O309" s="51"/>
    </row>
    <row r="310" spans="1:17">
      <c r="A310" s="80">
        <v>46147</v>
      </c>
      <c r="B310" s="4">
        <v>11</v>
      </c>
      <c r="C310" s="4">
        <v>0</v>
      </c>
      <c r="D310" s="4">
        <v>65</v>
      </c>
      <c r="E310" s="4">
        <v>1</v>
      </c>
      <c r="F310" s="4">
        <v>50</v>
      </c>
      <c r="G310" s="10">
        <f t="shared" si="95"/>
        <v>11</v>
      </c>
      <c r="H310" s="4">
        <v>50</v>
      </c>
      <c r="I310" s="5">
        <f t="shared" si="96"/>
        <v>715</v>
      </c>
      <c r="J310" s="5">
        <f t="shared" si="97"/>
        <v>665</v>
      </c>
      <c r="K310">
        <v>36</v>
      </c>
      <c r="N310" s="51">
        <v>620</v>
      </c>
    </row>
    <row r="311" spans="1:17">
      <c r="A311" s="80">
        <v>46148</v>
      </c>
      <c r="B311" s="4">
        <v>9</v>
      </c>
      <c r="C311" s="4">
        <v>18</v>
      </c>
      <c r="D311" s="4">
        <v>65</v>
      </c>
      <c r="E311" s="4">
        <v>1</v>
      </c>
      <c r="F311" s="4">
        <v>50</v>
      </c>
      <c r="G311" s="10">
        <f t="shared" si="95"/>
        <v>9.3000000000000007</v>
      </c>
      <c r="H311" s="4">
        <v>50</v>
      </c>
      <c r="I311" s="5">
        <f t="shared" si="96"/>
        <v>604.5</v>
      </c>
      <c r="J311" s="5">
        <f t="shared" si="97"/>
        <v>554.5</v>
      </c>
      <c r="K311">
        <v>37</v>
      </c>
      <c r="N311" s="51">
        <f>610+200</f>
        <v>810</v>
      </c>
      <c r="P311" t="s">
        <v>1184</v>
      </c>
    </row>
    <row r="312" spans="1:17">
      <c r="A312" s="80">
        <v>46149</v>
      </c>
      <c r="B312" s="4">
        <v>9</v>
      </c>
      <c r="C312" s="4">
        <v>4</v>
      </c>
      <c r="D312" s="4">
        <v>65</v>
      </c>
      <c r="E312" s="4">
        <v>1</v>
      </c>
      <c r="F312" s="4">
        <v>50</v>
      </c>
      <c r="G312" s="10">
        <f t="shared" si="95"/>
        <v>9.0666666666666664</v>
      </c>
      <c r="H312" s="4">
        <v>50</v>
      </c>
      <c r="I312" s="5">
        <f t="shared" si="96"/>
        <v>589.33333333333337</v>
      </c>
      <c r="J312" s="5">
        <f t="shared" si="97"/>
        <v>539.33333333333337</v>
      </c>
      <c r="K312">
        <v>36</v>
      </c>
      <c r="N312" s="51">
        <f>750</f>
        <v>750</v>
      </c>
      <c r="P312" t="s">
        <v>1101</v>
      </c>
    </row>
    <row r="313" spans="1:17">
      <c r="A313" s="80">
        <v>46150</v>
      </c>
      <c r="B313" s="4">
        <v>9</v>
      </c>
      <c r="C313" s="4">
        <v>15</v>
      </c>
      <c r="D313" s="4">
        <v>55</v>
      </c>
      <c r="E313" s="4">
        <v>1</v>
      </c>
      <c r="F313" s="4">
        <v>50</v>
      </c>
      <c r="G313" s="10">
        <f t="shared" si="95"/>
        <v>9.25</v>
      </c>
      <c r="H313" s="4">
        <v>50</v>
      </c>
      <c r="I313" s="5">
        <f t="shared" si="96"/>
        <v>508.75</v>
      </c>
      <c r="J313" s="5">
        <f t="shared" si="97"/>
        <v>458.75</v>
      </c>
      <c r="K313">
        <v>29</v>
      </c>
      <c r="N313" s="51">
        <f>255+300+300</f>
        <v>855</v>
      </c>
      <c r="P313" t="s">
        <v>1185</v>
      </c>
    </row>
    <row r="314" spans="1:17">
      <c r="A314" s="80">
        <v>46151</v>
      </c>
      <c r="B314" s="4">
        <v>11</v>
      </c>
      <c r="C314" s="4">
        <v>0</v>
      </c>
      <c r="D314" s="4">
        <v>65</v>
      </c>
      <c r="E314" s="4">
        <v>1</v>
      </c>
      <c r="F314" s="4">
        <v>50</v>
      </c>
      <c r="G314" s="10">
        <f t="shared" si="95"/>
        <v>11</v>
      </c>
      <c r="H314" s="4">
        <v>50</v>
      </c>
      <c r="I314" s="5">
        <f t="shared" si="96"/>
        <v>715</v>
      </c>
      <c r="J314" s="5">
        <f t="shared" si="97"/>
        <v>665</v>
      </c>
      <c r="K314">
        <v>38</v>
      </c>
      <c r="N314" s="51">
        <v>1551</v>
      </c>
    </row>
    <row r="315" spans="1:17">
      <c r="A315" s="80">
        <v>46152</v>
      </c>
      <c r="B315" s="4">
        <v>0</v>
      </c>
      <c r="C315" s="4">
        <v>0</v>
      </c>
      <c r="D315" s="4">
        <v>45</v>
      </c>
      <c r="E315" s="4">
        <v>0</v>
      </c>
      <c r="F315" s="4">
        <v>50</v>
      </c>
      <c r="G315" s="10">
        <f t="shared" si="95"/>
        <v>0</v>
      </c>
      <c r="H315" s="4">
        <v>0</v>
      </c>
      <c r="I315" s="5">
        <f t="shared" si="96"/>
        <v>0</v>
      </c>
      <c r="J315" s="5">
        <f t="shared" si="97"/>
        <v>0</v>
      </c>
      <c r="K315">
        <v>0</v>
      </c>
      <c r="N315" s="51"/>
    </row>
    <row r="316" spans="1:17" ht="19" hidden="1">
      <c r="A316" s="91" t="s">
        <v>560</v>
      </c>
      <c r="B316" s="8">
        <v>0</v>
      </c>
      <c r="C316" s="8">
        <v>0</v>
      </c>
      <c r="D316" s="8">
        <f>SUM(D317)</f>
        <v>45</v>
      </c>
      <c r="E316" s="8">
        <f>SUM(E317:E323)</f>
        <v>5</v>
      </c>
      <c r="F316" s="8">
        <f>SUM(F317:F323)</f>
        <v>300</v>
      </c>
      <c r="G316" s="93">
        <f t="shared" si="95"/>
        <v>0</v>
      </c>
      <c r="H316" s="8">
        <v>0</v>
      </c>
      <c r="I316" s="9">
        <v>0</v>
      </c>
      <c r="J316" s="14">
        <v>0</v>
      </c>
      <c r="K316" s="8">
        <f>SUM(K317:K331)</f>
        <v>322</v>
      </c>
      <c r="L316" s="9">
        <v>0</v>
      </c>
      <c r="M316" s="96">
        <f>J316</f>
        <v>0</v>
      </c>
      <c r="N316" s="102">
        <f>SUM(N317:N331)</f>
        <v>7336</v>
      </c>
      <c r="O316" s="98">
        <f>-N316</f>
        <v>-7336</v>
      </c>
      <c r="P316" s="86"/>
      <c r="Q316" s="86"/>
    </row>
    <row r="317" spans="1:17" hidden="1">
      <c r="A317" s="80" t="s">
        <v>1058</v>
      </c>
      <c r="B317" s="4"/>
      <c r="C317" s="4"/>
      <c r="D317" s="4">
        <v>45</v>
      </c>
      <c r="E317" s="4">
        <v>1</v>
      </c>
      <c r="F317" s="4">
        <v>50</v>
      </c>
      <c r="G317" s="10">
        <f t="shared" si="95"/>
        <v>0</v>
      </c>
      <c r="H317" s="4"/>
      <c r="I317" s="5">
        <f t="shared" ref="I317:I322" si="98">G317*D317</f>
        <v>0</v>
      </c>
      <c r="J317" s="5">
        <f t="shared" ref="J317:J322" si="99">I317-H317</f>
        <v>0</v>
      </c>
      <c r="N317" s="51">
        <v>0</v>
      </c>
      <c r="O317" s="51"/>
    </row>
    <row r="318" spans="1:17" hidden="1">
      <c r="A318" s="80" t="s">
        <v>1059</v>
      </c>
      <c r="B318" s="4"/>
      <c r="C318" s="4"/>
      <c r="D318" s="4">
        <v>45</v>
      </c>
      <c r="E318" s="4">
        <v>1</v>
      </c>
      <c r="F318" s="4">
        <v>50</v>
      </c>
      <c r="G318" s="10">
        <f t="shared" si="95"/>
        <v>0</v>
      </c>
      <c r="H318" s="4"/>
      <c r="I318" s="5">
        <f t="shared" si="98"/>
        <v>0</v>
      </c>
      <c r="J318" s="5">
        <f t="shared" si="99"/>
        <v>0</v>
      </c>
      <c r="N318" s="51">
        <v>0</v>
      </c>
    </row>
    <row r="319" spans="1:17" hidden="1">
      <c r="A319" s="80" t="s">
        <v>1060</v>
      </c>
      <c r="B319" s="4"/>
      <c r="C319" s="4"/>
      <c r="D319" s="4">
        <v>45</v>
      </c>
      <c r="E319" s="4">
        <v>0</v>
      </c>
      <c r="F319" s="4">
        <v>50</v>
      </c>
      <c r="G319" s="10">
        <f t="shared" si="95"/>
        <v>0</v>
      </c>
      <c r="H319" s="4"/>
      <c r="I319" s="5">
        <f t="shared" si="98"/>
        <v>0</v>
      </c>
      <c r="J319" s="5">
        <f t="shared" si="99"/>
        <v>0</v>
      </c>
      <c r="N319" s="51">
        <v>0</v>
      </c>
    </row>
    <row r="320" spans="1:17" hidden="1">
      <c r="A320" s="80" t="s">
        <v>1061</v>
      </c>
      <c r="B320" s="4"/>
      <c r="C320" s="4"/>
      <c r="D320" s="4">
        <v>45</v>
      </c>
      <c r="E320" s="4">
        <v>1</v>
      </c>
      <c r="F320" s="4">
        <v>50</v>
      </c>
      <c r="G320" s="10">
        <f t="shared" si="95"/>
        <v>0</v>
      </c>
      <c r="H320" s="4"/>
      <c r="I320" s="5">
        <f t="shared" si="98"/>
        <v>0</v>
      </c>
      <c r="J320" s="5">
        <f t="shared" si="99"/>
        <v>0</v>
      </c>
      <c r="N320" s="51">
        <v>0</v>
      </c>
    </row>
    <row r="321" spans="1:17" hidden="1">
      <c r="A321" s="80" t="s">
        <v>1065</v>
      </c>
      <c r="B321" s="4"/>
      <c r="C321" s="4"/>
      <c r="D321" s="4">
        <v>45</v>
      </c>
      <c r="E321" s="4">
        <v>1</v>
      </c>
      <c r="F321" s="4">
        <v>50</v>
      </c>
      <c r="G321" s="10">
        <f t="shared" si="95"/>
        <v>0</v>
      </c>
      <c r="H321" s="4"/>
      <c r="I321" s="5">
        <f t="shared" si="98"/>
        <v>0</v>
      </c>
      <c r="J321" s="5">
        <f t="shared" si="99"/>
        <v>0</v>
      </c>
      <c r="N321" s="51">
        <v>0</v>
      </c>
    </row>
    <row r="322" spans="1:17" hidden="1">
      <c r="A322" s="80" t="s">
        <v>1065</v>
      </c>
      <c r="B322" s="4"/>
      <c r="C322" s="4"/>
      <c r="D322" s="12">
        <v>55</v>
      </c>
      <c r="E322" s="12">
        <v>1</v>
      </c>
      <c r="F322" s="12">
        <v>50</v>
      </c>
      <c r="G322" s="10">
        <f t="shared" si="95"/>
        <v>0</v>
      </c>
      <c r="H322" s="4"/>
      <c r="I322" s="5">
        <f t="shared" si="98"/>
        <v>0</v>
      </c>
      <c r="J322" s="5">
        <f t="shared" si="99"/>
        <v>0</v>
      </c>
      <c r="N322" s="51">
        <v>0</v>
      </c>
    </row>
    <row r="323" spans="1:17" hidden="1">
      <c r="A323" s="80" t="s">
        <v>1072</v>
      </c>
      <c r="B323" s="4"/>
      <c r="C323" s="4"/>
      <c r="D323" s="12"/>
      <c r="E323" s="12"/>
      <c r="F323" s="12"/>
      <c r="G323" s="10"/>
      <c r="H323" s="4"/>
      <c r="I323" s="5"/>
      <c r="J323" s="5"/>
      <c r="N323" s="51"/>
    </row>
    <row r="324" spans="1:17" ht="19">
      <c r="A324" s="91" t="s">
        <v>949</v>
      </c>
      <c r="B324" s="8">
        <f>SUM(B325:B331)</f>
        <v>64</v>
      </c>
      <c r="C324" s="8">
        <f>SUM(C325:C331)</f>
        <v>115</v>
      </c>
      <c r="D324" s="8">
        <f>SUM(D325)</f>
        <v>55</v>
      </c>
      <c r="E324" s="8">
        <f>SUM(E325:E331)</f>
        <v>6</v>
      </c>
      <c r="F324" s="8">
        <f>SUM(F325:F331)</f>
        <v>300</v>
      </c>
      <c r="G324" s="93">
        <f t="shared" ref="G324:G331" si="100">B324+C324/60</f>
        <v>65.916666666666671</v>
      </c>
      <c r="H324" s="8">
        <f>SUM(H325:H331)</f>
        <v>300</v>
      </c>
      <c r="I324" s="9">
        <f>SUM(I325:I331)</f>
        <v>3406.083333333333</v>
      </c>
      <c r="J324" s="14">
        <f>SUM(J325:J331)</f>
        <v>3106.083333333333</v>
      </c>
      <c r="K324" s="8">
        <f>SUM(K325:K331)</f>
        <v>161</v>
      </c>
      <c r="L324" s="9">
        <v>0</v>
      </c>
      <c r="M324" s="96">
        <f>J324</f>
        <v>3106.083333333333</v>
      </c>
      <c r="N324" s="102">
        <f>SUM(N325:N331)</f>
        <v>3668</v>
      </c>
      <c r="O324" s="98">
        <f>3678-N324</f>
        <v>10</v>
      </c>
      <c r="P324" s="86"/>
      <c r="Q324" s="86"/>
    </row>
    <row r="325" spans="1:17">
      <c r="A325" s="80">
        <v>46146</v>
      </c>
      <c r="B325" s="4">
        <v>10</v>
      </c>
      <c r="C325" s="4">
        <v>59</v>
      </c>
      <c r="D325" s="4">
        <v>55</v>
      </c>
      <c r="E325" s="4">
        <v>1</v>
      </c>
      <c r="F325" s="4">
        <v>50</v>
      </c>
      <c r="G325" s="10">
        <f t="shared" si="100"/>
        <v>10.983333333333333</v>
      </c>
      <c r="H325" s="4">
        <v>50</v>
      </c>
      <c r="I325" s="5">
        <f t="shared" ref="I325:I331" si="101">G325*D325</f>
        <v>604.08333333333326</v>
      </c>
      <c r="J325" s="5">
        <f t="shared" ref="J325:J331" si="102">I325-H325</f>
        <v>554.08333333333326</v>
      </c>
      <c r="K325">
        <v>28</v>
      </c>
      <c r="N325" s="51">
        <v>604</v>
      </c>
      <c r="O325" s="51"/>
    </row>
    <row r="326" spans="1:17">
      <c r="A326" s="80">
        <v>46147</v>
      </c>
      <c r="B326" s="4">
        <v>0</v>
      </c>
      <c r="C326" s="4">
        <v>0</v>
      </c>
      <c r="D326" s="4">
        <v>45</v>
      </c>
      <c r="E326" s="4">
        <v>0</v>
      </c>
      <c r="F326" s="4">
        <v>0</v>
      </c>
      <c r="G326" s="10">
        <f t="shared" si="100"/>
        <v>0</v>
      </c>
      <c r="H326" s="4">
        <v>0</v>
      </c>
      <c r="I326" s="5">
        <f t="shared" si="101"/>
        <v>0</v>
      </c>
      <c r="J326" s="5">
        <f t="shared" si="102"/>
        <v>0</v>
      </c>
      <c r="K326">
        <v>0</v>
      </c>
      <c r="N326" s="51">
        <v>0</v>
      </c>
    </row>
    <row r="327" spans="1:17">
      <c r="A327" s="80">
        <v>46148</v>
      </c>
      <c r="B327" s="4">
        <v>11</v>
      </c>
      <c r="C327" s="4">
        <v>0</v>
      </c>
      <c r="D327" s="4">
        <v>45</v>
      </c>
      <c r="E327" s="4">
        <v>1</v>
      </c>
      <c r="F327" s="4">
        <v>50</v>
      </c>
      <c r="G327" s="10">
        <f t="shared" si="100"/>
        <v>11</v>
      </c>
      <c r="H327" s="4">
        <v>50</v>
      </c>
      <c r="I327" s="5">
        <f t="shared" si="101"/>
        <v>495</v>
      </c>
      <c r="J327" s="5">
        <f t="shared" si="102"/>
        <v>445</v>
      </c>
      <c r="K327">
        <v>23</v>
      </c>
      <c r="N327" s="51">
        <v>545</v>
      </c>
    </row>
    <row r="328" spans="1:17">
      <c r="A328" s="80">
        <v>46149</v>
      </c>
      <c r="B328" s="4">
        <v>11</v>
      </c>
      <c r="C328" s="4">
        <v>0</v>
      </c>
      <c r="D328" s="4">
        <v>55</v>
      </c>
      <c r="E328" s="4">
        <v>1</v>
      </c>
      <c r="F328" s="4">
        <v>50</v>
      </c>
      <c r="G328" s="10">
        <f t="shared" si="100"/>
        <v>11</v>
      </c>
      <c r="H328" s="4">
        <v>50</v>
      </c>
      <c r="I328" s="5">
        <f t="shared" si="101"/>
        <v>605</v>
      </c>
      <c r="J328" s="5">
        <f t="shared" si="102"/>
        <v>555</v>
      </c>
      <c r="K328">
        <v>30</v>
      </c>
      <c r="N328" s="51">
        <f>697</f>
        <v>697</v>
      </c>
    </row>
    <row r="329" spans="1:17">
      <c r="A329" s="80">
        <v>46150</v>
      </c>
      <c r="B329" s="4">
        <v>11</v>
      </c>
      <c r="C329" s="4">
        <v>0</v>
      </c>
      <c r="D329" s="4">
        <v>55</v>
      </c>
      <c r="E329" s="4">
        <v>1</v>
      </c>
      <c r="F329" s="4">
        <v>50</v>
      </c>
      <c r="G329" s="10">
        <f t="shared" si="100"/>
        <v>11</v>
      </c>
      <c r="H329" s="4">
        <v>50</v>
      </c>
      <c r="I329" s="5">
        <f t="shared" si="101"/>
        <v>605</v>
      </c>
      <c r="J329" s="5">
        <f t="shared" si="102"/>
        <v>555</v>
      </c>
      <c r="K329">
        <v>27</v>
      </c>
      <c r="N329" s="51">
        <f>587</f>
        <v>587</v>
      </c>
      <c r="P329" t="s">
        <v>1186</v>
      </c>
    </row>
    <row r="330" spans="1:17">
      <c r="A330" s="80">
        <v>46151</v>
      </c>
      <c r="B330" s="4">
        <v>10</v>
      </c>
      <c r="C330" s="4">
        <v>56</v>
      </c>
      <c r="D330" s="4">
        <v>45</v>
      </c>
      <c r="E330" s="4">
        <v>1</v>
      </c>
      <c r="F330" s="4">
        <v>50</v>
      </c>
      <c r="G330" s="10">
        <f t="shared" si="100"/>
        <v>10.933333333333334</v>
      </c>
      <c r="H330" s="4">
        <v>50</v>
      </c>
      <c r="I330" s="5">
        <f t="shared" si="101"/>
        <v>492</v>
      </c>
      <c r="J330" s="5">
        <f t="shared" si="102"/>
        <v>442</v>
      </c>
      <c r="K330">
        <v>23</v>
      </c>
      <c r="N330" s="51">
        <v>606</v>
      </c>
    </row>
    <row r="331" spans="1:17">
      <c r="A331" s="80">
        <v>46152</v>
      </c>
      <c r="B331" s="4">
        <v>11</v>
      </c>
      <c r="C331" s="4">
        <v>0</v>
      </c>
      <c r="D331" s="4">
        <v>55</v>
      </c>
      <c r="E331" s="4">
        <v>1</v>
      </c>
      <c r="F331" s="4">
        <v>50</v>
      </c>
      <c r="G331" s="10">
        <f t="shared" si="100"/>
        <v>11</v>
      </c>
      <c r="H331" s="4">
        <v>50</v>
      </c>
      <c r="I331" s="5">
        <f t="shared" si="101"/>
        <v>605</v>
      </c>
      <c r="J331" s="5">
        <f t="shared" si="102"/>
        <v>555</v>
      </c>
      <c r="K331">
        <v>30</v>
      </c>
      <c r="N331" s="51">
        <f>179+150+300</f>
        <v>629</v>
      </c>
    </row>
    <row r="332" spans="1:17" ht="19" hidden="1">
      <c r="A332" s="91" t="s">
        <v>562</v>
      </c>
      <c r="B332" s="8">
        <f>SUM(B333:B338)</f>
        <v>0</v>
      </c>
      <c r="C332" s="173">
        <f>SUM(C333:C338)</f>
        <v>0</v>
      </c>
      <c r="D332" s="171">
        <f>SUM(D333)</f>
        <v>45</v>
      </c>
      <c r="E332" s="171">
        <f>SUM(E333:E338)</f>
        <v>0</v>
      </c>
      <c r="F332" s="171">
        <f>SUM(F333:F338)</f>
        <v>300</v>
      </c>
      <c r="G332" s="175">
        <f t="shared" si="95"/>
        <v>0</v>
      </c>
      <c r="H332" s="8">
        <f>SUM(H333:H339)</f>
        <v>0</v>
      </c>
      <c r="I332" s="14">
        <f>SUM(I333:I339)</f>
        <v>0</v>
      </c>
      <c r="J332" s="14">
        <f>SUM(J333:J339)</f>
        <v>0</v>
      </c>
      <c r="K332" s="8">
        <f>SUM(K333:K339)</f>
        <v>0</v>
      </c>
      <c r="L332" s="9">
        <v>0</v>
      </c>
      <c r="M332" s="96">
        <f>J332</f>
        <v>0</v>
      </c>
      <c r="N332" s="102">
        <f>SUM(N333:N338)</f>
        <v>0</v>
      </c>
      <c r="O332" s="98">
        <f>-N332</f>
        <v>0</v>
      </c>
      <c r="P332" s="86"/>
      <c r="Q332" s="86"/>
    </row>
    <row r="333" spans="1:17" hidden="1">
      <c r="A333" s="80">
        <v>46146</v>
      </c>
      <c r="B333" s="4">
        <v>0</v>
      </c>
      <c r="C333" s="4">
        <v>0</v>
      </c>
      <c r="D333" s="141">
        <v>45</v>
      </c>
      <c r="E333" s="141">
        <v>0</v>
      </c>
      <c r="F333" s="141">
        <v>50</v>
      </c>
      <c r="G333" s="10">
        <f t="shared" si="95"/>
        <v>0</v>
      </c>
      <c r="H333" s="4">
        <v>0</v>
      </c>
      <c r="I333" s="5">
        <f t="shared" ref="I333:I339" si="103">G333*D333</f>
        <v>0</v>
      </c>
      <c r="J333" s="5">
        <f t="shared" ref="J333:J339" si="104">I333-H333</f>
        <v>0</v>
      </c>
      <c r="K333">
        <v>0</v>
      </c>
      <c r="N333" s="51">
        <v>0</v>
      </c>
      <c r="O333" s="51"/>
    </row>
    <row r="334" spans="1:17" hidden="1">
      <c r="A334" s="80">
        <v>46147</v>
      </c>
      <c r="B334" s="4">
        <v>0</v>
      </c>
      <c r="C334" s="4">
        <v>0</v>
      </c>
      <c r="D334" s="4">
        <v>45</v>
      </c>
      <c r="E334" s="141">
        <v>0</v>
      </c>
      <c r="F334" s="4">
        <v>50</v>
      </c>
      <c r="G334" s="10">
        <f t="shared" si="95"/>
        <v>0</v>
      </c>
      <c r="H334" s="4">
        <v>0</v>
      </c>
      <c r="I334" s="5">
        <f t="shared" si="103"/>
        <v>0</v>
      </c>
      <c r="J334" s="5">
        <f t="shared" si="104"/>
        <v>0</v>
      </c>
      <c r="K334">
        <v>0</v>
      </c>
      <c r="N334" s="51">
        <v>0</v>
      </c>
    </row>
    <row r="335" spans="1:17" hidden="1">
      <c r="A335" s="80">
        <v>46148</v>
      </c>
      <c r="B335" s="4"/>
      <c r="C335" s="4"/>
      <c r="D335" s="4">
        <v>45</v>
      </c>
      <c r="E335" s="141">
        <v>0</v>
      </c>
      <c r="F335" s="4">
        <v>50</v>
      </c>
      <c r="G335" s="10">
        <f t="shared" si="95"/>
        <v>0</v>
      </c>
      <c r="H335" s="4"/>
      <c r="I335" s="5">
        <f t="shared" si="103"/>
        <v>0</v>
      </c>
      <c r="J335" s="5">
        <f t="shared" si="104"/>
        <v>0</v>
      </c>
      <c r="N335" s="51">
        <v>0</v>
      </c>
    </row>
    <row r="336" spans="1:17" hidden="1">
      <c r="A336" s="80">
        <v>46149</v>
      </c>
      <c r="B336" s="4"/>
      <c r="C336" s="4"/>
      <c r="D336" s="4">
        <v>45</v>
      </c>
      <c r="E336" s="141">
        <v>0</v>
      </c>
      <c r="F336" s="4">
        <v>50</v>
      </c>
      <c r="G336" s="10">
        <f t="shared" si="95"/>
        <v>0</v>
      </c>
      <c r="H336" s="4"/>
      <c r="I336" s="5">
        <f t="shared" si="103"/>
        <v>0</v>
      </c>
      <c r="J336" s="5">
        <f t="shared" si="104"/>
        <v>0</v>
      </c>
      <c r="N336" s="51">
        <v>0</v>
      </c>
    </row>
    <row r="337" spans="1:17" hidden="1">
      <c r="A337" s="80">
        <v>46150</v>
      </c>
      <c r="B337" s="4"/>
      <c r="C337" s="4"/>
      <c r="D337" s="4">
        <v>45</v>
      </c>
      <c r="E337" s="141">
        <v>0</v>
      </c>
      <c r="F337" s="4">
        <v>50</v>
      </c>
      <c r="G337" s="10">
        <f t="shared" si="95"/>
        <v>0</v>
      </c>
      <c r="H337" s="4"/>
      <c r="I337" s="5">
        <f t="shared" si="103"/>
        <v>0</v>
      </c>
      <c r="J337" s="5">
        <f t="shared" si="104"/>
        <v>0</v>
      </c>
      <c r="N337" s="51">
        <v>0</v>
      </c>
    </row>
    <row r="338" spans="1:17" hidden="1">
      <c r="A338" s="80">
        <v>46151</v>
      </c>
      <c r="B338" s="4"/>
      <c r="C338" s="4"/>
      <c r="D338" s="4">
        <v>45</v>
      </c>
      <c r="E338" s="141">
        <v>0</v>
      </c>
      <c r="F338" s="4">
        <v>50</v>
      </c>
      <c r="G338" s="10">
        <f t="shared" si="95"/>
        <v>0</v>
      </c>
      <c r="H338" s="4"/>
      <c r="I338" s="5">
        <f t="shared" si="103"/>
        <v>0</v>
      </c>
      <c r="J338" s="5">
        <f t="shared" si="104"/>
        <v>0</v>
      </c>
      <c r="N338" s="51">
        <v>0</v>
      </c>
    </row>
    <row r="339" spans="1:17" hidden="1">
      <c r="A339" s="80">
        <v>46152</v>
      </c>
      <c r="B339" s="4"/>
      <c r="C339" s="4"/>
      <c r="D339" s="4">
        <v>45</v>
      </c>
      <c r="E339" s="141">
        <v>0</v>
      </c>
      <c r="F339" s="4">
        <v>50</v>
      </c>
      <c r="G339" s="10">
        <f t="shared" si="95"/>
        <v>0</v>
      </c>
      <c r="H339" s="4"/>
      <c r="I339" s="5">
        <f t="shared" si="103"/>
        <v>0</v>
      </c>
      <c r="J339" s="5">
        <f t="shared" si="104"/>
        <v>0</v>
      </c>
      <c r="N339" s="51">
        <v>0</v>
      </c>
    </row>
    <row r="340" spans="1:17" ht="19">
      <c r="A340" s="91" t="s">
        <v>1187</v>
      </c>
      <c r="B340" s="8">
        <f>SUM(B341:B346)</f>
        <v>57</v>
      </c>
      <c r="C340" s="173">
        <f>SUM(C341:C346)</f>
        <v>200</v>
      </c>
      <c r="D340" s="171">
        <f>SUM(D341)</f>
        <v>55</v>
      </c>
      <c r="E340" s="171">
        <f>SUM(E341:E346)</f>
        <v>6</v>
      </c>
      <c r="F340" s="171">
        <f>SUM(F341:F346)</f>
        <v>300</v>
      </c>
      <c r="G340" s="175">
        <f t="shared" si="95"/>
        <v>60.333333333333336</v>
      </c>
      <c r="H340" s="8">
        <f>SUM(H341:H346)</f>
        <v>739.8</v>
      </c>
      <c r="I340" s="14">
        <f>SUM(I341:I346)</f>
        <v>3026.8333333333335</v>
      </c>
      <c r="J340" s="14">
        <f>SUM(J341:J346)</f>
        <v>2287.0333333333338</v>
      </c>
      <c r="K340" s="8">
        <f>SUM(K341:K346)</f>
        <v>152</v>
      </c>
      <c r="L340" s="9">
        <v>0</v>
      </c>
      <c r="M340" s="96">
        <f>J340</f>
        <v>2287.0333333333338</v>
      </c>
      <c r="N340" s="102">
        <f>SUM(N341:N346)</f>
        <v>3901</v>
      </c>
      <c r="O340" s="98">
        <f>4168-N340</f>
        <v>267</v>
      </c>
      <c r="P340" s="86"/>
      <c r="Q340" s="86"/>
    </row>
    <row r="341" spans="1:17">
      <c r="A341" s="80" t="s">
        <v>1058</v>
      </c>
      <c r="B341" s="4">
        <v>9</v>
      </c>
      <c r="C341" s="4">
        <v>15</v>
      </c>
      <c r="D341" s="141">
        <v>55</v>
      </c>
      <c r="E341" s="141">
        <v>1</v>
      </c>
      <c r="F341" s="141">
        <v>50</v>
      </c>
      <c r="G341" s="10">
        <f t="shared" si="95"/>
        <v>9.25</v>
      </c>
      <c r="H341" s="4">
        <v>50</v>
      </c>
      <c r="I341" s="5">
        <f t="shared" ref="I341:I346" si="105">G341*D341</f>
        <v>508.75</v>
      </c>
      <c r="J341" s="5">
        <f t="shared" ref="J341:J346" si="106">I341-H341</f>
        <v>458.75</v>
      </c>
      <c r="K341">
        <v>28</v>
      </c>
      <c r="N341" s="51">
        <v>410</v>
      </c>
      <c r="O341" s="51"/>
      <c r="P341" t="s">
        <v>1188</v>
      </c>
    </row>
    <row r="342" spans="1:17">
      <c r="A342" s="80" t="s">
        <v>1059</v>
      </c>
      <c r="B342" s="4">
        <v>8</v>
      </c>
      <c r="C342" s="4">
        <v>58</v>
      </c>
      <c r="D342" s="4">
        <v>45</v>
      </c>
      <c r="E342" s="4">
        <v>1</v>
      </c>
      <c r="F342" s="4">
        <v>50</v>
      </c>
      <c r="G342" s="10">
        <f t="shared" si="95"/>
        <v>8.9666666666666668</v>
      </c>
      <c r="H342" s="4">
        <v>50</v>
      </c>
      <c r="I342" s="5">
        <f t="shared" si="105"/>
        <v>403.5</v>
      </c>
      <c r="J342" s="5">
        <f t="shared" si="106"/>
        <v>353.5</v>
      </c>
      <c r="K342">
        <v>24</v>
      </c>
      <c r="N342" s="51">
        <f>371+150</f>
        <v>521</v>
      </c>
      <c r="P342" t="s">
        <v>1127</v>
      </c>
    </row>
    <row r="343" spans="1:17">
      <c r="A343" s="80" t="s">
        <v>1060</v>
      </c>
      <c r="B343" s="4">
        <v>9</v>
      </c>
      <c r="C343" s="4">
        <v>46</v>
      </c>
      <c r="D343" s="4">
        <v>45</v>
      </c>
      <c r="E343" s="4">
        <v>1</v>
      </c>
      <c r="F343" s="4">
        <v>50</v>
      </c>
      <c r="G343" s="10">
        <f t="shared" si="95"/>
        <v>9.7666666666666675</v>
      </c>
      <c r="H343" s="4">
        <v>50</v>
      </c>
      <c r="I343" s="5">
        <f t="shared" si="105"/>
        <v>439.50000000000006</v>
      </c>
      <c r="J343" s="5">
        <f t="shared" si="106"/>
        <v>389.50000000000006</v>
      </c>
      <c r="K343">
        <v>22</v>
      </c>
      <c r="N343" s="51">
        <f>470+200</f>
        <v>670</v>
      </c>
      <c r="P343" t="s">
        <v>1189</v>
      </c>
    </row>
    <row r="344" spans="1:17">
      <c r="A344" s="80" t="s">
        <v>1061</v>
      </c>
      <c r="B344" s="4">
        <v>10</v>
      </c>
      <c r="C344" s="4">
        <v>56</v>
      </c>
      <c r="D344" s="4">
        <v>55</v>
      </c>
      <c r="E344" s="4">
        <v>1</v>
      </c>
      <c r="F344" s="4">
        <v>50</v>
      </c>
      <c r="G344" s="10">
        <f t="shared" si="95"/>
        <v>10.933333333333334</v>
      </c>
      <c r="H344" s="4">
        <v>50</v>
      </c>
      <c r="I344" s="5">
        <f t="shared" si="105"/>
        <v>601.33333333333337</v>
      </c>
      <c r="J344" s="5">
        <f t="shared" si="106"/>
        <v>551.33333333333337</v>
      </c>
      <c r="K344">
        <v>28</v>
      </c>
      <c r="N344" s="51">
        <v>680</v>
      </c>
      <c r="P344" t="s">
        <v>1190</v>
      </c>
    </row>
    <row r="345" spans="1:17">
      <c r="A345" s="80" t="s">
        <v>1063</v>
      </c>
      <c r="B345" s="4">
        <v>10</v>
      </c>
      <c r="C345" s="4">
        <v>25</v>
      </c>
      <c r="D345" s="4">
        <v>45</v>
      </c>
      <c r="E345" s="4">
        <v>1</v>
      </c>
      <c r="F345" s="4">
        <v>50</v>
      </c>
      <c r="G345" s="10">
        <f t="shared" si="95"/>
        <v>10.416666666666666</v>
      </c>
      <c r="H345" s="4">
        <f>50+439.8</f>
        <v>489.8</v>
      </c>
      <c r="I345" s="5">
        <f t="shared" si="105"/>
        <v>468.75</v>
      </c>
      <c r="J345" s="5">
        <f t="shared" si="106"/>
        <v>-21.050000000000011</v>
      </c>
      <c r="K345">
        <v>21</v>
      </c>
      <c r="N345" s="51">
        <f>870</f>
        <v>870</v>
      </c>
      <c r="P345" t="s">
        <v>1191</v>
      </c>
    </row>
    <row r="346" spans="1:17">
      <c r="A346" s="80" t="s">
        <v>1065</v>
      </c>
      <c r="B346" s="4">
        <v>11</v>
      </c>
      <c r="C346" s="4">
        <v>0</v>
      </c>
      <c r="D346" s="4">
        <v>55</v>
      </c>
      <c r="E346" s="4">
        <v>1</v>
      </c>
      <c r="F346" s="4">
        <v>50</v>
      </c>
      <c r="G346" s="10">
        <f t="shared" si="95"/>
        <v>11</v>
      </c>
      <c r="H346" s="4">
        <v>50</v>
      </c>
      <c r="I346" s="5">
        <f t="shared" si="105"/>
        <v>605</v>
      </c>
      <c r="J346" s="5">
        <f t="shared" si="106"/>
        <v>555</v>
      </c>
      <c r="K346">
        <v>29</v>
      </c>
      <c r="N346" s="51">
        <f>450+300</f>
        <v>750</v>
      </c>
    </row>
    <row r="347" spans="1:17" ht="19" hidden="1">
      <c r="A347" s="91" t="s">
        <v>1192</v>
      </c>
      <c r="B347" s="8">
        <f>SUM(B348:B354)</f>
        <v>0</v>
      </c>
      <c r="C347" s="8">
        <f>SUM(C348:C354)</f>
        <v>0</v>
      </c>
      <c r="D347" s="8">
        <f>SUM(D348)</f>
        <v>45</v>
      </c>
      <c r="E347" s="8">
        <f>SUM(E348:E354)</f>
        <v>5</v>
      </c>
      <c r="F347" s="8">
        <f>SUM(F348:F354)</f>
        <v>350</v>
      </c>
      <c r="G347" s="93">
        <f t="shared" si="95"/>
        <v>0</v>
      </c>
      <c r="H347" s="8">
        <f>SUM(H348:H354)</f>
        <v>0</v>
      </c>
      <c r="I347" s="9">
        <f>SUM(I348:I354)</f>
        <v>0</v>
      </c>
      <c r="J347" s="14">
        <f>SUM(J348:J354)</f>
        <v>0</v>
      </c>
      <c r="K347" s="8">
        <f>SUM(K348:K354)</f>
        <v>0</v>
      </c>
      <c r="L347" s="9">
        <v>0</v>
      </c>
      <c r="M347" s="96">
        <f>J347</f>
        <v>0</v>
      </c>
      <c r="N347" s="102">
        <f>SUM(N348:N354)</f>
        <v>0</v>
      </c>
      <c r="O347" s="98">
        <f>-N347</f>
        <v>0</v>
      </c>
      <c r="P347" s="86"/>
      <c r="Q347" s="86"/>
    </row>
    <row r="348" spans="1:17" hidden="1">
      <c r="A348" s="80">
        <v>46146</v>
      </c>
      <c r="B348" s="4"/>
      <c r="C348" s="4"/>
      <c r="D348" s="4">
        <v>45</v>
      </c>
      <c r="E348" s="4">
        <v>0</v>
      </c>
      <c r="F348" s="4">
        <v>50</v>
      </c>
      <c r="G348" s="10">
        <f t="shared" si="95"/>
        <v>0</v>
      </c>
      <c r="H348" s="4"/>
      <c r="I348" s="5">
        <f t="shared" ref="I348:I354" si="107">G348*D348</f>
        <v>0</v>
      </c>
      <c r="J348" s="5">
        <f t="shared" ref="J348:J354" si="108">I348-H348</f>
        <v>0</v>
      </c>
      <c r="N348" s="51">
        <v>0</v>
      </c>
      <c r="O348" s="51"/>
    </row>
    <row r="349" spans="1:17" hidden="1">
      <c r="A349" s="80">
        <v>46147</v>
      </c>
      <c r="B349" s="4"/>
      <c r="C349" s="4"/>
      <c r="D349" s="4">
        <v>45</v>
      </c>
      <c r="E349" s="4">
        <v>1</v>
      </c>
      <c r="F349" s="4">
        <v>50</v>
      </c>
      <c r="G349" s="10">
        <f t="shared" si="95"/>
        <v>0</v>
      </c>
      <c r="H349" s="4"/>
      <c r="I349" s="5">
        <f t="shared" si="107"/>
        <v>0</v>
      </c>
      <c r="J349" s="5">
        <f t="shared" si="108"/>
        <v>0</v>
      </c>
      <c r="N349" s="51">
        <v>0</v>
      </c>
    </row>
    <row r="350" spans="1:17" hidden="1">
      <c r="A350" s="80">
        <v>46148</v>
      </c>
      <c r="B350" s="4"/>
      <c r="C350" s="4"/>
      <c r="D350" s="4">
        <v>45</v>
      </c>
      <c r="E350" s="4">
        <v>1</v>
      </c>
      <c r="F350" s="4">
        <v>50</v>
      </c>
      <c r="G350" s="10">
        <f t="shared" si="95"/>
        <v>0</v>
      </c>
      <c r="H350" s="4"/>
      <c r="I350" s="5">
        <f t="shared" si="107"/>
        <v>0</v>
      </c>
      <c r="J350" s="5">
        <f t="shared" si="108"/>
        <v>0</v>
      </c>
      <c r="N350" s="51">
        <v>0</v>
      </c>
    </row>
    <row r="351" spans="1:17" hidden="1">
      <c r="A351" s="80">
        <v>46149</v>
      </c>
      <c r="B351" s="4"/>
      <c r="C351" s="4"/>
      <c r="D351" s="4">
        <v>45</v>
      </c>
      <c r="E351" s="4">
        <v>1</v>
      </c>
      <c r="F351" s="4">
        <v>50</v>
      </c>
      <c r="G351" s="10">
        <f t="shared" si="95"/>
        <v>0</v>
      </c>
      <c r="H351" s="4"/>
      <c r="I351" s="5">
        <f t="shared" si="107"/>
        <v>0</v>
      </c>
      <c r="J351" s="5">
        <f t="shared" si="108"/>
        <v>0</v>
      </c>
      <c r="N351" s="51">
        <v>0</v>
      </c>
    </row>
    <row r="352" spans="1:17" hidden="1">
      <c r="A352" s="80">
        <v>46150</v>
      </c>
      <c r="B352" s="4"/>
      <c r="C352" s="4"/>
      <c r="D352" s="4">
        <v>45</v>
      </c>
      <c r="E352" s="4">
        <v>1</v>
      </c>
      <c r="F352" s="4">
        <v>50</v>
      </c>
      <c r="G352" s="10">
        <f t="shared" si="95"/>
        <v>0</v>
      </c>
      <c r="H352" s="4"/>
      <c r="I352" s="5">
        <f t="shared" si="107"/>
        <v>0</v>
      </c>
      <c r="J352" s="5">
        <f t="shared" si="108"/>
        <v>0</v>
      </c>
      <c r="N352" s="51">
        <v>0</v>
      </c>
    </row>
    <row r="353" spans="1:15" hidden="1">
      <c r="A353" s="80">
        <v>46151</v>
      </c>
      <c r="B353" s="4"/>
      <c r="C353" s="4"/>
      <c r="D353" s="4">
        <v>45</v>
      </c>
      <c r="E353" s="4">
        <v>1</v>
      </c>
      <c r="F353" s="4">
        <v>50</v>
      </c>
      <c r="G353" s="10">
        <f t="shared" si="95"/>
        <v>0</v>
      </c>
      <c r="H353" s="4"/>
      <c r="I353" s="5">
        <f t="shared" si="107"/>
        <v>0</v>
      </c>
      <c r="J353" s="5">
        <f t="shared" si="108"/>
        <v>0</v>
      </c>
      <c r="N353" s="51">
        <v>0</v>
      </c>
    </row>
    <row r="354" spans="1:15" hidden="1">
      <c r="A354" s="80">
        <v>46152</v>
      </c>
      <c r="B354" s="4"/>
      <c r="C354" s="4"/>
      <c r="D354" s="4">
        <v>45</v>
      </c>
      <c r="E354" s="4">
        <v>0</v>
      </c>
      <c r="F354" s="4">
        <v>50</v>
      </c>
      <c r="G354" s="10">
        <f t="shared" si="95"/>
        <v>0</v>
      </c>
      <c r="H354" s="4"/>
      <c r="I354" s="5">
        <f t="shared" si="107"/>
        <v>0</v>
      </c>
      <c r="J354" s="5">
        <f t="shared" si="108"/>
        <v>0</v>
      </c>
      <c r="N354" s="51">
        <v>0</v>
      </c>
    </row>
    <row r="355" spans="1:15">
      <c r="A355" s="80"/>
      <c r="G355" s="133"/>
      <c r="H355" s="131"/>
      <c r="I355" s="132"/>
      <c r="J355" s="132"/>
      <c r="N355" s="51"/>
    </row>
    <row r="356" spans="1:15" ht="21">
      <c r="A356" t="s">
        <v>17</v>
      </c>
      <c r="E356" s="122">
        <f>E3+E10+E17+E25+E57+E64+E71+E78+E85+E93+E109+E116+E123+E139+E147+E155+E163+E170+E177+E184+E191+E199+E206+E214+E222+E230+E246+E254+E261+E269+E276+E284+E292+E300+E308+E324+E340</f>
        <v>186</v>
      </c>
      <c r="F356" s="121"/>
      <c r="G356" s="121"/>
      <c r="H356" s="121">
        <f t="shared" ref="H356:O356" si="109">H3+H10+H17+H25+H57+H64+H71+H78+H85+H93+H109+H116+H123+H139+H147+H155+H163+H170+H177+H184+H191+H199+H206+H214+H222+H230+H246+H254+H261+H269+H276+H284+H292+H300+H308+H324+H340</f>
        <v>15118.8</v>
      </c>
      <c r="I356" s="121">
        <f t="shared" si="109"/>
        <v>92561.666666666642</v>
      </c>
      <c r="J356" s="121">
        <f t="shared" si="109"/>
        <v>77442.866666666698</v>
      </c>
      <c r="K356" s="122">
        <f t="shared" si="109"/>
        <v>5128</v>
      </c>
      <c r="L356" s="121">
        <f t="shared" si="109"/>
        <v>300</v>
      </c>
      <c r="M356" s="121">
        <f t="shared" si="109"/>
        <v>77742.866666666698</v>
      </c>
      <c r="N356" s="121">
        <f t="shared" si="109"/>
        <v>109514.48999999999</v>
      </c>
      <c r="O356" s="125">
        <f t="shared" si="109"/>
        <v>3623.51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EAEA-192D-4913-8686-4884E7C60753}">
  <dimension ref="A1:Q3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9" sqref="N9"/>
    </sheetView>
  </sheetViews>
  <sheetFormatPr baseColWidth="10" defaultColWidth="8.83203125" defaultRowHeight="15"/>
  <cols>
    <col min="1" max="1" width="24.5" customWidth="1"/>
    <col min="2" max="2" width="12.83203125" customWidth="1"/>
    <col min="3" max="3" width="12.1640625" customWidth="1"/>
    <col min="4" max="4" width="13.83203125" customWidth="1"/>
    <col min="5" max="5" width="13" customWidth="1"/>
    <col min="6" max="6" width="18" customWidth="1"/>
    <col min="7" max="7" width="18.5" customWidth="1"/>
    <col min="8" max="8" width="20" customWidth="1"/>
    <col min="9" max="9" width="17.6640625" customWidth="1"/>
    <col min="10" max="10" width="17.83203125" customWidth="1"/>
    <col min="11" max="11" width="10.6640625" customWidth="1"/>
    <col min="12" max="12" width="15.5" customWidth="1"/>
    <col min="13" max="13" width="19" customWidth="1"/>
    <col min="14" max="14" width="20.83203125" customWidth="1"/>
    <col min="15" max="15" width="21.6640625" customWidth="1"/>
  </cols>
  <sheetData>
    <row r="1" spans="1:17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7" ht="19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7" ht="19">
      <c r="A3" s="91" t="s">
        <v>453</v>
      </c>
      <c r="B3" s="8">
        <f>SUM(B4:B10)</f>
        <v>23</v>
      </c>
      <c r="C3" s="8">
        <f>SUM(C4:C10)</f>
        <v>150</v>
      </c>
      <c r="D3" s="8">
        <f>SUM(D4)</f>
        <v>65</v>
      </c>
      <c r="E3" s="8">
        <f>SUM(E4:E10)</f>
        <v>4</v>
      </c>
      <c r="F3" s="8">
        <f>SUM(F4:F10)</f>
        <v>350</v>
      </c>
      <c r="G3" s="93">
        <f t="shared" ref="G3:G10" si="0">B3+C3/60</f>
        <v>25.5</v>
      </c>
      <c r="H3" s="8">
        <f>SUM(H4:H10)</f>
        <v>319.5</v>
      </c>
      <c r="I3" s="9">
        <f>SUM(I4:I10)</f>
        <v>1358.8333333333333</v>
      </c>
      <c r="J3" s="14">
        <f>SUM(J4:J10)</f>
        <v>1039.3333333333333</v>
      </c>
      <c r="K3" s="8">
        <f>SUM(K4:K10)</f>
        <v>114</v>
      </c>
      <c r="L3" s="9">
        <v>0</v>
      </c>
      <c r="M3" s="96">
        <f>J3+L3</f>
        <v>1039.3333333333333</v>
      </c>
      <c r="N3" s="97">
        <f>SUM(N4:N10)</f>
        <v>1825</v>
      </c>
      <c r="O3" s="98">
        <f>2260-N3</f>
        <v>435</v>
      </c>
      <c r="P3" s="86"/>
      <c r="Q3" s="86"/>
    </row>
    <row r="4" spans="1:17">
      <c r="A4" s="80" t="s">
        <v>1072</v>
      </c>
      <c r="B4" s="4">
        <v>0</v>
      </c>
      <c r="C4" s="4">
        <v>0</v>
      </c>
      <c r="D4" s="4">
        <v>65</v>
      </c>
      <c r="E4" s="4">
        <v>0</v>
      </c>
      <c r="F4" s="4">
        <v>50</v>
      </c>
      <c r="G4" s="10">
        <f t="shared" si="0"/>
        <v>0</v>
      </c>
      <c r="H4" s="4">
        <v>0</v>
      </c>
      <c r="I4" s="5">
        <f t="shared" ref="I4:I10" si="1">G4*D4</f>
        <v>0</v>
      </c>
      <c r="J4" s="5">
        <f>I4-H4</f>
        <v>0</v>
      </c>
      <c r="K4">
        <v>0</v>
      </c>
      <c r="N4" s="51">
        <v>0</v>
      </c>
    </row>
    <row r="5" spans="1:17">
      <c r="A5" s="80" t="s">
        <v>1193</v>
      </c>
      <c r="B5" s="4">
        <v>0</v>
      </c>
      <c r="C5" s="4">
        <v>0</v>
      </c>
      <c r="D5" s="4">
        <v>55</v>
      </c>
      <c r="E5" s="4">
        <v>0</v>
      </c>
      <c r="F5" s="4">
        <v>50</v>
      </c>
      <c r="G5" s="10">
        <f t="shared" si="0"/>
        <v>0</v>
      </c>
      <c r="H5" s="4">
        <v>0</v>
      </c>
      <c r="I5" s="5">
        <f t="shared" si="1"/>
        <v>0</v>
      </c>
      <c r="J5" s="5">
        <f>I5-H5</f>
        <v>0</v>
      </c>
      <c r="K5">
        <v>0</v>
      </c>
      <c r="N5" s="51">
        <v>0</v>
      </c>
    </row>
    <row r="6" spans="1:17">
      <c r="A6" s="80" t="s">
        <v>1194</v>
      </c>
      <c r="B6" s="4">
        <v>6</v>
      </c>
      <c r="C6" s="4">
        <v>18</v>
      </c>
      <c r="D6" s="4">
        <v>55</v>
      </c>
      <c r="E6" s="4">
        <v>1</v>
      </c>
      <c r="F6" s="4">
        <v>50</v>
      </c>
      <c r="G6" s="10">
        <f t="shared" si="0"/>
        <v>6.3</v>
      </c>
      <c r="H6" s="4">
        <v>50</v>
      </c>
      <c r="I6" s="5">
        <f t="shared" si="1"/>
        <v>346.5</v>
      </c>
      <c r="J6" s="5">
        <f>I6-H6</f>
        <v>296.5</v>
      </c>
      <c r="K6">
        <v>27</v>
      </c>
      <c r="N6" s="51">
        <v>512</v>
      </c>
      <c r="P6" t="s">
        <v>1195</v>
      </c>
    </row>
    <row r="7" spans="1:17">
      <c r="A7" s="80" t="s">
        <v>1196</v>
      </c>
      <c r="B7" s="4">
        <v>5</v>
      </c>
      <c r="C7" s="4">
        <v>44</v>
      </c>
      <c r="D7" s="4">
        <v>55</v>
      </c>
      <c r="E7" s="4">
        <v>1</v>
      </c>
      <c r="F7" s="4">
        <v>50</v>
      </c>
      <c r="G7" s="10">
        <f t="shared" si="0"/>
        <v>5.7333333333333334</v>
      </c>
      <c r="H7" s="4">
        <f>50+65.5</f>
        <v>115.5</v>
      </c>
      <c r="I7" s="5">
        <f t="shared" si="1"/>
        <v>315.33333333333331</v>
      </c>
      <c r="J7" s="5">
        <f t="shared" ref="J7:J10" si="2">I7-H7</f>
        <v>199.83333333333331</v>
      </c>
      <c r="K7">
        <v>27</v>
      </c>
      <c r="N7" s="51">
        <v>314</v>
      </c>
      <c r="P7" s="170" t="s">
        <v>1197</v>
      </c>
    </row>
    <row r="8" spans="1:17">
      <c r="A8" s="80" t="s">
        <v>1198</v>
      </c>
      <c r="B8" s="4">
        <v>4</v>
      </c>
      <c r="C8" s="4">
        <v>33</v>
      </c>
      <c r="D8" s="4">
        <v>65</v>
      </c>
      <c r="E8" s="4">
        <v>1</v>
      </c>
      <c r="F8" s="4">
        <v>50</v>
      </c>
      <c r="G8" s="10">
        <f t="shared" si="0"/>
        <v>4.55</v>
      </c>
      <c r="H8" s="4">
        <v>50</v>
      </c>
      <c r="I8" s="5">
        <f t="shared" si="1"/>
        <v>295.75</v>
      </c>
      <c r="J8" s="5">
        <f t="shared" si="2"/>
        <v>245.75</v>
      </c>
      <c r="K8">
        <v>32</v>
      </c>
      <c r="N8" s="51">
        <f>347+200</f>
        <v>547</v>
      </c>
      <c r="P8" t="s">
        <v>1199</v>
      </c>
    </row>
    <row r="9" spans="1:17">
      <c r="A9" s="80" t="s">
        <v>1200</v>
      </c>
      <c r="B9" s="4">
        <v>8</v>
      </c>
      <c r="C9" s="4">
        <v>55</v>
      </c>
      <c r="D9" s="4">
        <v>45</v>
      </c>
      <c r="E9" s="4">
        <v>1</v>
      </c>
      <c r="F9" s="4">
        <v>50</v>
      </c>
      <c r="G9" s="10">
        <f t="shared" si="0"/>
        <v>8.9166666666666661</v>
      </c>
      <c r="H9" s="4">
        <f>50+54</f>
        <v>104</v>
      </c>
      <c r="I9" s="5">
        <f t="shared" si="1"/>
        <v>401.25</v>
      </c>
      <c r="J9" s="5">
        <f t="shared" si="2"/>
        <v>297.25</v>
      </c>
      <c r="K9">
        <v>28</v>
      </c>
      <c r="N9" s="51">
        <f>252+200</f>
        <v>452</v>
      </c>
      <c r="P9" t="s">
        <v>1201</v>
      </c>
    </row>
    <row r="10" spans="1:17">
      <c r="A10" s="80" t="s">
        <v>1202</v>
      </c>
      <c r="B10" s="4"/>
      <c r="C10" s="4"/>
      <c r="D10" s="4">
        <v>45</v>
      </c>
      <c r="E10" s="4">
        <v>0</v>
      </c>
      <c r="F10" s="4">
        <v>50</v>
      </c>
      <c r="G10" s="10">
        <f t="shared" si="0"/>
        <v>0</v>
      </c>
      <c r="H10" s="4"/>
      <c r="I10" s="5">
        <f t="shared" si="1"/>
        <v>0</v>
      </c>
      <c r="J10" s="5">
        <f t="shared" si="2"/>
        <v>0</v>
      </c>
      <c r="N10" s="51">
        <v>0</v>
      </c>
    </row>
    <row r="11" spans="1:17" ht="19">
      <c r="A11" s="91" t="s">
        <v>463</v>
      </c>
      <c r="B11" s="92">
        <f>SUM(B12:B18)</f>
        <v>62</v>
      </c>
      <c r="C11" s="92">
        <f>SUM(C12:C18)</f>
        <v>68</v>
      </c>
      <c r="D11" s="92">
        <f>SUM(D12)</f>
        <v>45</v>
      </c>
      <c r="E11" s="92">
        <f>SUM(E12:E18)</f>
        <v>6</v>
      </c>
      <c r="F11" s="92">
        <f>SUM(F12:F18)</f>
        <v>350</v>
      </c>
      <c r="G11" s="93">
        <f>B11+C11/60</f>
        <v>63.133333333333333</v>
      </c>
      <c r="H11" s="8">
        <f>SUM(H12:H18)</f>
        <v>300</v>
      </c>
      <c r="I11" s="94">
        <f>SUM(I12:I18)</f>
        <v>3281.166666666667</v>
      </c>
      <c r="J11" s="95">
        <f>SUM(J12:J18)</f>
        <v>2981.166666666667</v>
      </c>
      <c r="K11" s="8">
        <f>SUM(K12:K18)</f>
        <v>141</v>
      </c>
      <c r="L11" s="9">
        <v>0</v>
      </c>
      <c r="M11" s="96">
        <f>J11+L11</f>
        <v>2981.166666666667</v>
      </c>
      <c r="N11" s="97">
        <f>SUM(N12:N18)</f>
        <v>2869</v>
      </c>
      <c r="O11" s="98">
        <f>2869-N11</f>
        <v>0</v>
      </c>
      <c r="P11" s="86"/>
      <c r="Q11" s="86"/>
    </row>
    <row r="12" spans="1:17">
      <c r="A12" s="6">
        <v>46153</v>
      </c>
      <c r="B12" s="4">
        <v>8</v>
      </c>
      <c r="C12" s="4">
        <v>5</v>
      </c>
      <c r="D12" s="4">
        <v>45</v>
      </c>
      <c r="E12" s="4">
        <v>1</v>
      </c>
      <c r="F12" s="4">
        <v>50</v>
      </c>
      <c r="G12" s="10">
        <f>B12+C12/60</f>
        <v>8.0833333333333339</v>
      </c>
      <c r="H12" s="4">
        <v>50</v>
      </c>
      <c r="I12" s="5">
        <f>G12*D12</f>
        <v>363.75</v>
      </c>
      <c r="J12" s="5">
        <f>I12-H12</f>
        <v>313.75</v>
      </c>
      <c r="K12">
        <v>23</v>
      </c>
      <c r="M12" t="s">
        <v>26</v>
      </c>
      <c r="N12" s="83">
        <f>283</f>
        <v>283</v>
      </c>
    </row>
    <row r="13" spans="1:17">
      <c r="A13" s="6">
        <v>46154</v>
      </c>
      <c r="B13" s="4">
        <v>11</v>
      </c>
      <c r="C13" s="4">
        <v>0</v>
      </c>
      <c r="D13" s="4">
        <v>45</v>
      </c>
      <c r="E13" s="4">
        <v>1</v>
      </c>
      <c r="F13" s="4">
        <v>50</v>
      </c>
      <c r="G13" s="10">
        <f t="shared" ref="G13:G19" si="3">B13+C13/60</f>
        <v>11</v>
      </c>
      <c r="H13" s="4">
        <v>50</v>
      </c>
      <c r="I13" s="5">
        <f>G13*D13</f>
        <v>495</v>
      </c>
      <c r="J13" s="5">
        <f t="shared" ref="J13:J18" si="4">I13-H13</f>
        <v>445</v>
      </c>
      <c r="K13">
        <v>19</v>
      </c>
      <c r="N13" s="83">
        <f>78+200</f>
        <v>278</v>
      </c>
    </row>
    <row r="14" spans="1:17">
      <c r="A14" s="6">
        <v>46155</v>
      </c>
      <c r="B14" s="4">
        <v>11</v>
      </c>
      <c r="C14" s="4">
        <v>0</v>
      </c>
      <c r="D14" s="4">
        <v>45</v>
      </c>
      <c r="E14" s="4">
        <v>0</v>
      </c>
      <c r="F14" s="4">
        <v>50</v>
      </c>
      <c r="G14" s="10">
        <f t="shared" si="3"/>
        <v>11</v>
      </c>
      <c r="H14" s="4">
        <v>50</v>
      </c>
      <c r="I14" s="5">
        <f t="shared" ref="I14:I18" si="5">G14*D14</f>
        <v>495</v>
      </c>
      <c r="J14" s="5">
        <f t="shared" si="4"/>
        <v>445</v>
      </c>
      <c r="K14">
        <v>18</v>
      </c>
      <c r="N14" s="83">
        <v>357</v>
      </c>
    </row>
    <row r="15" spans="1:17">
      <c r="A15" s="6">
        <v>46156</v>
      </c>
      <c r="B15" s="4"/>
      <c r="C15" s="4">
        <v>0</v>
      </c>
      <c r="D15" s="4">
        <v>45</v>
      </c>
      <c r="E15" s="4">
        <v>1</v>
      </c>
      <c r="F15" s="4">
        <v>50</v>
      </c>
      <c r="G15" s="10">
        <f t="shared" si="3"/>
        <v>0</v>
      </c>
      <c r="H15" s="4"/>
      <c r="I15" s="5">
        <f t="shared" si="5"/>
        <v>0</v>
      </c>
      <c r="J15" s="5">
        <f t="shared" si="4"/>
        <v>0</v>
      </c>
      <c r="N15" s="83">
        <v>0</v>
      </c>
    </row>
    <row r="16" spans="1:17">
      <c r="A16" s="6">
        <v>46157</v>
      </c>
      <c r="B16" s="4">
        <v>11</v>
      </c>
      <c r="C16" s="4">
        <v>0</v>
      </c>
      <c r="D16" s="4">
        <v>55</v>
      </c>
      <c r="E16" s="4">
        <v>1</v>
      </c>
      <c r="F16" s="4">
        <v>50</v>
      </c>
      <c r="G16" s="10">
        <f t="shared" si="3"/>
        <v>11</v>
      </c>
      <c r="H16" s="4">
        <v>50</v>
      </c>
      <c r="I16" s="5">
        <f t="shared" si="5"/>
        <v>605</v>
      </c>
      <c r="J16" s="5">
        <f t="shared" si="4"/>
        <v>555</v>
      </c>
      <c r="K16">
        <v>27</v>
      </c>
      <c r="N16" s="83">
        <f>393+150</f>
        <v>543</v>
      </c>
      <c r="P16" t="s">
        <v>1203</v>
      </c>
    </row>
    <row r="17" spans="1:17">
      <c r="A17" s="6">
        <v>46158</v>
      </c>
      <c r="B17" s="4">
        <v>11</v>
      </c>
      <c r="C17" s="4">
        <v>5</v>
      </c>
      <c r="D17" s="4">
        <v>55</v>
      </c>
      <c r="E17" s="4">
        <v>1</v>
      </c>
      <c r="F17" s="4">
        <v>50</v>
      </c>
      <c r="G17" s="10">
        <f t="shared" si="3"/>
        <v>11.083333333333334</v>
      </c>
      <c r="H17" s="4">
        <v>50</v>
      </c>
      <c r="I17" s="5">
        <f t="shared" si="5"/>
        <v>609.58333333333337</v>
      </c>
      <c r="J17" s="5">
        <f t="shared" si="4"/>
        <v>559.58333333333337</v>
      </c>
      <c r="K17">
        <v>27</v>
      </c>
      <c r="N17" s="83">
        <f>345+200</f>
        <v>545</v>
      </c>
    </row>
    <row r="18" spans="1:17">
      <c r="A18" s="6">
        <v>46159</v>
      </c>
      <c r="B18" s="4">
        <v>10</v>
      </c>
      <c r="C18" s="4">
        <v>58</v>
      </c>
      <c r="D18" s="4">
        <v>65</v>
      </c>
      <c r="E18" s="4">
        <v>1</v>
      </c>
      <c r="F18" s="4">
        <v>50</v>
      </c>
      <c r="G18" s="10">
        <f t="shared" si="3"/>
        <v>10.966666666666667</v>
      </c>
      <c r="H18" s="4">
        <v>50</v>
      </c>
      <c r="I18" s="5">
        <f t="shared" si="5"/>
        <v>712.83333333333337</v>
      </c>
      <c r="J18" s="5">
        <f t="shared" si="4"/>
        <v>662.83333333333337</v>
      </c>
      <c r="K18">
        <v>27</v>
      </c>
      <c r="N18" s="51">
        <f>663+200</f>
        <v>863</v>
      </c>
      <c r="P18" t="s">
        <v>1204</v>
      </c>
    </row>
    <row r="19" spans="1:17" ht="19">
      <c r="A19" s="91" t="s">
        <v>465</v>
      </c>
      <c r="B19" s="8">
        <f>SUM(B20:B26)</f>
        <v>64</v>
      </c>
      <c r="C19" s="8">
        <f>SUM(C20:C26)</f>
        <v>50</v>
      </c>
      <c r="D19" s="92">
        <f>SUM(D20)</f>
        <v>65</v>
      </c>
      <c r="E19" s="8">
        <f>SUM(E20:E26)</f>
        <v>6</v>
      </c>
      <c r="F19" s="8">
        <f>SUM(F20:F26)</f>
        <v>300</v>
      </c>
      <c r="G19" s="93">
        <f t="shared" si="3"/>
        <v>64.833333333333329</v>
      </c>
      <c r="H19" s="8">
        <f>SUM(H20:H25)</f>
        <v>525.5</v>
      </c>
      <c r="I19" s="9">
        <f>SUM(I20:I25)</f>
        <v>4104.166666666667</v>
      </c>
      <c r="J19" s="14">
        <f>SUM(J20:J25)</f>
        <v>3578.666666666667</v>
      </c>
      <c r="K19" s="8">
        <f>SUM(K20:K25)</f>
        <v>194</v>
      </c>
      <c r="L19" s="9">
        <v>0</v>
      </c>
      <c r="M19" s="96">
        <f>J19+L19</f>
        <v>3578.666666666667</v>
      </c>
      <c r="N19" s="99">
        <f>SUM(N20:N25)</f>
        <v>3769.77</v>
      </c>
      <c r="O19" s="98">
        <f>3768-N19</f>
        <v>-1.7699999999999818</v>
      </c>
      <c r="P19" s="86"/>
      <c r="Q19" s="86"/>
    </row>
    <row r="20" spans="1:17">
      <c r="A20" s="6">
        <v>46154</v>
      </c>
      <c r="B20" s="4">
        <v>11</v>
      </c>
      <c r="C20" s="4">
        <v>0</v>
      </c>
      <c r="D20" s="4">
        <v>65</v>
      </c>
      <c r="E20" s="4">
        <v>1</v>
      </c>
      <c r="F20" s="4">
        <v>50</v>
      </c>
      <c r="G20" s="10">
        <f t="shared" ref="G20:G23" si="6">B20+C20/60</f>
        <v>11</v>
      </c>
      <c r="H20" s="4">
        <v>50</v>
      </c>
      <c r="I20" s="5">
        <f t="shared" ref="I20:I22" si="7">G20*D20</f>
        <v>715</v>
      </c>
      <c r="J20" s="5">
        <f t="shared" ref="J20:J22" si="8">I20-H20</f>
        <v>665</v>
      </c>
      <c r="K20">
        <v>32</v>
      </c>
      <c r="N20" s="83">
        <f>530+300</f>
        <v>830</v>
      </c>
    </row>
    <row r="21" spans="1:17">
      <c r="A21" s="6">
        <v>46155</v>
      </c>
      <c r="B21" s="4">
        <v>11</v>
      </c>
      <c r="C21" s="4">
        <v>0</v>
      </c>
      <c r="D21" s="4">
        <v>65</v>
      </c>
      <c r="E21" s="4">
        <v>1</v>
      </c>
      <c r="F21" s="4">
        <v>50</v>
      </c>
      <c r="G21" s="10">
        <f t="shared" si="6"/>
        <v>11</v>
      </c>
      <c r="H21" s="4">
        <v>50</v>
      </c>
      <c r="I21" s="5">
        <f t="shared" si="7"/>
        <v>715</v>
      </c>
      <c r="J21" s="5">
        <f t="shared" si="8"/>
        <v>665</v>
      </c>
      <c r="K21">
        <v>32</v>
      </c>
      <c r="N21" s="83">
        <f>250+299.77</f>
        <v>549.77</v>
      </c>
      <c r="P21" t="s">
        <v>1205</v>
      </c>
    </row>
    <row r="22" spans="1:17">
      <c r="A22" s="6">
        <v>46156</v>
      </c>
      <c r="B22" s="4">
        <v>11</v>
      </c>
      <c r="C22" s="4">
        <v>0</v>
      </c>
      <c r="D22" s="4">
        <v>55</v>
      </c>
      <c r="E22" s="4">
        <v>1</v>
      </c>
      <c r="F22" s="4">
        <v>50</v>
      </c>
      <c r="G22" s="10">
        <f t="shared" si="6"/>
        <v>11</v>
      </c>
      <c r="H22" s="4">
        <f>50</f>
        <v>50</v>
      </c>
      <c r="I22" s="5">
        <f t="shared" si="7"/>
        <v>605</v>
      </c>
      <c r="J22" s="5">
        <f t="shared" si="8"/>
        <v>555</v>
      </c>
      <c r="K22">
        <v>30</v>
      </c>
      <c r="N22" s="51">
        <v>365</v>
      </c>
      <c r="P22" s="128" t="s">
        <v>1206</v>
      </c>
    </row>
    <row r="23" spans="1:17">
      <c r="A23" s="6">
        <v>46157</v>
      </c>
      <c r="B23" s="4">
        <v>9</v>
      </c>
      <c r="C23" s="4">
        <v>50</v>
      </c>
      <c r="D23" s="4">
        <v>65</v>
      </c>
      <c r="E23" s="4">
        <v>1</v>
      </c>
      <c r="F23" s="4">
        <v>50</v>
      </c>
      <c r="G23" s="10">
        <f t="shared" si="6"/>
        <v>9.8333333333333339</v>
      </c>
      <c r="H23" s="4">
        <f>140.5+50</f>
        <v>190.5</v>
      </c>
      <c r="I23" s="5">
        <f>G23*D23</f>
        <v>639.16666666666674</v>
      </c>
      <c r="J23" s="5">
        <f>I23-H23</f>
        <v>448.66666666666674</v>
      </c>
      <c r="K23">
        <v>32</v>
      </c>
      <c r="N23" s="51">
        <f>355+190</f>
        <v>545</v>
      </c>
      <c r="P23" t="s">
        <v>1207</v>
      </c>
    </row>
    <row r="24" spans="1:17">
      <c r="A24" s="6">
        <v>46158</v>
      </c>
      <c r="B24" s="4">
        <v>11</v>
      </c>
      <c r="C24" s="4">
        <v>0</v>
      </c>
      <c r="D24" s="4">
        <v>65</v>
      </c>
      <c r="E24" s="4">
        <v>1</v>
      </c>
      <c r="F24" s="4">
        <v>50</v>
      </c>
      <c r="G24" s="10">
        <f>B24+C24/60</f>
        <v>11</v>
      </c>
      <c r="H24" s="4">
        <v>50</v>
      </c>
      <c r="I24" s="5">
        <f>G24*D24</f>
        <v>715</v>
      </c>
      <c r="J24" s="5">
        <f>I24-H24</f>
        <v>665</v>
      </c>
      <c r="K24">
        <v>34</v>
      </c>
      <c r="N24" s="51">
        <v>400</v>
      </c>
    </row>
    <row r="25" spans="1:17">
      <c r="A25" s="6">
        <v>46159</v>
      </c>
      <c r="B25" s="4">
        <v>11</v>
      </c>
      <c r="C25" s="4">
        <v>0</v>
      </c>
      <c r="D25" s="4">
        <v>65</v>
      </c>
      <c r="E25" s="4">
        <v>1</v>
      </c>
      <c r="F25" s="4">
        <v>50</v>
      </c>
      <c r="G25" s="10">
        <f>B25+C25/60</f>
        <v>11</v>
      </c>
      <c r="H25" s="4">
        <f>50+85</f>
        <v>135</v>
      </c>
      <c r="I25" s="5">
        <f>G25*D25</f>
        <v>715</v>
      </c>
      <c r="J25" s="5">
        <f>I25-H25</f>
        <v>580</v>
      </c>
      <c r="K25">
        <v>34</v>
      </c>
      <c r="N25" s="51">
        <f>930+150</f>
        <v>1080</v>
      </c>
      <c r="P25" s="170" t="s">
        <v>1208</v>
      </c>
    </row>
    <row r="26" spans="1:17">
      <c r="A26" s="80">
        <v>46160</v>
      </c>
      <c r="B26" s="4"/>
      <c r="C26" s="4"/>
      <c r="D26" s="4">
        <v>45</v>
      </c>
      <c r="E26" s="4"/>
      <c r="F26" s="4"/>
      <c r="G26" s="10"/>
      <c r="H26" s="4"/>
      <c r="I26" s="5"/>
      <c r="J26" s="5"/>
      <c r="N26" s="51"/>
    </row>
    <row r="27" spans="1:17" ht="19">
      <c r="A27" s="91" t="s">
        <v>468</v>
      </c>
      <c r="B27" s="8">
        <f>SUM(B28:B34)</f>
        <v>68</v>
      </c>
      <c r="C27" s="8">
        <f>SUM(C28:C34)</f>
        <v>150</v>
      </c>
      <c r="D27" s="92">
        <f>SUM(D28)</f>
        <v>65</v>
      </c>
      <c r="E27" s="8">
        <f>SUM(E28:E34)</f>
        <v>7</v>
      </c>
      <c r="F27" s="8">
        <f>SUM(F28:F34)</f>
        <v>350</v>
      </c>
      <c r="G27" s="93">
        <f>B27+C27/60</f>
        <v>70.5</v>
      </c>
      <c r="H27" s="8">
        <f>SUM(H28:H34)</f>
        <v>493</v>
      </c>
      <c r="I27" s="9">
        <f>SUM(I28:I34)</f>
        <v>4472.6666666666661</v>
      </c>
      <c r="J27" s="9">
        <f>SUM(J28:J34)</f>
        <v>3979.6666666666665</v>
      </c>
      <c r="K27" s="8">
        <f>SUM(K28:K34)</f>
        <v>259</v>
      </c>
      <c r="L27" s="9">
        <v>300</v>
      </c>
      <c r="M27" s="96">
        <f>J27+L27</f>
        <v>4279.6666666666661</v>
      </c>
      <c r="N27" s="99">
        <f>SUM(N28:N34)</f>
        <v>6090</v>
      </c>
      <c r="O27" s="98">
        <f>6163-N27</f>
        <v>73</v>
      </c>
      <c r="P27" s="86"/>
      <c r="Q27" s="86"/>
    </row>
    <row r="28" spans="1:17">
      <c r="A28" s="80" t="s">
        <v>1193</v>
      </c>
      <c r="B28" s="4">
        <v>10</v>
      </c>
      <c r="C28" s="4">
        <v>23</v>
      </c>
      <c r="D28" s="4">
        <v>65</v>
      </c>
      <c r="E28" s="4">
        <v>1</v>
      </c>
      <c r="F28" s="4">
        <v>50</v>
      </c>
      <c r="G28" s="10">
        <f t="shared" ref="G28:G33" si="9">B28+C28/60</f>
        <v>10.383333333333333</v>
      </c>
      <c r="H28" s="4">
        <v>50</v>
      </c>
      <c r="I28" s="5">
        <f>G28*D28</f>
        <v>674.91666666666663</v>
      </c>
      <c r="J28" s="5">
        <f>I28-H28</f>
        <v>624.91666666666663</v>
      </c>
      <c r="K28">
        <v>36</v>
      </c>
      <c r="N28" s="51">
        <f>360+300</f>
        <v>660</v>
      </c>
      <c r="P28" t="s">
        <v>1209</v>
      </c>
    </row>
    <row r="29" spans="1:17">
      <c r="A29" s="80" t="s">
        <v>1194</v>
      </c>
      <c r="B29" s="4">
        <v>9</v>
      </c>
      <c r="C29" s="4">
        <v>40</v>
      </c>
      <c r="D29" s="4">
        <v>65</v>
      </c>
      <c r="E29" s="4">
        <v>1</v>
      </c>
      <c r="F29" s="4">
        <v>50</v>
      </c>
      <c r="G29" s="10">
        <f t="shared" si="9"/>
        <v>9.6666666666666661</v>
      </c>
      <c r="H29" s="4">
        <v>50</v>
      </c>
      <c r="I29" s="5">
        <f t="shared" ref="I29:I33" si="10">G29*D29</f>
        <v>628.33333333333326</v>
      </c>
      <c r="J29" s="5">
        <f t="shared" ref="J29:J33" si="11">I29-H29</f>
        <v>578.33333333333326</v>
      </c>
      <c r="K29">
        <v>35</v>
      </c>
      <c r="N29" s="51">
        <f>820+150</f>
        <v>970</v>
      </c>
      <c r="P29" t="s">
        <v>1210</v>
      </c>
    </row>
    <row r="30" spans="1:17">
      <c r="A30" s="80" t="s">
        <v>1196</v>
      </c>
      <c r="B30" s="4">
        <v>10</v>
      </c>
      <c r="C30" s="4">
        <v>59</v>
      </c>
      <c r="D30" s="4">
        <v>55</v>
      </c>
      <c r="E30" s="4">
        <v>1</v>
      </c>
      <c r="F30" s="4">
        <v>50</v>
      </c>
      <c r="G30" s="10">
        <f t="shared" si="9"/>
        <v>10.983333333333333</v>
      </c>
      <c r="H30" s="4">
        <v>50</v>
      </c>
      <c r="I30" s="5">
        <f t="shared" si="10"/>
        <v>604.08333333333326</v>
      </c>
      <c r="J30" s="5">
        <f t="shared" si="11"/>
        <v>554.08333333333326</v>
      </c>
      <c r="K30">
        <v>27</v>
      </c>
      <c r="N30" s="51">
        <f>740+200+100</f>
        <v>1040</v>
      </c>
    </row>
    <row r="31" spans="1:17">
      <c r="A31" s="80" t="s">
        <v>1198</v>
      </c>
      <c r="B31" s="4">
        <v>9</v>
      </c>
      <c r="C31" s="4">
        <v>9</v>
      </c>
      <c r="D31" s="4">
        <v>65</v>
      </c>
      <c r="E31" s="4">
        <v>1</v>
      </c>
      <c r="F31" s="7">
        <v>50</v>
      </c>
      <c r="G31" s="10">
        <f t="shared" si="9"/>
        <v>9.15</v>
      </c>
      <c r="H31" s="4">
        <v>50</v>
      </c>
      <c r="I31" s="5">
        <f t="shared" si="10"/>
        <v>594.75</v>
      </c>
      <c r="J31" s="5">
        <f t="shared" si="11"/>
        <v>544.75</v>
      </c>
      <c r="K31">
        <v>49</v>
      </c>
      <c r="N31" s="51">
        <f>700+100</f>
        <v>800</v>
      </c>
      <c r="P31" t="s">
        <v>1211</v>
      </c>
    </row>
    <row r="32" spans="1:17">
      <c r="A32" s="80" t="s">
        <v>1200</v>
      </c>
      <c r="B32" s="4">
        <v>9</v>
      </c>
      <c r="C32" s="4">
        <v>18</v>
      </c>
      <c r="D32" s="4">
        <v>65</v>
      </c>
      <c r="E32" s="4">
        <v>1</v>
      </c>
      <c r="F32" s="4">
        <v>50</v>
      </c>
      <c r="G32" s="10">
        <f>B32+C32/60</f>
        <v>9.3000000000000007</v>
      </c>
      <c r="H32" s="4">
        <f>50+143</f>
        <v>193</v>
      </c>
      <c r="I32" s="5">
        <f>G32*D32</f>
        <v>604.5</v>
      </c>
      <c r="J32" s="5">
        <f>I32-H32</f>
        <v>411.5</v>
      </c>
      <c r="K32">
        <v>36</v>
      </c>
      <c r="N32" s="51">
        <f>630+300</f>
        <v>930</v>
      </c>
      <c r="P32" t="s">
        <v>1212</v>
      </c>
    </row>
    <row r="33" spans="1:17">
      <c r="A33" s="80" t="s">
        <v>1202</v>
      </c>
      <c r="B33" s="4">
        <v>11</v>
      </c>
      <c r="C33" s="4">
        <v>0</v>
      </c>
      <c r="D33" s="4">
        <v>65</v>
      </c>
      <c r="E33" s="4">
        <v>1</v>
      </c>
      <c r="F33" s="4">
        <v>50</v>
      </c>
      <c r="G33" s="10">
        <f t="shared" si="9"/>
        <v>11</v>
      </c>
      <c r="H33" s="4">
        <v>50</v>
      </c>
      <c r="I33" s="5">
        <f t="shared" si="10"/>
        <v>715</v>
      </c>
      <c r="J33" s="5">
        <f t="shared" si="11"/>
        <v>665</v>
      </c>
      <c r="K33">
        <v>40</v>
      </c>
      <c r="N33" s="51">
        <f>760+200</f>
        <v>960</v>
      </c>
    </row>
    <row r="34" spans="1:17">
      <c r="A34" s="80" t="s">
        <v>1213</v>
      </c>
      <c r="B34" s="4">
        <v>10</v>
      </c>
      <c r="C34" s="4">
        <v>1</v>
      </c>
      <c r="D34" s="4">
        <v>65</v>
      </c>
      <c r="E34" s="4">
        <v>1</v>
      </c>
      <c r="F34" s="4">
        <v>50</v>
      </c>
      <c r="G34" s="10">
        <f t="shared" ref="G34:G44" si="12">B34+C34/60</f>
        <v>10.016666666666667</v>
      </c>
      <c r="H34" s="4">
        <v>50</v>
      </c>
      <c r="I34" s="5">
        <f>G34*D34</f>
        <v>651.08333333333337</v>
      </c>
      <c r="J34" s="5">
        <f>I34-H34</f>
        <v>601.08333333333337</v>
      </c>
      <c r="K34">
        <v>36</v>
      </c>
      <c r="N34" s="51">
        <f>430+200+100</f>
        <v>730</v>
      </c>
    </row>
    <row r="35" spans="1:17" ht="19">
      <c r="A35" s="91" t="s">
        <v>1214</v>
      </c>
      <c r="B35" s="8">
        <f>SUM(B36:B42)</f>
        <v>4</v>
      </c>
      <c r="C35" s="8">
        <f>SUM(C36:C42)</f>
        <v>36</v>
      </c>
      <c r="D35" s="8">
        <f>SUM(D36)</f>
        <v>45</v>
      </c>
      <c r="E35" s="8">
        <f>SUM(E36:E42)</f>
        <v>1</v>
      </c>
      <c r="F35" s="8">
        <f>SUM(F36:F42)</f>
        <v>350</v>
      </c>
      <c r="G35" s="93">
        <f t="shared" si="12"/>
        <v>4.5999999999999996</v>
      </c>
      <c r="H35" s="8">
        <f>SUM(H36:H42)</f>
        <v>359.5</v>
      </c>
      <c r="I35" s="9">
        <f>SUM(I36:I42)</f>
        <v>206.99999999999997</v>
      </c>
      <c r="J35" s="14">
        <f>SUM(J36:J42)</f>
        <v>-152.50000000000003</v>
      </c>
      <c r="K35" s="8">
        <f>SUM(K36:K42)</f>
        <v>12</v>
      </c>
      <c r="L35" s="9">
        <v>0</v>
      </c>
      <c r="M35" s="190">
        <f>J35</f>
        <v>-152.50000000000003</v>
      </c>
      <c r="N35" s="102">
        <f>SUM(N36:N42)</f>
        <v>0</v>
      </c>
      <c r="O35" s="98">
        <f>263-N35</f>
        <v>263</v>
      </c>
      <c r="P35" s="86"/>
      <c r="Q35" s="86"/>
    </row>
    <row r="36" spans="1:17">
      <c r="A36" s="6">
        <v>46153</v>
      </c>
      <c r="B36" s="4"/>
      <c r="C36" s="4"/>
      <c r="D36" s="4">
        <v>45</v>
      </c>
      <c r="E36" s="4">
        <v>0</v>
      </c>
      <c r="F36" s="4">
        <v>50</v>
      </c>
      <c r="G36" s="10">
        <f t="shared" si="12"/>
        <v>0</v>
      </c>
      <c r="H36" s="4"/>
      <c r="I36" s="5">
        <f t="shared" ref="I36:I42" si="13">G36*D36</f>
        <v>0</v>
      </c>
      <c r="J36" s="5">
        <f t="shared" ref="J36:J42" si="14">I36-H36</f>
        <v>0</v>
      </c>
      <c r="N36" s="51">
        <v>0</v>
      </c>
      <c r="O36" s="51"/>
    </row>
    <row r="37" spans="1:17">
      <c r="A37" s="6">
        <v>46154</v>
      </c>
      <c r="B37" s="4"/>
      <c r="C37" s="4"/>
      <c r="D37" s="4">
        <v>45</v>
      </c>
      <c r="E37" s="4">
        <v>0</v>
      </c>
      <c r="F37" s="4">
        <v>50</v>
      </c>
      <c r="G37" s="10">
        <f t="shared" si="12"/>
        <v>0</v>
      </c>
      <c r="H37" s="4"/>
      <c r="I37" s="5">
        <f t="shared" si="13"/>
        <v>0</v>
      </c>
      <c r="J37" s="5">
        <f t="shared" si="14"/>
        <v>0</v>
      </c>
      <c r="N37" s="51">
        <v>0</v>
      </c>
      <c r="P37" s="195"/>
    </row>
    <row r="38" spans="1:17">
      <c r="A38" s="6">
        <v>46155</v>
      </c>
      <c r="B38" s="4"/>
      <c r="C38" s="4"/>
      <c r="D38" s="4">
        <v>45</v>
      </c>
      <c r="E38" s="4">
        <v>0</v>
      </c>
      <c r="F38" s="4">
        <v>50</v>
      </c>
      <c r="G38" s="10">
        <f t="shared" si="12"/>
        <v>0</v>
      </c>
      <c r="H38" s="4"/>
      <c r="I38" s="5">
        <f t="shared" si="13"/>
        <v>0</v>
      </c>
      <c r="J38" s="5">
        <f t="shared" si="14"/>
        <v>0</v>
      </c>
      <c r="N38" s="51">
        <v>0</v>
      </c>
    </row>
    <row r="39" spans="1:17">
      <c r="A39" s="6">
        <v>46156</v>
      </c>
      <c r="B39" s="4"/>
      <c r="C39" s="4"/>
      <c r="D39" s="4">
        <v>45</v>
      </c>
      <c r="E39" s="4">
        <v>0</v>
      </c>
      <c r="F39" s="4">
        <v>50</v>
      </c>
      <c r="G39" s="10">
        <f t="shared" si="12"/>
        <v>0</v>
      </c>
      <c r="H39" s="4"/>
      <c r="I39" s="5">
        <f t="shared" si="13"/>
        <v>0</v>
      </c>
      <c r="J39" s="5">
        <f t="shared" si="14"/>
        <v>0</v>
      </c>
      <c r="N39" s="51">
        <v>0</v>
      </c>
    </row>
    <row r="40" spans="1:17">
      <c r="A40" s="80" t="s">
        <v>1215</v>
      </c>
      <c r="B40" s="4">
        <v>4</v>
      </c>
      <c r="C40" s="4">
        <v>36</v>
      </c>
      <c r="D40" s="4">
        <v>45</v>
      </c>
      <c r="E40" s="4">
        <v>1</v>
      </c>
      <c r="F40" s="4">
        <v>50</v>
      </c>
      <c r="G40" s="10">
        <f t="shared" si="12"/>
        <v>4.5999999999999996</v>
      </c>
      <c r="H40" s="4">
        <f>50+309.5</f>
        <v>359.5</v>
      </c>
      <c r="I40" s="5">
        <f t="shared" si="13"/>
        <v>206.99999999999997</v>
      </c>
      <c r="J40" s="5">
        <f t="shared" si="14"/>
        <v>-152.50000000000003</v>
      </c>
      <c r="K40">
        <v>12</v>
      </c>
      <c r="N40" s="51">
        <v>0</v>
      </c>
      <c r="P40" t="s">
        <v>1216</v>
      </c>
    </row>
    <row r="41" spans="1:17">
      <c r="A41" s="80" t="s">
        <v>1217</v>
      </c>
      <c r="B41" s="4"/>
      <c r="C41" s="4"/>
      <c r="D41" s="4">
        <v>45</v>
      </c>
      <c r="E41" s="4">
        <v>0</v>
      </c>
      <c r="F41" s="4">
        <v>50</v>
      </c>
      <c r="G41" s="10">
        <f t="shared" si="12"/>
        <v>0</v>
      </c>
      <c r="H41" s="4"/>
      <c r="I41" s="5">
        <f t="shared" si="13"/>
        <v>0</v>
      </c>
      <c r="J41" s="5">
        <f t="shared" si="14"/>
        <v>0</v>
      </c>
      <c r="N41" s="51">
        <v>0</v>
      </c>
    </row>
    <row r="42" spans="1:17">
      <c r="A42" s="80" t="s">
        <v>1218</v>
      </c>
      <c r="B42" s="4"/>
      <c r="C42" s="4"/>
      <c r="D42" s="4">
        <v>45</v>
      </c>
      <c r="E42" s="4">
        <v>0</v>
      </c>
      <c r="F42" s="4">
        <v>50</v>
      </c>
      <c r="G42" s="10">
        <f t="shared" si="12"/>
        <v>0</v>
      </c>
      <c r="H42" s="4"/>
      <c r="I42" s="5">
        <f t="shared" si="13"/>
        <v>0</v>
      </c>
      <c r="J42" s="5">
        <f t="shared" si="14"/>
        <v>0</v>
      </c>
      <c r="N42" s="51">
        <v>0</v>
      </c>
    </row>
    <row r="43" spans="1:17" ht="19">
      <c r="A43" s="91" t="s">
        <v>1219</v>
      </c>
      <c r="B43" s="8">
        <f>SUM(B44:B50)</f>
        <v>46</v>
      </c>
      <c r="C43" s="8">
        <f>SUM(C44:C50)</f>
        <v>183</v>
      </c>
      <c r="D43" s="8">
        <f>SUM(D44)</f>
        <v>55</v>
      </c>
      <c r="E43" s="8">
        <f>SUM(E44:E50)</f>
        <v>5</v>
      </c>
      <c r="F43" s="8">
        <f>SUM(F44:F50)</f>
        <v>350</v>
      </c>
      <c r="G43" s="93">
        <f t="shared" si="12"/>
        <v>49.05</v>
      </c>
      <c r="H43" s="8">
        <f>SUM(H44:H50)</f>
        <v>250</v>
      </c>
      <c r="I43" s="9">
        <f>SUM(I44:I50)</f>
        <v>2207.25</v>
      </c>
      <c r="J43" s="14">
        <f>SUM(J44:J50)</f>
        <v>1957.25</v>
      </c>
      <c r="K43" s="8">
        <f>SUM(K44:K50)</f>
        <v>89</v>
      </c>
      <c r="L43" s="9">
        <v>0</v>
      </c>
      <c r="M43" s="96">
        <f>J43+L43</f>
        <v>1957.25</v>
      </c>
      <c r="N43" s="129">
        <f>SUM(N44:N50)</f>
        <v>2774</v>
      </c>
      <c r="O43" s="98">
        <f>2719-N43</f>
        <v>-55</v>
      </c>
      <c r="P43" s="86"/>
      <c r="Q43" s="86"/>
    </row>
    <row r="44" spans="1:17" ht="16.5" customHeight="1">
      <c r="A44" s="6">
        <v>46153</v>
      </c>
      <c r="B44" s="4">
        <v>0</v>
      </c>
      <c r="C44" s="4">
        <v>0</v>
      </c>
      <c r="D44" s="4">
        <v>55</v>
      </c>
      <c r="E44" s="4">
        <v>0</v>
      </c>
      <c r="F44" s="4">
        <v>50</v>
      </c>
      <c r="G44" s="10">
        <f t="shared" si="12"/>
        <v>0</v>
      </c>
      <c r="H44" s="4"/>
      <c r="I44" s="5">
        <f t="shared" ref="I44:I50" si="15">G44*D44</f>
        <v>0</v>
      </c>
      <c r="J44" s="5">
        <f t="shared" ref="J44:J50" si="16">I44-H44</f>
        <v>0</v>
      </c>
      <c r="N44" s="119">
        <v>0</v>
      </c>
      <c r="O44" s="49"/>
    </row>
    <row r="45" spans="1:17" ht="15.75" customHeight="1">
      <c r="A45" s="6">
        <v>46154</v>
      </c>
      <c r="B45" s="4">
        <v>0</v>
      </c>
      <c r="C45" s="4">
        <v>0</v>
      </c>
      <c r="D45" s="4">
        <v>55</v>
      </c>
      <c r="E45" s="4">
        <v>0</v>
      </c>
      <c r="F45" s="4">
        <v>50</v>
      </c>
      <c r="G45" s="10">
        <f t="shared" ref="G45:G49" si="17">B45+C45/60</f>
        <v>0</v>
      </c>
      <c r="H45" s="4"/>
      <c r="I45" s="5">
        <f t="shared" si="15"/>
        <v>0</v>
      </c>
      <c r="J45" s="5">
        <f t="shared" si="16"/>
        <v>0</v>
      </c>
      <c r="N45" s="119">
        <v>0</v>
      </c>
      <c r="O45" s="49"/>
    </row>
    <row r="46" spans="1:17">
      <c r="A46" s="80" t="s">
        <v>1220</v>
      </c>
      <c r="B46" s="4">
        <v>10</v>
      </c>
      <c r="C46" s="4">
        <v>42</v>
      </c>
      <c r="D46" s="4">
        <v>45</v>
      </c>
      <c r="E46" s="4">
        <v>1</v>
      </c>
      <c r="F46" s="4">
        <v>50</v>
      </c>
      <c r="G46" s="10">
        <f t="shared" si="17"/>
        <v>10.7</v>
      </c>
      <c r="H46" s="4">
        <v>50</v>
      </c>
      <c r="I46" s="5">
        <f t="shared" si="15"/>
        <v>481.49999999999994</v>
      </c>
      <c r="J46" s="5">
        <f t="shared" si="16"/>
        <v>431.49999999999994</v>
      </c>
      <c r="K46">
        <v>14</v>
      </c>
      <c r="N46" s="119">
        <v>0</v>
      </c>
    </row>
    <row r="47" spans="1:17">
      <c r="A47" s="80" t="s">
        <v>1221</v>
      </c>
      <c r="B47" s="4">
        <v>8</v>
      </c>
      <c r="C47" s="4">
        <v>52</v>
      </c>
      <c r="D47" s="4">
        <v>45</v>
      </c>
      <c r="E47" s="4">
        <v>1</v>
      </c>
      <c r="F47" s="4">
        <v>50</v>
      </c>
      <c r="G47" s="10">
        <f t="shared" si="17"/>
        <v>8.8666666666666671</v>
      </c>
      <c r="H47" s="4">
        <v>50</v>
      </c>
      <c r="I47" s="5">
        <f t="shared" si="15"/>
        <v>399</v>
      </c>
      <c r="J47" s="5">
        <f t="shared" si="16"/>
        <v>349</v>
      </c>
      <c r="K47">
        <v>18</v>
      </c>
      <c r="N47" s="119">
        <v>366.5</v>
      </c>
    </row>
    <row r="48" spans="1:17">
      <c r="A48" s="80" t="s">
        <v>1222</v>
      </c>
      <c r="B48" s="4">
        <v>8</v>
      </c>
      <c r="C48" s="4">
        <v>23</v>
      </c>
      <c r="D48" s="4">
        <v>45</v>
      </c>
      <c r="E48" s="4">
        <v>1</v>
      </c>
      <c r="F48" s="4">
        <v>50</v>
      </c>
      <c r="G48" s="10">
        <f t="shared" si="17"/>
        <v>8.3833333333333329</v>
      </c>
      <c r="H48" s="4">
        <v>50</v>
      </c>
      <c r="I48" s="5">
        <f t="shared" si="15"/>
        <v>377.25</v>
      </c>
      <c r="J48" s="5">
        <f t="shared" si="16"/>
        <v>327.25</v>
      </c>
      <c r="K48">
        <v>18</v>
      </c>
      <c r="N48" s="119">
        <v>590</v>
      </c>
    </row>
    <row r="49" spans="1:17">
      <c r="A49" s="80" t="s">
        <v>1217</v>
      </c>
      <c r="B49" s="4">
        <v>10</v>
      </c>
      <c r="C49" s="4">
        <v>35</v>
      </c>
      <c r="D49" s="4">
        <v>45</v>
      </c>
      <c r="E49" s="4">
        <v>1</v>
      </c>
      <c r="F49" s="4">
        <v>50</v>
      </c>
      <c r="G49" s="10">
        <f t="shared" si="17"/>
        <v>10.583333333333334</v>
      </c>
      <c r="H49" s="4">
        <v>50</v>
      </c>
      <c r="I49" s="5">
        <f t="shared" si="15"/>
        <v>476.25</v>
      </c>
      <c r="J49" s="5">
        <f t="shared" si="16"/>
        <v>426.25</v>
      </c>
      <c r="K49">
        <v>22</v>
      </c>
      <c r="N49" s="119">
        <f>630+150</f>
        <v>780</v>
      </c>
      <c r="P49" s="51" t="s">
        <v>1203</v>
      </c>
    </row>
    <row r="50" spans="1:17">
      <c r="A50" s="80" t="s">
        <v>1218</v>
      </c>
      <c r="B50" s="4">
        <v>10</v>
      </c>
      <c r="C50" s="4">
        <v>31</v>
      </c>
      <c r="D50" s="4">
        <v>45</v>
      </c>
      <c r="E50" s="4">
        <v>1</v>
      </c>
      <c r="F50" s="4">
        <v>50</v>
      </c>
      <c r="G50" s="10">
        <f>B50+C50/60</f>
        <v>10.516666666666667</v>
      </c>
      <c r="H50" s="4">
        <v>50</v>
      </c>
      <c r="I50" s="5">
        <f t="shared" si="15"/>
        <v>473.25000000000006</v>
      </c>
      <c r="J50" s="5">
        <f t="shared" si="16"/>
        <v>423.25000000000006</v>
      </c>
      <c r="K50">
        <v>17</v>
      </c>
      <c r="L50" s="1"/>
      <c r="N50" s="119">
        <f>315.5+150+310+200+62</f>
        <v>1037.5</v>
      </c>
      <c r="P50" t="s">
        <v>1223</v>
      </c>
    </row>
    <row r="51" spans="1:17" ht="19">
      <c r="A51" s="91" t="s">
        <v>782</v>
      </c>
      <c r="B51" s="8">
        <f>SUM(B52:B58)</f>
        <v>21</v>
      </c>
      <c r="C51" s="8">
        <f>SUM(C52:C58)</f>
        <v>51</v>
      </c>
      <c r="D51" s="8">
        <f>SUM(D52)</f>
        <v>45</v>
      </c>
      <c r="E51" s="8">
        <f>SUM(E52:E58)</f>
        <v>2</v>
      </c>
      <c r="F51" s="8">
        <f>SUM(F52:F58)</f>
        <v>350</v>
      </c>
      <c r="G51" s="93">
        <f>B51+C51/60</f>
        <v>21.85</v>
      </c>
      <c r="H51" s="8">
        <f>SUM(H52:H58)</f>
        <v>100</v>
      </c>
      <c r="I51" s="9">
        <f>SUM(I52:I58)</f>
        <v>1420.25</v>
      </c>
      <c r="J51" s="14">
        <f>SUM(J52:J58)</f>
        <v>1320.25</v>
      </c>
      <c r="K51" s="8">
        <f>SUM(K52:K58)</f>
        <v>79</v>
      </c>
      <c r="L51" s="9">
        <v>0</v>
      </c>
      <c r="M51" s="96">
        <f>J51</f>
        <v>1320.25</v>
      </c>
      <c r="N51" s="102">
        <f>SUM(N52:N58)</f>
        <v>609</v>
      </c>
      <c r="O51" s="98">
        <f>1574-N51</f>
        <v>965</v>
      </c>
      <c r="P51" s="86"/>
      <c r="Q51" s="86"/>
    </row>
    <row r="52" spans="1:17">
      <c r="A52" s="80" t="s">
        <v>1072</v>
      </c>
      <c r="B52" s="4">
        <v>0</v>
      </c>
      <c r="C52" s="4">
        <v>0</v>
      </c>
      <c r="D52" s="4">
        <v>45</v>
      </c>
      <c r="E52" s="4">
        <v>0</v>
      </c>
      <c r="F52" s="4">
        <v>50</v>
      </c>
      <c r="G52" s="10">
        <f>B52+C52/60</f>
        <v>0</v>
      </c>
      <c r="H52" s="4">
        <v>0</v>
      </c>
      <c r="I52" s="5">
        <f t="shared" ref="I52:I57" si="18">G52*D52</f>
        <v>0</v>
      </c>
      <c r="J52" s="5">
        <f>I52-H52</f>
        <v>0</v>
      </c>
      <c r="K52">
        <v>0</v>
      </c>
      <c r="N52" s="119">
        <v>0</v>
      </c>
      <c r="O52" s="51"/>
    </row>
    <row r="53" spans="1:17">
      <c r="A53" s="80" t="s">
        <v>1193</v>
      </c>
      <c r="B53" s="4">
        <v>0</v>
      </c>
      <c r="C53" s="4">
        <v>0</v>
      </c>
      <c r="D53" s="4">
        <v>45</v>
      </c>
      <c r="E53" s="4">
        <v>0</v>
      </c>
      <c r="F53" s="4">
        <v>50</v>
      </c>
      <c r="G53" s="10">
        <f t="shared" ref="G53:G55" si="19">B53+C53/60</f>
        <v>0</v>
      </c>
      <c r="H53" s="4">
        <v>0</v>
      </c>
      <c r="I53" s="5">
        <f t="shared" si="18"/>
        <v>0</v>
      </c>
      <c r="J53" s="5">
        <f>I53-H53</f>
        <v>0</v>
      </c>
      <c r="K53">
        <v>0</v>
      </c>
      <c r="N53" s="119">
        <v>0</v>
      </c>
    </row>
    <row r="54" spans="1:17">
      <c r="A54" s="80" t="s">
        <v>1194</v>
      </c>
      <c r="B54" s="4">
        <v>0</v>
      </c>
      <c r="C54" s="4">
        <v>0</v>
      </c>
      <c r="D54" s="4">
        <v>45</v>
      </c>
      <c r="E54" s="4">
        <v>0</v>
      </c>
      <c r="F54" s="4">
        <v>50</v>
      </c>
      <c r="G54" s="10">
        <f t="shared" si="19"/>
        <v>0</v>
      </c>
      <c r="H54" s="4">
        <v>0</v>
      </c>
      <c r="I54" s="5">
        <f t="shared" si="18"/>
        <v>0</v>
      </c>
      <c r="J54" s="5">
        <v>0</v>
      </c>
      <c r="K54">
        <v>0</v>
      </c>
      <c r="N54" s="119">
        <v>0</v>
      </c>
      <c r="Q54" t="s">
        <v>64</v>
      </c>
    </row>
    <row r="55" spans="1:17">
      <c r="A55" s="80" t="s">
        <v>1196</v>
      </c>
      <c r="B55" s="4">
        <v>0</v>
      </c>
      <c r="C55" s="4">
        <v>0</v>
      </c>
      <c r="D55" s="4">
        <v>45</v>
      </c>
      <c r="E55" s="4">
        <v>0</v>
      </c>
      <c r="F55" s="4">
        <v>50</v>
      </c>
      <c r="G55" s="10">
        <f t="shared" si="19"/>
        <v>0</v>
      </c>
      <c r="H55" s="4">
        <v>0</v>
      </c>
      <c r="I55" s="5">
        <f t="shared" si="18"/>
        <v>0</v>
      </c>
      <c r="J55" s="5">
        <v>0</v>
      </c>
      <c r="K55">
        <v>0</v>
      </c>
      <c r="N55" s="119">
        <v>0</v>
      </c>
    </row>
    <row r="56" spans="1:17">
      <c r="A56" s="80" t="s">
        <v>1198</v>
      </c>
      <c r="B56" s="4">
        <v>0</v>
      </c>
      <c r="C56" s="4">
        <v>0</v>
      </c>
      <c r="D56" s="4">
        <v>45</v>
      </c>
      <c r="E56" s="4">
        <v>0</v>
      </c>
      <c r="F56" s="4">
        <v>50</v>
      </c>
      <c r="G56" s="10">
        <f t="shared" ref="G56:G82" si="20">B56+C56/60</f>
        <v>0</v>
      </c>
      <c r="H56" s="4">
        <v>0</v>
      </c>
      <c r="I56" s="5">
        <f t="shared" si="18"/>
        <v>0</v>
      </c>
      <c r="J56" s="5">
        <f>I56-H56</f>
        <v>0</v>
      </c>
      <c r="K56">
        <v>0</v>
      </c>
      <c r="N56" s="119">
        <v>0</v>
      </c>
    </row>
    <row r="57" spans="1:17">
      <c r="A57" s="80" t="s">
        <v>1200</v>
      </c>
      <c r="B57" s="4">
        <v>10</v>
      </c>
      <c r="C57" s="4">
        <v>51</v>
      </c>
      <c r="D57" s="4">
        <v>65</v>
      </c>
      <c r="E57" s="4">
        <v>1</v>
      </c>
      <c r="F57" s="4">
        <v>50</v>
      </c>
      <c r="G57" s="10">
        <f t="shared" si="20"/>
        <v>10.85</v>
      </c>
      <c r="H57" s="4">
        <v>50</v>
      </c>
      <c r="I57" s="5">
        <f t="shared" si="18"/>
        <v>705.25</v>
      </c>
      <c r="J57" s="5">
        <f>I57-H57</f>
        <v>655.25</v>
      </c>
      <c r="K57">
        <v>42</v>
      </c>
      <c r="N57" s="119">
        <v>609</v>
      </c>
    </row>
    <row r="58" spans="1:17">
      <c r="A58" s="80" t="s">
        <v>1202</v>
      </c>
      <c r="B58" s="4">
        <v>11</v>
      </c>
      <c r="C58" s="4">
        <v>0</v>
      </c>
      <c r="D58" s="4">
        <v>65</v>
      </c>
      <c r="E58" s="4">
        <v>1</v>
      </c>
      <c r="F58" s="4">
        <v>50</v>
      </c>
      <c r="G58" s="10">
        <f t="shared" si="20"/>
        <v>11</v>
      </c>
      <c r="H58" s="4">
        <v>50</v>
      </c>
      <c r="I58" s="5">
        <f>G58*D58</f>
        <v>715</v>
      </c>
      <c r="J58" s="5">
        <f>I58-H58</f>
        <v>665</v>
      </c>
      <c r="K58">
        <v>37</v>
      </c>
      <c r="N58" s="119"/>
    </row>
    <row r="59" spans="1:17" ht="19">
      <c r="A59" s="91" t="s">
        <v>1224</v>
      </c>
      <c r="B59" s="8">
        <f>SUM(B60:B66)</f>
        <v>32</v>
      </c>
      <c r="C59" s="8">
        <f>SUM(C60:C66)</f>
        <v>14</v>
      </c>
      <c r="D59" s="126">
        <f>SUM(D60)</f>
        <v>45</v>
      </c>
      <c r="E59" s="126">
        <f>SUM(E60:E66)</f>
        <v>3</v>
      </c>
      <c r="F59" s="126">
        <f>SUM(F60:F66)</f>
        <v>350</v>
      </c>
      <c r="G59" s="123">
        <f t="shared" si="20"/>
        <v>32.233333333333334</v>
      </c>
      <c r="H59" s="8">
        <f>SUM(H60:H67)</f>
        <v>200</v>
      </c>
      <c r="I59" s="14">
        <f>SUM(I60:I67)</f>
        <v>1900.5</v>
      </c>
      <c r="J59" s="14">
        <f>SUM(J60:J67)</f>
        <v>1700.5</v>
      </c>
      <c r="K59" s="8">
        <f>SUM(K60:K66)</f>
        <v>66</v>
      </c>
      <c r="L59" s="9">
        <v>0</v>
      </c>
      <c r="M59" s="96">
        <f>J59</f>
        <v>1700.5</v>
      </c>
      <c r="N59" s="102">
        <f>SUM(N60:N67)</f>
        <v>2585</v>
      </c>
      <c r="O59" s="98">
        <f>2594-N59</f>
        <v>9</v>
      </c>
      <c r="P59" s="86"/>
      <c r="Q59" s="86"/>
    </row>
    <row r="60" spans="1:17">
      <c r="A60" s="80" t="s">
        <v>1072</v>
      </c>
      <c r="B60" s="4">
        <v>0</v>
      </c>
      <c r="C60" s="4">
        <v>0</v>
      </c>
      <c r="D60" s="4">
        <v>45</v>
      </c>
      <c r="E60" s="4">
        <v>0</v>
      </c>
      <c r="F60" s="4">
        <v>50</v>
      </c>
      <c r="G60" s="10">
        <f t="shared" si="20"/>
        <v>0</v>
      </c>
      <c r="H60" s="4">
        <v>0</v>
      </c>
      <c r="I60" s="5">
        <f t="shared" ref="I60:I67" si="21">G60*D60</f>
        <v>0</v>
      </c>
      <c r="J60" s="5">
        <f t="shared" ref="J60:J67" si="22">I60-H60</f>
        <v>0</v>
      </c>
      <c r="K60">
        <v>0</v>
      </c>
      <c r="N60" s="51">
        <v>0</v>
      </c>
      <c r="O60" s="51"/>
    </row>
    <row r="61" spans="1:17">
      <c r="A61" s="80" t="s">
        <v>1193</v>
      </c>
      <c r="B61" s="4">
        <v>0</v>
      </c>
      <c r="C61" s="4">
        <v>0</v>
      </c>
      <c r="D61" s="4">
        <v>45</v>
      </c>
      <c r="E61" s="4">
        <v>0</v>
      </c>
      <c r="F61" s="4">
        <v>50</v>
      </c>
      <c r="G61" s="10">
        <f t="shared" si="20"/>
        <v>0</v>
      </c>
      <c r="H61" s="4">
        <v>0</v>
      </c>
      <c r="I61" s="5">
        <f t="shared" si="21"/>
        <v>0</v>
      </c>
      <c r="J61" s="5">
        <f t="shared" si="22"/>
        <v>0</v>
      </c>
      <c r="K61">
        <v>0</v>
      </c>
      <c r="N61" s="51">
        <v>0</v>
      </c>
    </row>
    <row r="62" spans="1:17">
      <c r="A62" s="80" t="s">
        <v>1194</v>
      </c>
      <c r="B62" s="4">
        <v>0</v>
      </c>
      <c r="C62" s="4">
        <v>0</v>
      </c>
      <c r="D62" s="4">
        <v>45</v>
      </c>
      <c r="E62" s="4">
        <v>0</v>
      </c>
      <c r="F62" s="4">
        <v>50</v>
      </c>
      <c r="G62" s="10">
        <f t="shared" si="20"/>
        <v>0</v>
      </c>
      <c r="H62" s="4">
        <v>0</v>
      </c>
      <c r="I62" s="5">
        <f t="shared" si="21"/>
        <v>0</v>
      </c>
      <c r="J62" s="5">
        <f t="shared" si="22"/>
        <v>0</v>
      </c>
      <c r="K62">
        <v>0</v>
      </c>
      <c r="N62" s="51">
        <v>0</v>
      </c>
    </row>
    <row r="63" spans="1:17">
      <c r="A63" s="80" t="s">
        <v>1196</v>
      </c>
      <c r="B63" s="4">
        <v>0</v>
      </c>
      <c r="C63" s="4">
        <v>0</v>
      </c>
      <c r="D63" s="4">
        <v>45</v>
      </c>
      <c r="E63" s="4">
        <v>0</v>
      </c>
      <c r="F63" s="4">
        <v>50</v>
      </c>
      <c r="G63" s="10">
        <f t="shared" si="20"/>
        <v>0</v>
      </c>
      <c r="H63" s="4"/>
      <c r="I63" s="5">
        <f t="shared" si="21"/>
        <v>0</v>
      </c>
      <c r="J63" s="5">
        <f t="shared" si="22"/>
        <v>0</v>
      </c>
      <c r="K63">
        <v>0</v>
      </c>
      <c r="N63" s="51">
        <v>0</v>
      </c>
    </row>
    <row r="64" spans="1:17">
      <c r="A64" s="80" t="s">
        <v>1198</v>
      </c>
      <c r="B64" s="4">
        <v>11</v>
      </c>
      <c r="C64" s="4">
        <v>0</v>
      </c>
      <c r="D64" s="4">
        <v>45</v>
      </c>
      <c r="E64" s="4">
        <v>1</v>
      </c>
      <c r="F64" s="4">
        <v>50</v>
      </c>
      <c r="G64" s="10">
        <f t="shared" si="20"/>
        <v>11</v>
      </c>
      <c r="H64" s="4">
        <v>50</v>
      </c>
      <c r="I64" s="5">
        <f t="shared" si="21"/>
        <v>495</v>
      </c>
      <c r="J64" s="5">
        <f t="shared" si="22"/>
        <v>445</v>
      </c>
      <c r="K64">
        <v>22</v>
      </c>
      <c r="N64" s="51">
        <v>490</v>
      </c>
    </row>
    <row r="65" spans="1:17">
      <c r="A65" s="80" t="s">
        <v>1200</v>
      </c>
      <c r="B65" s="4">
        <v>10</v>
      </c>
      <c r="C65" s="4">
        <v>12</v>
      </c>
      <c r="D65" s="12">
        <v>45</v>
      </c>
      <c r="E65" s="12">
        <v>1</v>
      </c>
      <c r="F65" s="12">
        <v>50</v>
      </c>
      <c r="G65" s="10">
        <f t="shared" si="20"/>
        <v>10.199999999999999</v>
      </c>
      <c r="H65" s="4">
        <v>50</v>
      </c>
      <c r="I65" s="5">
        <f t="shared" si="21"/>
        <v>458.99999999999994</v>
      </c>
      <c r="J65" s="5">
        <f t="shared" si="22"/>
        <v>408.99999999999994</v>
      </c>
      <c r="K65">
        <v>18</v>
      </c>
      <c r="N65" s="51">
        <f>220+350</f>
        <v>570</v>
      </c>
      <c r="P65" t="s">
        <v>1223</v>
      </c>
    </row>
    <row r="66" spans="1:17">
      <c r="A66" s="80" t="s">
        <v>1202</v>
      </c>
      <c r="B66" s="4">
        <v>11</v>
      </c>
      <c r="C66" s="4">
        <v>2</v>
      </c>
      <c r="D66" s="167">
        <v>45</v>
      </c>
      <c r="E66" s="167">
        <v>1</v>
      </c>
      <c r="F66" s="167">
        <v>50</v>
      </c>
      <c r="G66" s="10">
        <f t="shared" si="20"/>
        <v>11.033333333333333</v>
      </c>
      <c r="H66" s="4">
        <v>50</v>
      </c>
      <c r="I66" s="5">
        <f t="shared" si="21"/>
        <v>496.5</v>
      </c>
      <c r="J66" s="5">
        <f t="shared" si="22"/>
        <v>446.5</v>
      </c>
      <c r="K66">
        <v>26</v>
      </c>
      <c r="N66" s="51">
        <f>522+100+100</f>
        <v>722</v>
      </c>
      <c r="P66" t="s">
        <v>1225</v>
      </c>
    </row>
    <row r="67" spans="1:17">
      <c r="A67" s="80" t="s">
        <v>1218</v>
      </c>
      <c r="B67" s="4">
        <v>10</v>
      </c>
      <c r="C67" s="4">
        <v>0</v>
      </c>
      <c r="D67" s="167">
        <v>45</v>
      </c>
      <c r="E67">
        <v>1</v>
      </c>
      <c r="F67" s="167">
        <v>50</v>
      </c>
      <c r="G67" s="10">
        <f t="shared" si="20"/>
        <v>10</v>
      </c>
      <c r="H67" s="4">
        <v>50</v>
      </c>
      <c r="I67" s="5">
        <f t="shared" si="21"/>
        <v>450</v>
      </c>
      <c r="J67" s="5">
        <f t="shared" si="22"/>
        <v>400</v>
      </c>
      <c r="K67">
        <v>14</v>
      </c>
      <c r="N67" s="51">
        <f>503+300</f>
        <v>803</v>
      </c>
      <c r="P67" t="s">
        <v>1226</v>
      </c>
    </row>
    <row r="68" spans="1:17" ht="19">
      <c r="A68" s="91" t="s">
        <v>591</v>
      </c>
      <c r="B68" s="8">
        <f>SUM(B69:B76)</f>
        <v>41</v>
      </c>
      <c r="C68" s="8">
        <f>SUM(C69:C76)</f>
        <v>128</v>
      </c>
      <c r="D68" s="8">
        <f>SUM(D69)</f>
        <v>55</v>
      </c>
      <c r="E68" s="8">
        <f>SUM(E69:E76)</f>
        <v>6</v>
      </c>
      <c r="F68" s="8">
        <f>SUM(F69:F76)</f>
        <v>300</v>
      </c>
      <c r="G68" s="93">
        <f t="shared" si="20"/>
        <v>43.133333333333333</v>
      </c>
      <c r="H68" s="8">
        <f>SUM(H69:H76)</f>
        <v>545</v>
      </c>
      <c r="I68" s="9">
        <f>SUM(I69:I76)</f>
        <v>2445.3333333333335</v>
      </c>
      <c r="J68" s="9">
        <f>SUM(J69:J76)</f>
        <v>1900.3333333333335</v>
      </c>
      <c r="K68" s="8">
        <f>SUM(K69:K76)</f>
        <v>162</v>
      </c>
      <c r="L68" s="9">
        <v>0</v>
      </c>
      <c r="M68" s="96">
        <f>J68</f>
        <v>1900.3333333333335</v>
      </c>
      <c r="N68" s="102">
        <f>SUM(N69:N76)</f>
        <v>3461</v>
      </c>
      <c r="O68" s="98">
        <f>3588-N68</f>
        <v>127</v>
      </c>
      <c r="P68" s="86"/>
      <c r="Q68" s="86"/>
    </row>
    <row r="69" spans="1:17">
      <c r="A69" s="80" t="s">
        <v>1072</v>
      </c>
      <c r="B69" s="4">
        <v>0</v>
      </c>
      <c r="C69" s="4">
        <v>0</v>
      </c>
      <c r="D69" s="4">
        <v>55</v>
      </c>
      <c r="E69" s="4">
        <v>0</v>
      </c>
      <c r="F69" s="4">
        <v>0</v>
      </c>
      <c r="G69" s="144">
        <f t="shared" si="20"/>
        <v>0</v>
      </c>
      <c r="H69" s="167">
        <v>0</v>
      </c>
      <c r="I69" s="142">
        <f t="shared" ref="I69:I76" si="23">G69*D69</f>
        <v>0</v>
      </c>
      <c r="J69" s="5">
        <f t="shared" ref="J69:J76" si="24">I69-H69</f>
        <v>0</v>
      </c>
      <c r="K69">
        <v>0</v>
      </c>
      <c r="N69" s="83">
        <v>0</v>
      </c>
      <c r="O69" s="51"/>
    </row>
    <row r="70" spans="1:17">
      <c r="A70" s="80" t="s">
        <v>1193</v>
      </c>
      <c r="B70" s="4">
        <v>0</v>
      </c>
      <c r="C70" s="4">
        <v>0</v>
      </c>
      <c r="D70" s="4">
        <v>45</v>
      </c>
      <c r="E70" s="4">
        <v>0</v>
      </c>
      <c r="F70" s="4">
        <v>0</v>
      </c>
      <c r="G70" s="144">
        <f t="shared" si="20"/>
        <v>0</v>
      </c>
      <c r="H70" s="167">
        <v>0</v>
      </c>
      <c r="I70" s="142">
        <f t="shared" si="23"/>
        <v>0</v>
      </c>
      <c r="J70" s="5">
        <f t="shared" si="24"/>
        <v>0</v>
      </c>
      <c r="K70">
        <v>0</v>
      </c>
      <c r="N70" s="83">
        <v>0</v>
      </c>
    </row>
    <row r="71" spans="1:17">
      <c r="A71" s="80" t="s">
        <v>1194</v>
      </c>
      <c r="B71" s="4">
        <v>8</v>
      </c>
      <c r="C71" s="4">
        <v>31</v>
      </c>
      <c r="D71" s="4">
        <v>55</v>
      </c>
      <c r="E71" s="4">
        <v>1</v>
      </c>
      <c r="F71" s="4">
        <v>50</v>
      </c>
      <c r="G71" s="144">
        <f t="shared" si="20"/>
        <v>8.5166666666666675</v>
      </c>
      <c r="H71" s="167">
        <v>50</v>
      </c>
      <c r="I71" s="142">
        <f t="shared" si="23"/>
        <v>468.41666666666669</v>
      </c>
      <c r="J71" s="5">
        <f t="shared" si="24"/>
        <v>418.41666666666669</v>
      </c>
      <c r="K71">
        <v>29</v>
      </c>
      <c r="N71" s="51">
        <v>572</v>
      </c>
      <c r="P71" t="s">
        <v>1227</v>
      </c>
      <c r="Q71" t="s">
        <v>64</v>
      </c>
    </row>
    <row r="72" spans="1:17">
      <c r="A72" s="80" t="s">
        <v>1196</v>
      </c>
      <c r="B72" s="4">
        <v>5</v>
      </c>
      <c r="C72" s="4">
        <v>24</v>
      </c>
      <c r="D72" s="4">
        <v>45</v>
      </c>
      <c r="E72" s="4">
        <v>1</v>
      </c>
      <c r="F72" s="4">
        <v>50</v>
      </c>
      <c r="G72" s="144">
        <f t="shared" si="20"/>
        <v>5.4</v>
      </c>
      <c r="H72" s="167">
        <v>50</v>
      </c>
      <c r="I72" s="142">
        <f t="shared" si="23"/>
        <v>243.00000000000003</v>
      </c>
      <c r="J72" s="5">
        <f t="shared" si="24"/>
        <v>193.00000000000003</v>
      </c>
      <c r="K72">
        <v>10</v>
      </c>
      <c r="N72" s="51">
        <v>307</v>
      </c>
      <c r="P72" t="s">
        <v>1228</v>
      </c>
    </row>
    <row r="73" spans="1:17">
      <c r="A73" s="80" t="s">
        <v>1198</v>
      </c>
      <c r="B73" s="4">
        <v>7</v>
      </c>
      <c r="C73" s="4">
        <v>24</v>
      </c>
      <c r="D73" s="4">
        <v>55</v>
      </c>
      <c r="E73" s="4">
        <v>1</v>
      </c>
      <c r="F73" s="4">
        <v>50</v>
      </c>
      <c r="G73" s="144">
        <f t="shared" si="20"/>
        <v>7.4</v>
      </c>
      <c r="H73" s="167">
        <v>50</v>
      </c>
      <c r="I73" s="142">
        <f t="shared" si="23"/>
        <v>407</v>
      </c>
      <c r="J73" s="5">
        <f t="shared" si="24"/>
        <v>357</v>
      </c>
      <c r="K73">
        <v>31</v>
      </c>
      <c r="N73" s="51">
        <f>544+150</f>
        <v>694</v>
      </c>
      <c r="P73" t="s">
        <v>1203</v>
      </c>
    </row>
    <row r="74" spans="1:17">
      <c r="A74" s="80" t="s">
        <v>1200</v>
      </c>
      <c r="B74" s="4">
        <v>7</v>
      </c>
      <c r="C74" s="4">
        <v>12</v>
      </c>
      <c r="D74" s="4">
        <v>65</v>
      </c>
      <c r="E74" s="4">
        <v>1</v>
      </c>
      <c r="F74" s="4">
        <v>50</v>
      </c>
      <c r="G74" s="10">
        <f t="shared" si="20"/>
        <v>7.2</v>
      </c>
      <c r="H74" s="141">
        <f>50+135</f>
        <v>185</v>
      </c>
      <c r="I74" s="142">
        <f t="shared" si="23"/>
        <v>468</v>
      </c>
      <c r="J74" s="5">
        <f t="shared" si="24"/>
        <v>283</v>
      </c>
      <c r="K74">
        <v>33</v>
      </c>
      <c r="N74" s="51">
        <v>488</v>
      </c>
      <c r="P74" t="s">
        <v>1229</v>
      </c>
    </row>
    <row r="75" spans="1:17">
      <c r="A75" s="80" t="s">
        <v>1202</v>
      </c>
      <c r="B75" s="4">
        <v>5</v>
      </c>
      <c r="C75" s="4">
        <v>30</v>
      </c>
      <c r="D75" s="4">
        <v>65</v>
      </c>
      <c r="E75" s="4">
        <v>1</v>
      </c>
      <c r="F75" s="4">
        <v>50</v>
      </c>
      <c r="G75" s="10">
        <f t="shared" si="20"/>
        <v>5.5</v>
      </c>
      <c r="H75" s="4">
        <f>50+110</f>
        <v>160</v>
      </c>
      <c r="I75" s="142">
        <f t="shared" si="23"/>
        <v>357.5</v>
      </c>
      <c r="J75" s="5">
        <f t="shared" si="24"/>
        <v>197.5</v>
      </c>
      <c r="K75">
        <v>32</v>
      </c>
      <c r="N75" s="51">
        <v>610</v>
      </c>
      <c r="P75" t="s">
        <v>1230</v>
      </c>
    </row>
    <row r="76" spans="1:17">
      <c r="A76" s="80" t="s">
        <v>1213</v>
      </c>
      <c r="B76" s="4">
        <v>9</v>
      </c>
      <c r="C76" s="4">
        <v>7</v>
      </c>
      <c r="D76" s="4">
        <v>55</v>
      </c>
      <c r="E76" s="4">
        <v>1</v>
      </c>
      <c r="F76" s="4">
        <v>50</v>
      </c>
      <c r="G76" s="10">
        <f t="shared" si="20"/>
        <v>9.1166666666666671</v>
      </c>
      <c r="H76" s="4">
        <v>50</v>
      </c>
      <c r="I76" s="142">
        <f t="shared" si="23"/>
        <v>501.41666666666669</v>
      </c>
      <c r="J76" s="5">
        <f t="shared" si="24"/>
        <v>451.41666666666669</v>
      </c>
      <c r="K76">
        <v>27</v>
      </c>
      <c r="N76" s="51">
        <f>690+100</f>
        <v>790</v>
      </c>
    </row>
    <row r="77" spans="1:17" ht="19">
      <c r="A77" s="91" t="s">
        <v>1231</v>
      </c>
      <c r="B77" s="8">
        <f>SUM(B78:B84)</f>
        <v>29</v>
      </c>
      <c r="C77" s="8">
        <f>SUM(C78:C84)</f>
        <v>143</v>
      </c>
      <c r="D77" s="126">
        <f>SUM(D78)</f>
        <v>45</v>
      </c>
      <c r="E77" s="126">
        <f>SUM(E78:E84)</f>
        <v>3</v>
      </c>
      <c r="F77" s="126">
        <f>SUM(F78:F84)</f>
        <v>300</v>
      </c>
      <c r="G77" s="123">
        <f t="shared" si="20"/>
        <v>31.383333333333333</v>
      </c>
      <c r="H77" s="8">
        <f>SUM(H78:H84)</f>
        <v>867.5</v>
      </c>
      <c r="I77" s="14">
        <f>SUM(I78:I84)</f>
        <v>1412.25</v>
      </c>
      <c r="J77" s="14">
        <f>SUM(J78:J84)</f>
        <v>544.75</v>
      </c>
      <c r="K77" s="8">
        <f>SUM(K78:K84)</f>
        <v>13</v>
      </c>
      <c r="L77" s="9">
        <v>0</v>
      </c>
      <c r="M77" s="96">
        <f>J77</f>
        <v>544.75</v>
      </c>
      <c r="N77" s="102">
        <f>SUM(N78:N84)</f>
        <v>717</v>
      </c>
      <c r="O77" s="98">
        <f>799-N77</f>
        <v>82</v>
      </c>
      <c r="P77" s="86"/>
      <c r="Q77" s="86"/>
    </row>
    <row r="78" spans="1:17">
      <c r="A78" s="80">
        <v>46153</v>
      </c>
      <c r="B78" s="4">
        <v>0</v>
      </c>
      <c r="C78" s="4">
        <v>0</v>
      </c>
      <c r="D78" s="4">
        <v>45</v>
      </c>
      <c r="E78" s="4">
        <v>0</v>
      </c>
      <c r="F78" s="4">
        <v>50</v>
      </c>
      <c r="G78" s="10">
        <f t="shared" si="20"/>
        <v>0</v>
      </c>
      <c r="H78" s="4">
        <v>0</v>
      </c>
      <c r="I78" s="5">
        <f t="shared" ref="I78:I84" si="25">G78*D78</f>
        <v>0</v>
      </c>
      <c r="J78" s="5">
        <f t="shared" ref="J78:J84" si="26">I78-H78</f>
        <v>0</v>
      </c>
      <c r="K78">
        <v>0</v>
      </c>
      <c r="N78" s="51">
        <v>0</v>
      </c>
      <c r="O78" s="51"/>
    </row>
    <row r="79" spans="1:17">
      <c r="A79" s="80">
        <v>46154</v>
      </c>
      <c r="B79" s="4">
        <v>0</v>
      </c>
      <c r="C79" s="4">
        <v>0</v>
      </c>
      <c r="D79" s="4">
        <v>45</v>
      </c>
      <c r="E79" s="4">
        <v>0</v>
      </c>
      <c r="F79" s="4">
        <v>50</v>
      </c>
      <c r="G79" s="10">
        <f t="shared" si="20"/>
        <v>0</v>
      </c>
      <c r="H79" s="4">
        <v>0</v>
      </c>
      <c r="I79" s="5">
        <f t="shared" si="25"/>
        <v>0</v>
      </c>
      <c r="J79" s="5">
        <f t="shared" si="26"/>
        <v>0</v>
      </c>
      <c r="K79">
        <v>0</v>
      </c>
      <c r="N79" s="51">
        <v>0</v>
      </c>
    </row>
    <row r="80" spans="1:17">
      <c r="A80" s="80">
        <v>46155</v>
      </c>
      <c r="B80" s="4">
        <v>10</v>
      </c>
      <c r="C80" s="4">
        <v>31</v>
      </c>
      <c r="D80" s="4">
        <v>45</v>
      </c>
      <c r="E80" s="4">
        <v>1</v>
      </c>
      <c r="F80" s="4">
        <v>50</v>
      </c>
      <c r="G80" s="10">
        <f t="shared" si="20"/>
        <v>10.516666666666667</v>
      </c>
      <c r="H80" s="4">
        <f>50+275</f>
        <v>325</v>
      </c>
      <c r="I80" s="5">
        <f t="shared" si="25"/>
        <v>473.25000000000006</v>
      </c>
      <c r="J80" s="5">
        <f t="shared" si="26"/>
        <v>148.25000000000006</v>
      </c>
      <c r="K80">
        <v>0</v>
      </c>
      <c r="N80" s="51">
        <v>0</v>
      </c>
      <c r="P80" t="s">
        <v>1232</v>
      </c>
    </row>
    <row r="81" spans="1:17">
      <c r="A81" s="80">
        <v>46156</v>
      </c>
      <c r="B81" s="4">
        <v>9</v>
      </c>
      <c r="C81" s="4">
        <v>59</v>
      </c>
      <c r="D81" s="4">
        <v>45</v>
      </c>
      <c r="E81" s="4">
        <v>1</v>
      </c>
      <c r="F81" s="4">
        <v>50</v>
      </c>
      <c r="G81" s="10">
        <f t="shared" si="20"/>
        <v>9.9833333333333325</v>
      </c>
      <c r="H81" s="4">
        <f>50+255.5</f>
        <v>305.5</v>
      </c>
      <c r="I81" s="5">
        <f t="shared" si="25"/>
        <v>449.24999999999994</v>
      </c>
      <c r="J81" s="5">
        <f t="shared" si="26"/>
        <v>143.74999999999994</v>
      </c>
      <c r="K81">
        <v>9</v>
      </c>
      <c r="N81" s="51">
        <v>207</v>
      </c>
      <c r="P81" t="s">
        <v>1233</v>
      </c>
    </row>
    <row r="82" spans="1:17">
      <c r="A82" s="80">
        <v>46157</v>
      </c>
      <c r="B82" s="4">
        <v>10</v>
      </c>
      <c r="C82" s="4">
        <v>53</v>
      </c>
      <c r="D82" s="4">
        <v>45</v>
      </c>
      <c r="E82" s="4">
        <v>1</v>
      </c>
      <c r="F82" s="4">
        <v>50</v>
      </c>
      <c r="G82" s="10">
        <f t="shared" si="20"/>
        <v>10.883333333333333</v>
      </c>
      <c r="H82" s="4">
        <f>50+187</f>
        <v>237</v>
      </c>
      <c r="I82" s="5">
        <f t="shared" si="25"/>
        <v>489.75</v>
      </c>
      <c r="J82" s="5">
        <f t="shared" si="26"/>
        <v>252.75</v>
      </c>
      <c r="K82">
        <v>4</v>
      </c>
      <c r="N82" s="51">
        <v>510</v>
      </c>
      <c r="P82" t="s">
        <v>1234</v>
      </c>
    </row>
    <row r="83" spans="1:17">
      <c r="A83" s="80">
        <v>46158</v>
      </c>
      <c r="B83" s="4">
        <v>0</v>
      </c>
      <c r="C83" s="4">
        <v>0</v>
      </c>
      <c r="D83" s="12">
        <v>45</v>
      </c>
      <c r="E83" s="12">
        <v>0</v>
      </c>
      <c r="F83" s="12">
        <v>50</v>
      </c>
      <c r="G83" s="10">
        <v>0</v>
      </c>
      <c r="H83" s="4">
        <v>0</v>
      </c>
      <c r="I83" s="5">
        <f t="shared" si="25"/>
        <v>0</v>
      </c>
      <c r="J83" s="5">
        <f t="shared" si="26"/>
        <v>0</v>
      </c>
      <c r="K83">
        <v>0</v>
      </c>
      <c r="N83" s="51">
        <v>0</v>
      </c>
    </row>
    <row r="84" spans="1:17">
      <c r="A84" s="80">
        <v>46159</v>
      </c>
      <c r="B84" s="4">
        <v>0</v>
      </c>
      <c r="C84" s="4">
        <v>0</v>
      </c>
      <c r="D84" s="167"/>
      <c r="E84" s="167"/>
      <c r="F84" s="167"/>
      <c r="G84" s="174"/>
      <c r="H84" s="4">
        <v>0</v>
      </c>
      <c r="I84" s="5">
        <f t="shared" si="25"/>
        <v>0</v>
      </c>
      <c r="J84" s="5">
        <f t="shared" si="26"/>
        <v>0</v>
      </c>
      <c r="K84">
        <v>0</v>
      </c>
      <c r="N84" s="51">
        <v>0</v>
      </c>
    </row>
    <row r="85" spans="1:17" ht="19">
      <c r="A85" s="91" t="s">
        <v>1091</v>
      </c>
      <c r="B85" s="8">
        <f>SUM(B86:B92)</f>
        <v>59</v>
      </c>
      <c r="C85" s="8">
        <f>SUM(C86:C92)</f>
        <v>207</v>
      </c>
      <c r="D85" s="8">
        <f>SUM(D86)</f>
        <v>45</v>
      </c>
      <c r="E85" s="8">
        <f>SUM(E86:E92)</f>
        <v>7</v>
      </c>
      <c r="F85" s="8">
        <f>SUM(F86:F99)</f>
        <v>950</v>
      </c>
      <c r="G85" s="93">
        <f t="shared" ref="G85:G100" si="27">B85+C85/60</f>
        <v>62.45</v>
      </c>
      <c r="H85" s="8">
        <f>SUM(H86:H92)</f>
        <v>938.5</v>
      </c>
      <c r="I85" s="9">
        <f>SUM(I86:I92)</f>
        <v>2902.4166666666665</v>
      </c>
      <c r="J85" s="14">
        <f>SUM(J86:J92)</f>
        <v>1963.9166666666667</v>
      </c>
      <c r="K85" s="8">
        <f>SUM(K86:K92)</f>
        <v>156</v>
      </c>
      <c r="L85" s="9">
        <v>0</v>
      </c>
      <c r="M85" s="96">
        <f>J85</f>
        <v>1963.9166666666667</v>
      </c>
      <c r="N85" s="102">
        <f>SUM(N86:N92)</f>
        <v>4051.2</v>
      </c>
      <c r="O85" s="98">
        <f>4101-N85</f>
        <v>49.800000000000182</v>
      </c>
      <c r="P85" s="86"/>
      <c r="Q85" s="86"/>
    </row>
    <row r="86" spans="1:17">
      <c r="A86" s="6">
        <v>46153</v>
      </c>
      <c r="B86" s="4">
        <v>8</v>
      </c>
      <c r="C86" s="4">
        <v>57</v>
      </c>
      <c r="D86" s="4">
        <v>45</v>
      </c>
      <c r="E86" s="4">
        <v>1</v>
      </c>
      <c r="F86" s="4">
        <v>50</v>
      </c>
      <c r="G86" s="10">
        <f t="shared" si="27"/>
        <v>8.9499999999999993</v>
      </c>
      <c r="H86" s="4">
        <v>50</v>
      </c>
      <c r="I86" s="5">
        <f t="shared" ref="I86:I91" si="28">G86*D86</f>
        <v>402.74999999999994</v>
      </c>
      <c r="J86" s="5">
        <f t="shared" ref="J86:J91" si="29">I86-H86</f>
        <v>352.74999999999994</v>
      </c>
      <c r="K86">
        <v>22</v>
      </c>
      <c r="N86" s="51">
        <f>78.5+100+80</f>
        <v>258.5</v>
      </c>
      <c r="O86" s="51"/>
    </row>
    <row r="87" spans="1:17">
      <c r="A87" s="80" t="s">
        <v>1194</v>
      </c>
      <c r="B87" s="4">
        <v>8</v>
      </c>
      <c r="C87" s="4">
        <v>54</v>
      </c>
      <c r="D87" s="4">
        <v>45</v>
      </c>
      <c r="E87" s="4">
        <v>1</v>
      </c>
      <c r="F87" s="4">
        <v>50</v>
      </c>
      <c r="G87" s="10">
        <f t="shared" si="27"/>
        <v>8.9</v>
      </c>
      <c r="H87" s="4">
        <v>50</v>
      </c>
      <c r="I87" s="5">
        <f t="shared" si="28"/>
        <v>400.5</v>
      </c>
      <c r="J87" s="5">
        <f t="shared" si="29"/>
        <v>350.5</v>
      </c>
      <c r="K87">
        <v>20</v>
      </c>
      <c r="N87" s="51">
        <v>437</v>
      </c>
      <c r="P87" t="s">
        <v>1235</v>
      </c>
    </row>
    <row r="88" spans="1:17">
      <c r="A88" s="80" t="s">
        <v>1196</v>
      </c>
      <c r="B88" s="4">
        <v>7</v>
      </c>
      <c r="C88" s="4">
        <v>28</v>
      </c>
      <c r="D88" s="4">
        <v>45</v>
      </c>
      <c r="E88" s="4">
        <v>1</v>
      </c>
      <c r="F88" s="4">
        <v>50</v>
      </c>
      <c r="G88" s="10">
        <f t="shared" si="27"/>
        <v>7.4666666666666668</v>
      </c>
      <c r="H88" s="4">
        <f>50+248</f>
        <v>298</v>
      </c>
      <c r="I88" s="5">
        <f t="shared" si="28"/>
        <v>336</v>
      </c>
      <c r="J88" s="5">
        <f t="shared" si="29"/>
        <v>38</v>
      </c>
      <c r="K88">
        <v>19</v>
      </c>
      <c r="N88" s="51">
        <f>251.2+100</f>
        <v>351.2</v>
      </c>
      <c r="P88" t="s">
        <v>1236</v>
      </c>
      <c r="Q88" t="s">
        <v>64</v>
      </c>
    </row>
    <row r="89" spans="1:17">
      <c r="A89" s="80" t="s">
        <v>1198</v>
      </c>
      <c r="B89" s="4">
        <v>8</v>
      </c>
      <c r="C89" s="4">
        <v>48</v>
      </c>
      <c r="D89" s="4">
        <v>45</v>
      </c>
      <c r="E89" s="4">
        <v>1</v>
      </c>
      <c r="F89" s="4">
        <v>50</v>
      </c>
      <c r="G89" s="10">
        <f t="shared" si="27"/>
        <v>8.8000000000000007</v>
      </c>
      <c r="H89" s="4">
        <f>50+146</f>
        <v>196</v>
      </c>
      <c r="I89" s="5">
        <f t="shared" si="28"/>
        <v>396.00000000000006</v>
      </c>
      <c r="J89" s="5">
        <f t="shared" si="29"/>
        <v>200.00000000000006</v>
      </c>
      <c r="K89">
        <v>24</v>
      </c>
      <c r="N89" s="51">
        <f>371+90</f>
        <v>461</v>
      </c>
      <c r="P89" t="s">
        <v>1237</v>
      </c>
    </row>
    <row r="90" spans="1:17">
      <c r="A90" s="80" t="s">
        <v>1200</v>
      </c>
      <c r="B90" s="4">
        <v>8</v>
      </c>
      <c r="C90" s="4">
        <v>7</v>
      </c>
      <c r="D90" s="4">
        <v>45</v>
      </c>
      <c r="E90" s="4">
        <v>1</v>
      </c>
      <c r="F90" s="4">
        <v>50</v>
      </c>
      <c r="G90" s="10">
        <f t="shared" si="27"/>
        <v>8.1166666666666671</v>
      </c>
      <c r="H90" s="4">
        <f>50+91.5</f>
        <v>141.5</v>
      </c>
      <c r="I90" s="5">
        <f t="shared" si="28"/>
        <v>365.25</v>
      </c>
      <c r="J90" s="5">
        <f t="shared" si="29"/>
        <v>223.75</v>
      </c>
      <c r="K90">
        <v>24</v>
      </c>
      <c r="N90" s="51">
        <f>516.5+100+250</f>
        <v>866.5</v>
      </c>
      <c r="P90" t="s">
        <v>1238</v>
      </c>
    </row>
    <row r="91" spans="1:17">
      <c r="A91" s="80" t="s">
        <v>1202</v>
      </c>
      <c r="B91" s="4">
        <v>9</v>
      </c>
      <c r="C91" s="4">
        <v>13</v>
      </c>
      <c r="D91" s="12">
        <v>55</v>
      </c>
      <c r="E91" s="12">
        <v>1</v>
      </c>
      <c r="F91" s="12">
        <v>50</v>
      </c>
      <c r="G91" s="10">
        <f t="shared" si="27"/>
        <v>9.2166666666666668</v>
      </c>
      <c r="H91" s="4">
        <f>103+50</f>
        <v>153</v>
      </c>
      <c r="I91" s="5">
        <f t="shared" si="28"/>
        <v>506.91666666666669</v>
      </c>
      <c r="J91" s="5">
        <f t="shared" si="29"/>
        <v>353.91666666666669</v>
      </c>
      <c r="K91">
        <v>26</v>
      </c>
      <c r="N91" s="51">
        <f>873+100</f>
        <v>973</v>
      </c>
      <c r="P91" t="s">
        <v>1239</v>
      </c>
    </row>
    <row r="92" spans="1:17">
      <c r="A92" s="80" t="s">
        <v>1213</v>
      </c>
      <c r="B92" s="4">
        <v>11</v>
      </c>
      <c r="C92" s="172">
        <v>0</v>
      </c>
      <c r="D92" s="167">
        <v>45</v>
      </c>
      <c r="E92" s="167">
        <v>1</v>
      </c>
      <c r="F92" s="167">
        <v>50</v>
      </c>
      <c r="G92" s="10">
        <f>B92+C92/60</f>
        <v>11</v>
      </c>
      <c r="H92" s="4">
        <v>50</v>
      </c>
      <c r="I92" s="5">
        <f>G92*D92</f>
        <v>495</v>
      </c>
      <c r="J92" s="5">
        <f>I92-H92</f>
        <v>445</v>
      </c>
      <c r="K92">
        <v>21</v>
      </c>
      <c r="N92" s="51">
        <f>554+150</f>
        <v>704</v>
      </c>
      <c r="P92" t="s">
        <v>1203</v>
      </c>
    </row>
    <row r="93" spans="1:17" ht="19">
      <c r="A93" s="91" t="s">
        <v>1097</v>
      </c>
      <c r="B93" s="8">
        <f>SUM(B94:B99)</f>
        <v>38</v>
      </c>
      <c r="C93" s="8">
        <f>SUM(C94:C99)</f>
        <v>116</v>
      </c>
      <c r="D93" s="8">
        <f>SUM(D94)</f>
        <v>45</v>
      </c>
      <c r="E93" s="8">
        <f>SUM(E94:E99)</f>
        <v>4</v>
      </c>
      <c r="F93" s="8">
        <f>SUM(F94:F99)</f>
        <v>300</v>
      </c>
      <c r="G93" s="93">
        <f t="shared" ref="G93" si="30">B93+C93/60</f>
        <v>39.93333333333333</v>
      </c>
      <c r="H93" s="8">
        <f>SUM(H94:H99)</f>
        <v>200</v>
      </c>
      <c r="I93" s="9">
        <f>SUM(I94:I99)</f>
        <v>2126.6666666666665</v>
      </c>
      <c r="J93" s="9">
        <f>SUM(J94:J99)</f>
        <v>1926.6666666666665</v>
      </c>
      <c r="K93" s="8">
        <f>SUM(K94:K99)</f>
        <v>101</v>
      </c>
      <c r="L93" s="9">
        <v>0</v>
      </c>
      <c r="M93" s="96">
        <f>J93</f>
        <v>1926.6666666666665</v>
      </c>
      <c r="N93" s="102">
        <f>SUM(N94:N99)</f>
        <v>2453</v>
      </c>
      <c r="O93" s="98">
        <f>3298-N93</f>
        <v>845</v>
      </c>
      <c r="P93" s="86"/>
      <c r="Q93" s="86"/>
    </row>
    <row r="94" spans="1:17">
      <c r="A94" s="80" t="s">
        <v>1193</v>
      </c>
      <c r="B94" s="4">
        <v>8</v>
      </c>
      <c r="C94" s="4">
        <v>51</v>
      </c>
      <c r="D94" s="4">
        <v>45</v>
      </c>
      <c r="E94" s="4">
        <v>1</v>
      </c>
      <c r="F94" s="4">
        <v>50</v>
      </c>
      <c r="G94" s="10">
        <f t="shared" ref="G94:G99" si="31">B94+C94/60</f>
        <v>8.85</v>
      </c>
      <c r="H94" s="4">
        <v>50</v>
      </c>
      <c r="I94" s="5">
        <f t="shared" ref="I94" si="32">G94*D94</f>
        <v>398.25</v>
      </c>
      <c r="J94" s="5">
        <f>I94-H94</f>
        <v>348.25</v>
      </c>
      <c r="K94">
        <v>23</v>
      </c>
      <c r="N94" s="51">
        <v>480</v>
      </c>
      <c r="P94" t="s">
        <v>1240</v>
      </c>
    </row>
    <row r="95" spans="1:17">
      <c r="A95" s="80" t="s">
        <v>1194</v>
      </c>
      <c r="B95" s="4">
        <v>9</v>
      </c>
      <c r="C95" s="4">
        <v>6</v>
      </c>
      <c r="D95" s="4">
        <v>45</v>
      </c>
      <c r="E95" s="4">
        <v>1</v>
      </c>
      <c r="F95" s="4">
        <v>50</v>
      </c>
      <c r="G95" s="10">
        <f t="shared" si="31"/>
        <v>9.1</v>
      </c>
      <c r="H95" s="4">
        <v>50</v>
      </c>
      <c r="I95" s="5">
        <f>G95*D95</f>
        <v>409.5</v>
      </c>
      <c r="J95" s="5">
        <f>I95-H95</f>
        <v>359.5</v>
      </c>
      <c r="K95">
        <v>13</v>
      </c>
      <c r="N95" s="51">
        <v>292</v>
      </c>
      <c r="P95" t="s">
        <v>1241</v>
      </c>
    </row>
    <row r="96" spans="1:17">
      <c r="A96" s="80" t="s">
        <v>1196</v>
      </c>
      <c r="B96" s="4"/>
      <c r="C96" s="4"/>
      <c r="D96" s="4">
        <v>45</v>
      </c>
      <c r="E96" s="4">
        <v>0</v>
      </c>
      <c r="F96" s="4">
        <v>50</v>
      </c>
      <c r="G96" s="10">
        <f t="shared" si="31"/>
        <v>0</v>
      </c>
      <c r="H96" s="4"/>
      <c r="I96" s="5">
        <f t="shared" ref="I96:I99" si="33">G96*D96</f>
        <v>0</v>
      </c>
      <c r="J96" s="5">
        <f>I96-H96</f>
        <v>0</v>
      </c>
      <c r="N96" s="51">
        <v>0</v>
      </c>
    </row>
    <row r="97" spans="1:17">
      <c r="A97" s="80" t="s">
        <v>1198</v>
      </c>
      <c r="B97" s="4"/>
      <c r="C97" s="4"/>
      <c r="D97" s="4">
        <v>45</v>
      </c>
      <c r="E97" s="4">
        <v>0</v>
      </c>
      <c r="F97" s="4">
        <v>50</v>
      </c>
      <c r="G97" s="10">
        <f t="shared" si="31"/>
        <v>0</v>
      </c>
      <c r="H97" s="4"/>
      <c r="I97" s="5">
        <f t="shared" si="33"/>
        <v>0</v>
      </c>
      <c r="J97" s="5">
        <f t="shared" ref="J97:J99" si="34">I97-H97</f>
        <v>0</v>
      </c>
      <c r="N97" s="51">
        <v>0</v>
      </c>
    </row>
    <row r="98" spans="1:17">
      <c r="A98" s="80" t="s">
        <v>1200</v>
      </c>
      <c r="B98" s="4">
        <v>10</v>
      </c>
      <c r="C98" s="4">
        <v>59</v>
      </c>
      <c r="D98" s="4">
        <v>65</v>
      </c>
      <c r="E98" s="4">
        <v>1</v>
      </c>
      <c r="F98" s="4">
        <v>50</v>
      </c>
      <c r="G98" s="10">
        <f t="shared" si="31"/>
        <v>10.983333333333333</v>
      </c>
      <c r="H98" s="4">
        <v>50</v>
      </c>
      <c r="I98" s="5">
        <f t="shared" si="33"/>
        <v>713.91666666666663</v>
      </c>
      <c r="J98" s="5">
        <f t="shared" si="34"/>
        <v>663.91666666666663</v>
      </c>
      <c r="K98">
        <v>34</v>
      </c>
      <c r="N98" s="51">
        <v>758</v>
      </c>
    </row>
    <row r="99" spans="1:17">
      <c r="A99" s="80" t="s">
        <v>1202</v>
      </c>
      <c r="B99" s="4">
        <v>11</v>
      </c>
      <c r="C99" s="4"/>
      <c r="D99" s="4">
        <v>55</v>
      </c>
      <c r="E99" s="4">
        <v>1</v>
      </c>
      <c r="F99" s="4">
        <v>50</v>
      </c>
      <c r="G99" s="10">
        <f t="shared" si="31"/>
        <v>11</v>
      </c>
      <c r="H99" s="4">
        <v>50</v>
      </c>
      <c r="I99" s="5">
        <f t="shared" si="33"/>
        <v>605</v>
      </c>
      <c r="J99" s="5">
        <f t="shared" si="34"/>
        <v>555</v>
      </c>
      <c r="K99">
        <v>31</v>
      </c>
      <c r="N99" s="51">
        <v>923</v>
      </c>
    </row>
    <row r="100" spans="1:17" ht="19">
      <c r="A100" s="91" t="s">
        <v>494</v>
      </c>
      <c r="B100" s="8">
        <f>SUM(B101:B107)</f>
        <v>53</v>
      </c>
      <c r="C100" s="8">
        <f>SUM(C101:C107)</f>
        <v>209</v>
      </c>
      <c r="D100" s="8">
        <f>SUM(D101)</f>
        <v>55</v>
      </c>
      <c r="E100" s="8">
        <f>SUM(E101:E107)</f>
        <v>6</v>
      </c>
      <c r="F100" s="8">
        <f>SUM(F101:F107)</f>
        <v>350</v>
      </c>
      <c r="G100" s="93">
        <f t="shared" si="27"/>
        <v>56.483333333333334</v>
      </c>
      <c r="H100" s="8">
        <f>SUM(H101:H107)</f>
        <v>549.5</v>
      </c>
      <c r="I100" s="9">
        <f>SUM(I101:I107)</f>
        <v>2950.25</v>
      </c>
      <c r="J100" s="9">
        <f>SUM(J101:J107)</f>
        <v>2400.75</v>
      </c>
      <c r="K100" s="8">
        <f t="shared" ref="K100" si="35">SUM(K101:K107)</f>
        <v>169</v>
      </c>
      <c r="L100" s="9">
        <v>0</v>
      </c>
      <c r="M100" s="96">
        <f>J100</f>
        <v>2400.75</v>
      </c>
      <c r="N100" s="102">
        <f>SUM(N101:N107)</f>
        <v>3339.5</v>
      </c>
      <c r="O100" s="98">
        <f>3334-N100</f>
        <v>-5.5</v>
      </c>
      <c r="P100" s="86"/>
      <c r="Q100" s="86"/>
    </row>
    <row r="101" spans="1:17" ht="19">
      <c r="A101" s="6">
        <v>46153</v>
      </c>
      <c r="B101" s="4">
        <v>8</v>
      </c>
      <c r="C101" s="4">
        <v>47</v>
      </c>
      <c r="D101" s="4">
        <v>55</v>
      </c>
      <c r="E101" s="4">
        <v>1</v>
      </c>
      <c r="F101" s="4">
        <v>50</v>
      </c>
      <c r="G101" s="10">
        <f>B101+C101/60</f>
        <v>8.7833333333333332</v>
      </c>
      <c r="H101" s="4">
        <v>50</v>
      </c>
      <c r="I101" s="5">
        <f>G101*D101</f>
        <v>483.08333333333331</v>
      </c>
      <c r="J101" s="5">
        <f>I101-H101</f>
        <v>433.08333333333331</v>
      </c>
      <c r="K101">
        <v>27</v>
      </c>
      <c r="N101" s="51">
        <f>410+300</f>
        <v>710</v>
      </c>
      <c r="O101" s="49"/>
      <c r="P101" t="s">
        <v>1242</v>
      </c>
    </row>
    <row r="102" spans="1:17">
      <c r="A102" s="6">
        <v>46154</v>
      </c>
      <c r="B102" s="4">
        <v>8</v>
      </c>
      <c r="C102" s="4">
        <v>25</v>
      </c>
      <c r="D102" s="4">
        <v>45</v>
      </c>
      <c r="E102" s="4">
        <v>1</v>
      </c>
      <c r="F102" s="4">
        <v>50</v>
      </c>
      <c r="G102" s="10">
        <f t="shared" ref="G102:G141" si="36">B102+C102/60</f>
        <v>8.4166666666666661</v>
      </c>
      <c r="H102" s="4">
        <v>50</v>
      </c>
      <c r="I102" s="5">
        <f t="shared" ref="I102" si="37">G102*D102</f>
        <v>378.75</v>
      </c>
      <c r="J102" s="5">
        <f>I102-H102</f>
        <v>328.75</v>
      </c>
      <c r="K102">
        <v>25</v>
      </c>
      <c r="N102" s="51">
        <f>408</f>
        <v>408</v>
      </c>
      <c r="P102" t="s">
        <v>1243</v>
      </c>
    </row>
    <row r="103" spans="1:17">
      <c r="A103" s="6">
        <v>46155</v>
      </c>
      <c r="B103" s="4">
        <v>10</v>
      </c>
      <c r="C103" s="4">
        <v>24</v>
      </c>
      <c r="D103" s="4">
        <v>55</v>
      </c>
      <c r="E103" s="4">
        <v>1</v>
      </c>
      <c r="F103" s="4">
        <v>50</v>
      </c>
      <c r="G103" s="10">
        <f t="shared" si="36"/>
        <v>10.4</v>
      </c>
      <c r="H103" s="4">
        <f>50+138</f>
        <v>188</v>
      </c>
      <c r="I103" s="5">
        <f>G103*D103</f>
        <v>572</v>
      </c>
      <c r="J103" s="5">
        <f>I103-H103</f>
        <v>384</v>
      </c>
      <c r="K103">
        <v>27</v>
      </c>
      <c r="N103" s="51">
        <f>290+300</f>
        <v>590</v>
      </c>
      <c r="P103" t="s">
        <v>1244</v>
      </c>
    </row>
    <row r="104" spans="1:17">
      <c r="A104" s="6">
        <v>46156</v>
      </c>
      <c r="B104" s="4">
        <v>7</v>
      </c>
      <c r="C104" s="4">
        <v>41</v>
      </c>
      <c r="D104" s="4">
        <v>45</v>
      </c>
      <c r="E104" s="4">
        <v>1</v>
      </c>
      <c r="F104" s="4">
        <v>50</v>
      </c>
      <c r="G104" s="10">
        <f t="shared" si="36"/>
        <v>7.6833333333333336</v>
      </c>
      <c r="H104" s="4">
        <f>50+111.5</f>
        <v>161.5</v>
      </c>
      <c r="I104" s="5">
        <f t="shared" ref="I104:I107" si="38">G104*D104</f>
        <v>345.75</v>
      </c>
      <c r="J104" s="5">
        <f>I104-H104</f>
        <v>184.25</v>
      </c>
      <c r="K104">
        <v>24</v>
      </c>
      <c r="N104" s="51">
        <f>314.5+100</f>
        <v>414.5</v>
      </c>
      <c r="P104" t="s">
        <v>1245</v>
      </c>
    </row>
    <row r="105" spans="1:17">
      <c r="A105" s="6">
        <v>46157</v>
      </c>
      <c r="B105" s="4"/>
      <c r="C105" s="4"/>
      <c r="D105" s="4">
        <v>45</v>
      </c>
      <c r="E105" s="4">
        <v>0</v>
      </c>
      <c r="F105" s="4">
        <v>50</v>
      </c>
      <c r="G105" s="10">
        <f>B105+C105/60</f>
        <v>0</v>
      </c>
      <c r="H105" s="4"/>
      <c r="I105" s="5">
        <f t="shared" si="38"/>
        <v>0</v>
      </c>
      <c r="J105" s="5">
        <f t="shared" ref="J105:J107" si="39">I105-H105</f>
        <v>0</v>
      </c>
      <c r="N105" s="51">
        <v>0</v>
      </c>
    </row>
    <row r="106" spans="1:17">
      <c r="A106" s="6">
        <v>46158</v>
      </c>
      <c r="B106" s="4">
        <v>10</v>
      </c>
      <c r="C106" s="4">
        <v>50</v>
      </c>
      <c r="D106" s="4">
        <v>65</v>
      </c>
      <c r="E106" s="4">
        <v>1</v>
      </c>
      <c r="F106" s="4">
        <v>50</v>
      </c>
      <c r="G106" s="10">
        <f>B106+C106/60</f>
        <v>10.833333333333334</v>
      </c>
      <c r="H106" s="4">
        <v>50</v>
      </c>
      <c r="I106" s="5">
        <f t="shared" si="38"/>
        <v>704.16666666666674</v>
      </c>
      <c r="J106" s="5">
        <f t="shared" si="39"/>
        <v>654.16666666666674</v>
      </c>
      <c r="K106">
        <v>32</v>
      </c>
      <c r="N106" s="51">
        <f>367+200</f>
        <v>567</v>
      </c>
    </row>
    <row r="107" spans="1:17" ht="16" thickBot="1">
      <c r="A107" s="6">
        <v>46159</v>
      </c>
      <c r="B107" s="4">
        <v>10</v>
      </c>
      <c r="C107" s="4">
        <v>22</v>
      </c>
      <c r="D107" s="4">
        <v>45</v>
      </c>
      <c r="E107" s="4">
        <v>1</v>
      </c>
      <c r="F107" s="4">
        <v>50</v>
      </c>
      <c r="G107" s="10">
        <f t="shared" si="36"/>
        <v>10.366666666666667</v>
      </c>
      <c r="H107" s="4">
        <v>50</v>
      </c>
      <c r="I107" s="5">
        <f t="shared" si="38"/>
        <v>466.5</v>
      </c>
      <c r="J107" s="5">
        <f t="shared" si="39"/>
        <v>416.5</v>
      </c>
      <c r="K107">
        <v>34</v>
      </c>
      <c r="N107" s="51">
        <f>300+200+150</f>
        <v>650</v>
      </c>
      <c r="P107" t="s">
        <v>1246</v>
      </c>
    </row>
    <row r="108" spans="1:17" ht="19">
      <c r="A108" s="91" t="s">
        <v>505</v>
      </c>
      <c r="B108" s="8">
        <f>SUM(B109:B115)</f>
        <v>35</v>
      </c>
      <c r="C108" s="8">
        <f>SUM(C109:C115)</f>
        <v>90</v>
      </c>
      <c r="D108" s="8">
        <v>45</v>
      </c>
      <c r="E108" s="8">
        <f>SUM(E109:E115)</f>
        <v>4</v>
      </c>
      <c r="F108" s="8">
        <f>SUM(F109:F115)</f>
        <v>350</v>
      </c>
      <c r="G108" s="93">
        <f t="shared" si="36"/>
        <v>36.5</v>
      </c>
      <c r="H108" s="8">
        <f>SUM(H109:H115)</f>
        <v>200</v>
      </c>
      <c r="I108" s="9">
        <f>SUM(I109:I115)</f>
        <v>1642.5</v>
      </c>
      <c r="J108" s="14">
        <f>SUM(J109:J115)</f>
        <v>1442.5</v>
      </c>
      <c r="K108" s="8">
        <f>SUM(K109:K115)</f>
        <v>64</v>
      </c>
      <c r="L108" s="9">
        <v>0</v>
      </c>
      <c r="M108" s="96">
        <f>J108</f>
        <v>1442.5</v>
      </c>
      <c r="N108" s="102">
        <f>SUM(N109:N115)</f>
        <v>1521</v>
      </c>
      <c r="O108" s="98">
        <f>1398-N108</f>
        <v>-123</v>
      </c>
      <c r="P108" s="86"/>
      <c r="Q108" s="86"/>
    </row>
    <row r="109" spans="1:17">
      <c r="A109" s="6">
        <v>46153</v>
      </c>
      <c r="B109" s="4">
        <v>8</v>
      </c>
      <c r="C109" s="4">
        <v>14</v>
      </c>
      <c r="D109" s="4">
        <v>45</v>
      </c>
      <c r="E109" s="4">
        <v>1</v>
      </c>
      <c r="F109" s="4">
        <v>50</v>
      </c>
      <c r="G109" s="10">
        <f t="shared" si="36"/>
        <v>8.2333333333333325</v>
      </c>
      <c r="H109" s="4">
        <v>50</v>
      </c>
      <c r="I109" s="5">
        <f t="shared" ref="I109:I115" si="40">G109*D109</f>
        <v>370.49999999999994</v>
      </c>
      <c r="J109" s="5">
        <f t="shared" ref="J109:J115" si="41">I109-H109</f>
        <v>320.49999999999994</v>
      </c>
      <c r="K109">
        <v>22</v>
      </c>
      <c r="N109" s="119">
        <f>453</f>
        <v>453</v>
      </c>
      <c r="O109" s="51"/>
      <c r="P109" t="s">
        <v>1247</v>
      </c>
    </row>
    <row r="110" spans="1:17">
      <c r="A110" s="6">
        <v>46154</v>
      </c>
      <c r="B110" s="4">
        <v>7</v>
      </c>
      <c r="C110" s="4">
        <v>44</v>
      </c>
      <c r="D110" s="4">
        <v>45</v>
      </c>
      <c r="E110" s="4">
        <v>1</v>
      </c>
      <c r="F110" s="4">
        <v>50</v>
      </c>
      <c r="G110" s="10">
        <f t="shared" si="36"/>
        <v>7.7333333333333334</v>
      </c>
      <c r="H110" s="4">
        <v>50</v>
      </c>
      <c r="I110" s="5">
        <f t="shared" si="40"/>
        <v>348</v>
      </c>
      <c r="J110" s="5">
        <f t="shared" si="41"/>
        <v>298</v>
      </c>
      <c r="K110">
        <v>22</v>
      </c>
      <c r="N110" s="119">
        <f>246+150</f>
        <v>396</v>
      </c>
      <c r="P110" t="s">
        <v>1145</v>
      </c>
    </row>
    <row r="111" spans="1:17">
      <c r="A111" s="6">
        <v>46155</v>
      </c>
      <c r="B111" s="4"/>
      <c r="C111" s="4"/>
      <c r="D111" s="4">
        <v>45</v>
      </c>
      <c r="E111" s="4">
        <v>0</v>
      </c>
      <c r="F111" s="4">
        <v>50</v>
      </c>
      <c r="G111" s="10">
        <f t="shared" si="36"/>
        <v>0</v>
      </c>
      <c r="H111" s="4"/>
      <c r="I111" s="5">
        <f t="shared" si="40"/>
        <v>0</v>
      </c>
      <c r="J111" s="5">
        <f t="shared" si="41"/>
        <v>0</v>
      </c>
      <c r="N111" s="119">
        <v>0</v>
      </c>
    </row>
    <row r="112" spans="1:17">
      <c r="A112" s="6">
        <v>46156</v>
      </c>
      <c r="B112" s="4"/>
      <c r="C112" s="4"/>
      <c r="D112" s="4">
        <v>45</v>
      </c>
      <c r="E112" s="4">
        <v>0</v>
      </c>
      <c r="F112" s="4">
        <v>50</v>
      </c>
      <c r="G112" s="10">
        <f t="shared" si="36"/>
        <v>0</v>
      </c>
      <c r="H112" s="4"/>
      <c r="I112" s="5">
        <f t="shared" si="40"/>
        <v>0</v>
      </c>
      <c r="J112" s="5">
        <f t="shared" si="41"/>
        <v>0</v>
      </c>
      <c r="N112" s="119">
        <v>177</v>
      </c>
    </row>
    <row r="113" spans="1:17">
      <c r="A113" s="6">
        <v>46157</v>
      </c>
      <c r="B113" s="4"/>
      <c r="C113" s="4"/>
      <c r="D113" s="4">
        <v>45</v>
      </c>
      <c r="E113" s="4">
        <v>0</v>
      </c>
      <c r="F113" s="4">
        <v>50</v>
      </c>
      <c r="G113" s="10">
        <f t="shared" si="36"/>
        <v>0</v>
      </c>
      <c r="H113" s="4"/>
      <c r="I113" s="5">
        <f t="shared" si="40"/>
        <v>0</v>
      </c>
      <c r="J113" s="5">
        <f t="shared" si="41"/>
        <v>0</v>
      </c>
      <c r="N113" s="119">
        <v>0</v>
      </c>
    </row>
    <row r="114" spans="1:17">
      <c r="A114" s="6">
        <v>46158</v>
      </c>
      <c r="B114" s="4">
        <v>11</v>
      </c>
      <c r="C114" s="4">
        <v>0</v>
      </c>
      <c r="D114" s="4">
        <v>45</v>
      </c>
      <c r="E114" s="4">
        <v>1</v>
      </c>
      <c r="F114" s="4">
        <v>50</v>
      </c>
      <c r="G114" s="10">
        <f t="shared" si="36"/>
        <v>11</v>
      </c>
      <c r="H114" s="4">
        <v>50</v>
      </c>
      <c r="I114" s="5">
        <f t="shared" si="40"/>
        <v>495</v>
      </c>
      <c r="J114" s="5">
        <f t="shared" si="41"/>
        <v>445</v>
      </c>
      <c r="K114">
        <v>1</v>
      </c>
      <c r="N114" s="119">
        <v>0</v>
      </c>
      <c r="P114" t="s">
        <v>1248</v>
      </c>
    </row>
    <row r="115" spans="1:17">
      <c r="A115" s="6">
        <v>46159</v>
      </c>
      <c r="B115" s="4">
        <v>9</v>
      </c>
      <c r="C115" s="4">
        <v>32</v>
      </c>
      <c r="D115" s="4">
        <v>45</v>
      </c>
      <c r="E115" s="4">
        <v>1</v>
      </c>
      <c r="F115" s="4">
        <v>50</v>
      </c>
      <c r="G115" s="10">
        <f t="shared" si="36"/>
        <v>9.5333333333333332</v>
      </c>
      <c r="H115" s="4">
        <v>50</v>
      </c>
      <c r="I115" s="5">
        <f t="shared" si="40"/>
        <v>429</v>
      </c>
      <c r="J115" s="5">
        <f t="shared" si="41"/>
        <v>379</v>
      </c>
      <c r="K115">
        <v>19</v>
      </c>
      <c r="N115" s="119">
        <v>495</v>
      </c>
    </row>
    <row r="116" spans="1:17" ht="19">
      <c r="A116" s="91" t="s">
        <v>1249</v>
      </c>
      <c r="B116" s="8">
        <f>SUM(B117:B123)</f>
        <v>9</v>
      </c>
      <c r="C116" s="8">
        <f>SUM(C117:C123)</f>
        <v>25</v>
      </c>
      <c r="D116" s="126">
        <f>SUM(D117)</f>
        <v>45</v>
      </c>
      <c r="E116" s="126">
        <f>SUM(E117:E123)</f>
        <v>1</v>
      </c>
      <c r="F116" s="126">
        <f>SUM(F117:F123)</f>
        <v>300</v>
      </c>
      <c r="G116" s="123">
        <f t="shared" ref="G116:G121" si="42">B116+C116/60</f>
        <v>9.4166666666666661</v>
      </c>
      <c r="H116" s="8">
        <f>SUM(H117:H123)</f>
        <v>510</v>
      </c>
      <c r="I116" s="14">
        <f>SUM(I117:I123)</f>
        <v>423.75</v>
      </c>
      <c r="J116" s="14">
        <f>SUM(J117:J123)</f>
        <v>-86.25</v>
      </c>
      <c r="K116" s="8">
        <f>SUM(K117:K123)</f>
        <v>12</v>
      </c>
      <c r="L116" s="9">
        <v>0</v>
      </c>
      <c r="M116" s="96">
        <f>J116</f>
        <v>-86.25</v>
      </c>
      <c r="N116" s="102">
        <f>SUM(N117:N123)</f>
        <v>0</v>
      </c>
      <c r="O116" s="98">
        <f>259-N116</f>
        <v>259</v>
      </c>
      <c r="P116" s="86"/>
      <c r="Q116" s="86"/>
    </row>
    <row r="117" spans="1:17">
      <c r="A117" s="80">
        <v>46153</v>
      </c>
      <c r="B117" s="4">
        <v>0</v>
      </c>
      <c r="C117" s="4">
        <v>0</v>
      </c>
      <c r="D117" s="4">
        <v>45</v>
      </c>
      <c r="E117" s="4">
        <v>0</v>
      </c>
      <c r="F117" s="4">
        <v>50</v>
      </c>
      <c r="G117" s="10">
        <f t="shared" si="42"/>
        <v>0</v>
      </c>
      <c r="H117" s="4">
        <v>0</v>
      </c>
      <c r="I117" s="5">
        <f>G117*D117</f>
        <v>0</v>
      </c>
      <c r="J117" s="5">
        <f>I117-H117</f>
        <v>0</v>
      </c>
      <c r="K117">
        <v>0</v>
      </c>
      <c r="N117" s="51">
        <v>0</v>
      </c>
      <c r="O117" s="51"/>
    </row>
    <row r="118" spans="1:17">
      <c r="A118" s="80">
        <v>46154</v>
      </c>
      <c r="B118" s="4">
        <v>0</v>
      </c>
      <c r="C118" s="4">
        <v>0</v>
      </c>
      <c r="D118" s="4">
        <v>45</v>
      </c>
      <c r="E118" s="4">
        <v>0</v>
      </c>
      <c r="F118" s="4">
        <v>50</v>
      </c>
      <c r="G118" s="10">
        <f t="shared" si="42"/>
        <v>0</v>
      </c>
      <c r="H118" s="4">
        <v>0</v>
      </c>
      <c r="I118" s="5">
        <f>G118*D118</f>
        <v>0</v>
      </c>
      <c r="J118" s="5">
        <f>I118-H118</f>
        <v>0</v>
      </c>
      <c r="K118">
        <v>0</v>
      </c>
      <c r="N118" s="51">
        <v>0</v>
      </c>
    </row>
    <row r="119" spans="1:17">
      <c r="A119" s="80">
        <v>46155</v>
      </c>
      <c r="B119" s="4">
        <v>0</v>
      </c>
      <c r="C119" s="4">
        <v>0</v>
      </c>
      <c r="D119" s="4">
        <v>45</v>
      </c>
      <c r="E119" s="4">
        <v>0</v>
      </c>
      <c r="F119" s="4">
        <v>50</v>
      </c>
      <c r="G119" s="10">
        <f t="shared" si="42"/>
        <v>0</v>
      </c>
      <c r="H119" s="4">
        <v>0</v>
      </c>
      <c r="I119" s="5">
        <f>G119*D119</f>
        <v>0</v>
      </c>
      <c r="J119" s="5">
        <f>I119-H119</f>
        <v>0</v>
      </c>
      <c r="K119">
        <v>0</v>
      </c>
      <c r="N119" s="51">
        <v>0</v>
      </c>
    </row>
    <row r="120" spans="1:17">
      <c r="A120" s="80">
        <v>46156</v>
      </c>
      <c r="B120" s="4">
        <v>6</v>
      </c>
      <c r="C120" s="4">
        <v>1</v>
      </c>
      <c r="D120" s="4">
        <v>45</v>
      </c>
      <c r="E120" s="4">
        <v>1</v>
      </c>
      <c r="F120" s="4">
        <v>50</v>
      </c>
      <c r="G120" s="10">
        <f t="shared" si="42"/>
        <v>6.0166666666666666</v>
      </c>
      <c r="H120" s="4">
        <f>50+266.5</f>
        <v>316.5</v>
      </c>
      <c r="I120" s="5">
        <f>G120*D120</f>
        <v>270.75</v>
      </c>
      <c r="J120" s="5">
        <f>I120-H120</f>
        <v>-45.75</v>
      </c>
      <c r="K120">
        <v>8</v>
      </c>
      <c r="N120" s="51">
        <v>0</v>
      </c>
      <c r="P120" t="s">
        <v>1250</v>
      </c>
    </row>
    <row r="121" spans="1:17">
      <c r="A121" s="80">
        <v>46157</v>
      </c>
      <c r="B121" s="4">
        <v>3</v>
      </c>
      <c r="C121" s="4">
        <v>24</v>
      </c>
      <c r="D121" s="4">
        <v>45</v>
      </c>
      <c r="E121" s="4">
        <v>0</v>
      </c>
      <c r="F121" s="4">
        <v>50</v>
      </c>
      <c r="G121" s="10">
        <f t="shared" si="42"/>
        <v>3.4</v>
      </c>
      <c r="H121" s="4">
        <f>143.5+50</f>
        <v>193.5</v>
      </c>
      <c r="I121" s="5">
        <f>G121*D121</f>
        <v>153</v>
      </c>
      <c r="J121" s="5">
        <f>I121-H121</f>
        <v>-40.5</v>
      </c>
      <c r="K121">
        <v>4</v>
      </c>
      <c r="N121" s="51">
        <v>0</v>
      </c>
      <c r="P121" t="s">
        <v>1251</v>
      </c>
    </row>
    <row r="122" spans="1:17">
      <c r="A122" s="80">
        <v>46158</v>
      </c>
      <c r="B122" s="4">
        <v>0</v>
      </c>
      <c r="C122" s="4">
        <v>0</v>
      </c>
      <c r="D122" s="12">
        <v>45</v>
      </c>
      <c r="E122" s="12">
        <v>0</v>
      </c>
      <c r="F122" s="12">
        <v>50</v>
      </c>
      <c r="G122" s="10">
        <v>0</v>
      </c>
      <c r="H122" s="4"/>
      <c r="I122" s="5">
        <v>0</v>
      </c>
      <c r="J122" s="5">
        <v>0</v>
      </c>
      <c r="N122" s="51">
        <v>0</v>
      </c>
    </row>
    <row r="123" spans="1:17">
      <c r="A123" s="80">
        <v>46159</v>
      </c>
      <c r="B123" s="4">
        <v>0</v>
      </c>
      <c r="C123" s="4">
        <v>0</v>
      </c>
      <c r="D123" s="167"/>
      <c r="E123" s="167"/>
      <c r="F123" s="167"/>
      <c r="G123" s="174"/>
      <c r="H123" s="4"/>
      <c r="I123" s="5"/>
      <c r="J123" s="5"/>
      <c r="N123" s="51">
        <v>0</v>
      </c>
    </row>
    <row r="124" spans="1:17" ht="19">
      <c r="A124" s="91" t="s">
        <v>1252</v>
      </c>
      <c r="B124" s="8">
        <f>SUM(B125:B131)</f>
        <v>38</v>
      </c>
      <c r="C124" s="8">
        <f>SUM(C125:C131)</f>
        <v>139</v>
      </c>
      <c r="D124" s="8">
        <v>45</v>
      </c>
      <c r="E124" s="8">
        <f>SUM(E125:E131)</f>
        <v>4</v>
      </c>
      <c r="F124" s="8">
        <f>SUM(F125:F131)</f>
        <v>350</v>
      </c>
      <c r="G124" s="93">
        <f t="shared" si="36"/>
        <v>40.31666666666667</v>
      </c>
      <c r="H124" s="8">
        <f>SUM(H125:H131)</f>
        <v>455.5</v>
      </c>
      <c r="I124" s="14">
        <f>SUM(I125:I131)</f>
        <v>1909.9166666666665</v>
      </c>
      <c r="J124" s="14">
        <f>SUM(J125:J131)</f>
        <v>1454.4166666666665</v>
      </c>
      <c r="K124" s="8">
        <f>SUM(K125:K131)</f>
        <v>96</v>
      </c>
      <c r="L124" s="9">
        <v>0</v>
      </c>
      <c r="M124" s="96">
        <f>J124</f>
        <v>1454.4166666666665</v>
      </c>
      <c r="N124" s="102">
        <f>SUM(N125:N131)</f>
        <v>1620</v>
      </c>
      <c r="O124" s="98">
        <f>2041-N124</f>
        <v>421</v>
      </c>
      <c r="P124" s="86"/>
      <c r="Q124" s="86"/>
    </row>
    <row r="125" spans="1:17">
      <c r="A125" s="6">
        <v>46153</v>
      </c>
      <c r="B125" s="4">
        <v>7</v>
      </c>
      <c r="C125" s="4">
        <v>38</v>
      </c>
      <c r="D125" s="4">
        <v>45</v>
      </c>
      <c r="E125" s="4">
        <v>1</v>
      </c>
      <c r="F125" s="4">
        <v>50</v>
      </c>
      <c r="G125" s="10">
        <f t="shared" si="36"/>
        <v>7.6333333333333329</v>
      </c>
      <c r="H125" s="4">
        <v>50</v>
      </c>
      <c r="I125" s="5">
        <f t="shared" ref="I125:I131" si="43">G125*D125</f>
        <v>343.5</v>
      </c>
      <c r="J125" s="5">
        <f t="shared" ref="J125:J131" si="44">I125-H125</f>
        <v>293.5</v>
      </c>
      <c r="K125">
        <v>23</v>
      </c>
      <c r="N125" s="119">
        <f>230</f>
        <v>230</v>
      </c>
      <c r="O125" s="51"/>
      <c r="P125" t="s">
        <v>1109</v>
      </c>
    </row>
    <row r="126" spans="1:17">
      <c r="A126" s="6">
        <v>46154</v>
      </c>
      <c r="B126" s="4">
        <v>9</v>
      </c>
      <c r="C126" s="4">
        <v>34</v>
      </c>
      <c r="D126" s="4">
        <v>55</v>
      </c>
      <c r="E126" s="4">
        <v>1</v>
      </c>
      <c r="F126" s="4">
        <v>50</v>
      </c>
      <c r="G126" s="10">
        <f t="shared" si="36"/>
        <v>9.5666666666666664</v>
      </c>
      <c r="H126" s="4">
        <v>50</v>
      </c>
      <c r="I126" s="5">
        <f t="shared" si="43"/>
        <v>526.16666666666663</v>
      </c>
      <c r="J126" s="5">
        <f t="shared" si="44"/>
        <v>476.16666666666663</v>
      </c>
      <c r="K126">
        <v>22</v>
      </c>
      <c r="N126" s="119">
        <f>360</f>
        <v>360</v>
      </c>
      <c r="P126" t="s">
        <v>1253</v>
      </c>
    </row>
    <row r="127" spans="1:17">
      <c r="A127" s="6">
        <v>46155</v>
      </c>
      <c r="B127" s="4"/>
      <c r="C127" s="4"/>
      <c r="D127" s="4">
        <v>45</v>
      </c>
      <c r="E127" s="4">
        <v>0</v>
      </c>
      <c r="F127" s="4">
        <v>50</v>
      </c>
      <c r="G127" s="10">
        <f t="shared" si="36"/>
        <v>0</v>
      </c>
      <c r="H127" s="4"/>
      <c r="I127" s="5">
        <f t="shared" si="43"/>
        <v>0</v>
      </c>
      <c r="J127" s="5">
        <f t="shared" si="44"/>
        <v>0</v>
      </c>
      <c r="N127" s="119">
        <v>0</v>
      </c>
    </row>
    <row r="128" spans="1:17">
      <c r="A128" s="6">
        <v>46156</v>
      </c>
      <c r="B128" s="4">
        <v>9</v>
      </c>
      <c r="C128" s="4">
        <v>19</v>
      </c>
      <c r="D128" s="4">
        <v>45</v>
      </c>
      <c r="E128" s="4">
        <v>0</v>
      </c>
      <c r="F128" s="4">
        <v>50</v>
      </c>
      <c r="G128" s="10">
        <f t="shared" si="36"/>
        <v>9.3166666666666664</v>
      </c>
      <c r="H128" s="4">
        <v>50</v>
      </c>
      <c r="I128" s="5">
        <f t="shared" si="43"/>
        <v>419.25</v>
      </c>
      <c r="J128" s="5">
        <f t="shared" si="44"/>
        <v>369.25</v>
      </c>
      <c r="K128">
        <v>20</v>
      </c>
      <c r="N128" s="119">
        <f>100+250</f>
        <v>350</v>
      </c>
      <c r="P128" t="s">
        <v>1254</v>
      </c>
    </row>
    <row r="129" spans="1:17">
      <c r="A129" s="6">
        <v>46157</v>
      </c>
      <c r="B129" s="4">
        <v>7</v>
      </c>
      <c r="C129" s="4">
        <v>19</v>
      </c>
      <c r="D129" s="4">
        <v>45</v>
      </c>
      <c r="E129" s="4">
        <v>1</v>
      </c>
      <c r="F129" s="4">
        <v>50</v>
      </c>
      <c r="G129" s="10">
        <f t="shared" si="36"/>
        <v>7.3166666666666664</v>
      </c>
      <c r="H129" s="4">
        <v>50</v>
      </c>
      <c r="I129" s="5">
        <f t="shared" si="43"/>
        <v>329.25</v>
      </c>
      <c r="J129" s="5">
        <f t="shared" si="44"/>
        <v>279.25</v>
      </c>
      <c r="K129">
        <v>9</v>
      </c>
      <c r="N129" s="119">
        <v>200</v>
      </c>
      <c r="P129" t="s">
        <v>1255</v>
      </c>
    </row>
    <row r="130" spans="1:17">
      <c r="A130" s="6">
        <v>46158</v>
      </c>
      <c r="B130" s="4">
        <v>6</v>
      </c>
      <c r="C130" s="4">
        <v>29</v>
      </c>
      <c r="D130" s="4">
        <v>45</v>
      </c>
      <c r="E130" s="4">
        <v>1</v>
      </c>
      <c r="F130" s="4">
        <v>50</v>
      </c>
      <c r="G130" s="10">
        <f t="shared" si="36"/>
        <v>6.4833333333333334</v>
      </c>
      <c r="H130" s="4">
        <f>205.5+50</f>
        <v>255.5</v>
      </c>
      <c r="I130" s="5">
        <f t="shared" si="43"/>
        <v>291.75</v>
      </c>
      <c r="J130" s="5">
        <f t="shared" si="44"/>
        <v>36.25</v>
      </c>
      <c r="K130">
        <v>22</v>
      </c>
      <c r="N130" s="119">
        <f>230+250</f>
        <v>480</v>
      </c>
      <c r="P130" t="s">
        <v>1256</v>
      </c>
    </row>
    <row r="131" spans="1:17">
      <c r="A131" s="6">
        <v>46159</v>
      </c>
      <c r="B131" s="4"/>
      <c r="C131" s="4"/>
      <c r="D131" s="4">
        <v>45</v>
      </c>
      <c r="E131" s="4">
        <v>0</v>
      </c>
      <c r="F131" s="4">
        <v>50</v>
      </c>
      <c r="G131" s="10">
        <f t="shared" si="36"/>
        <v>0</v>
      </c>
      <c r="H131" s="4"/>
      <c r="I131" s="5">
        <f t="shared" si="43"/>
        <v>0</v>
      </c>
      <c r="J131" s="5">
        <f t="shared" si="44"/>
        <v>0</v>
      </c>
      <c r="N131" s="119">
        <v>0</v>
      </c>
    </row>
    <row r="132" spans="1:17" ht="19">
      <c r="A132" s="91" t="s">
        <v>1257</v>
      </c>
      <c r="B132" s="8">
        <f>SUM(B133:B139)</f>
        <v>12</v>
      </c>
      <c r="C132" s="8">
        <f>SUM(C133:C139)</f>
        <v>99</v>
      </c>
      <c r="D132" s="126">
        <f>SUM(D133)</f>
        <v>45</v>
      </c>
      <c r="E132" s="126">
        <f>SUM(E133:E139)</f>
        <v>2</v>
      </c>
      <c r="F132" s="126">
        <f>SUM(F133:F139)</f>
        <v>350</v>
      </c>
      <c r="G132" s="123">
        <f t="shared" ref="G132:G140" si="45">B132+C132/60</f>
        <v>13.65</v>
      </c>
      <c r="H132" s="8">
        <f>SUM(H133:H140)</f>
        <v>150</v>
      </c>
      <c r="I132" s="14">
        <f>SUM(I133:I140)</f>
        <v>1126.5833333333335</v>
      </c>
      <c r="J132" s="14">
        <f>SUM(J133:J140)</f>
        <v>976.58333333333337</v>
      </c>
      <c r="K132" s="8">
        <f>SUM(K133:K139)</f>
        <v>49</v>
      </c>
      <c r="L132" s="9">
        <v>0</v>
      </c>
      <c r="M132" s="96">
        <f>J132</f>
        <v>976.58333333333337</v>
      </c>
      <c r="N132" s="102">
        <f>SUM(N133:N140)</f>
        <v>1539</v>
      </c>
      <c r="O132" s="98">
        <f>1558-N132</f>
        <v>19</v>
      </c>
      <c r="P132" s="86"/>
      <c r="Q132" s="86"/>
    </row>
    <row r="133" spans="1:17">
      <c r="A133" s="80" t="s">
        <v>1072</v>
      </c>
      <c r="B133" s="4">
        <v>0</v>
      </c>
      <c r="C133" s="4">
        <v>0</v>
      </c>
      <c r="D133" s="4">
        <v>45</v>
      </c>
      <c r="E133" s="4">
        <v>0</v>
      </c>
      <c r="F133" s="4">
        <v>50</v>
      </c>
      <c r="G133" s="10">
        <f t="shared" si="45"/>
        <v>0</v>
      </c>
      <c r="H133" s="4">
        <v>0</v>
      </c>
      <c r="I133" s="5">
        <f t="shared" ref="I133:I140" si="46">G133*D133</f>
        <v>0</v>
      </c>
      <c r="J133" s="5">
        <f t="shared" ref="J133:J140" si="47">I133-H133</f>
        <v>0</v>
      </c>
      <c r="K133">
        <v>0</v>
      </c>
      <c r="N133" s="51">
        <v>0</v>
      </c>
      <c r="O133" s="51"/>
    </row>
    <row r="134" spans="1:17">
      <c r="A134" s="80" t="s">
        <v>1193</v>
      </c>
      <c r="B134" s="4">
        <v>0</v>
      </c>
      <c r="C134" s="4">
        <v>0</v>
      </c>
      <c r="D134" s="4">
        <v>45</v>
      </c>
      <c r="E134" s="4">
        <v>0</v>
      </c>
      <c r="F134" s="4">
        <v>50</v>
      </c>
      <c r="G134" s="10">
        <f t="shared" si="45"/>
        <v>0</v>
      </c>
      <c r="H134" s="4">
        <v>0</v>
      </c>
      <c r="I134" s="5">
        <f t="shared" si="46"/>
        <v>0</v>
      </c>
      <c r="J134" s="5">
        <f t="shared" si="47"/>
        <v>0</v>
      </c>
      <c r="K134">
        <v>0</v>
      </c>
      <c r="N134" s="51">
        <v>0</v>
      </c>
    </row>
    <row r="135" spans="1:17">
      <c r="A135" s="80" t="s">
        <v>1194</v>
      </c>
      <c r="B135" s="4">
        <v>0</v>
      </c>
      <c r="C135" s="4">
        <v>0</v>
      </c>
      <c r="D135" s="4">
        <v>45</v>
      </c>
      <c r="E135" s="4">
        <v>0</v>
      </c>
      <c r="F135" s="4">
        <v>50</v>
      </c>
      <c r="G135" s="10">
        <f t="shared" si="45"/>
        <v>0</v>
      </c>
      <c r="H135" s="4">
        <v>0</v>
      </c>
      <c r="I135" s="5">
        <f t="shared" si="46"/>
        <v>0</v>
      </c>
      <c r="J135" s="5">
        <f t="shared" si="47"/>
        <v>0</v>
      </c>
      <c r="K135">
        <v>0</v>
      </c>
      <c r="N135" s="51">
        <v>0</v>
      </c>
    </row>
    <row r="136" spans="1:17">
      <c r="A136" s="80" t="s">
        <v>1196</v>
      </c>
      <c r="B136" s="4">
        <v>0</v>
      </c>
      <c r="C136" s="4">
        <v>0</v>
      </c>
      <c r="D136" s="4">
        <v>45</v>
      </c>
      <c r="E136" s="4">
        <v>0</v>
      </c>
      <c r="F136" s="4">
        <v>50</v>
      </c>
      <c r="G136" s="10">
        <f t="shared" si="45"/>
        <v>0</v>
      </c>
      <c r="H136" s="4">
        <v>0</v>
      </c>
      <c r="I136" s="5">
        <f t="shared" si="46"/>
        <v>0</v>
      </c>
      <c r="J136" s="5">
        <f t="shared" si="47"/>
        <v>0</v>
      </c>
      <c r="N136" s="51">
        <v>0</v>
      </c>
    </row>
    <row r="137" spans="1:17">
      <c r="A137" s="80" t="s">
        <v>1198</v>
      </c>
      <c r="B137" s="4">
        <v>0</v>
      </c>
      <c r="C137" s="4">
        <v>0</v>
      </c>
      <c r="D137" s="4">
        <v>45</v>
      </c>
      <c r="E137" s="4">
        <v>0</v>
      </c>
      <c r="F137" s="4">
        <v>50</v>
      </c>
      <c r="G137" s="10">
        <f t="shared" si="45"/>
        <v>0</v>
      </c>
      <c r="H137" s="4">
        <v>0</v>
      </c>
      <c r="I137" s="5">
        <f t="shared" si="46"/>
        <v>0</v>
      </c>
      <c r="J137" s="5">
        <f t="shared" si="47"/>
        <v>0</v>
      </c>
      <c r="N137" s="51">
        <v>0</v>
      </c>
    </row>
    <row r="138" spans="1:17">
      <c r="A138" s="80" t="s">
        <v>1200</v>
      </c>
      <c r="B138" s="4">
        <v>6</v>
      </c>
      <c r="C138" s="4">
        <v>58</v>
      </c>
      <c r="D138" s="12">
        <v>45</v>
      </c>
      <c r="E138" s="12">
        <v>1</v>
      </c>
      <c r="F138" s="12">
        <v>50</v>
      </c>
      <c r="G138" s="10">
        <f t="shared" si="45"/>
        <v>6.9666666666666668</v>
      </c>
      <c r="H138" s="4">
        <v>50</v>
      </c>
      <c r="I138" s="5">
        <f t="shared" si="46"/>
        <v>313.5</v>
      </c>
      <c r="J138" s="5">
        <f t="shared" si="47"/>
        <v>263.5</v>
      </c>
      <c r="K138">
        <v>22</v>
      </c>
      <c r="N138" s="51">
        <f>350+160</f>
        <v>510</v>
      </c>
      <c r="P138" t="s">
        <v>1258</v>
      </c>
    </row>
    <row r="139" spans="1:17">
      <c r="A139" s="80" t="s">
        <v>1202</v>
      </c>
      <c r="B139" s="4">
        <v>6</v>
      </c>
      <c r="C139" s="4">
        <v>41</v>
      </c>
      <c r="D139" s="167">
        <v>55</v>
      </c>
      <c r="E139" s="167">
        <v>1</v>
      </c>
      <c r="F139" s="167">
        <v>50</v>
      </c>
      <c r="G139" s="10">
        <f t="shared" si="45"/>
        <v>6.6833333333333336</v>
      </c>
      <c r="H139" s="4">
        <v>50</v>
      </c>
      <c r="I139" s="5">
        <f t="shared" si="46"/>
        <v>367.58333333333337</v>
      </c>
      <c r="J139" s="5">
        <f t="shared" si="47"/>
        <v>317.58333333333337</v>
      </c>
      <c r="K139">
        <v>27</v>
      </c>
      <c r="N139" s="51">
        <f>280+159</f>
        <v>439</v>
      </c>
      <c r="P139" t="s">
        <v>1259</v>
      </c>
    </row>
    <row r="140" spans="1:17">
      <c r="A140" s="80"/>
      <c r="B140" s="4">
        <v>9</v>
      </c>
      <c r="C140" s="4">
        <v>54</v>
      </c>
      <c r="D140" s="167">
        <v>45</v>
      </c>
      <c r="E140" s="167">
        <v>1</v>
      </c>
      <c r="F140" s="167">
        <v>50</v>
      </c>
      <c r="G140" s="10">
        <f t="shared" si="45"/>
        <v>9.9</v>
      </c>
      <c r="H140" s="4">
        <v>50</v>
      </c>
      <c r="I140" s="5">
        <f t="shared" si="46"/>
        <v>445.5</v>
      </c>
      <c r="J140" s="5">
        <f t="shared" si="47"/>
        <v>395.5</v>
      </c>
      <c r="K140">
        <v>21</v>
      </c>
      <c r="N140" s="51">
        <v>590</v>
      </c>
    </row>
    <row r="141" spans="1:17" ht="19">
      <c r="A141" s="91" t="s">
        <v>518</v>
      </c>
      <c r="B141" s="8">
        <f>SUM(B142:B148)</f>
        <v>58</v>
      </c>
      <c r="C141" s="8">
        <f>SUM(C142:C148)</f>
        <v>262</v>
      </c>
      <c r="D141" s="8">
        <f>SUM(D142)</f>
        <v>45</v>
      </c>
      <c r="E141" s="8">
        <f>SUM(E142:E148)</f>
        <v>6</v>
      </c>
      <c r="F141" s="8">
        <f>SUM(F142:F148)</f>
        <v>350</v>
      </c>
      <c r="G141" s="93">
        <f t="shared" si="36"/>
        <v>62.366666666666667</v>
      </c>
      <c r="H141" s="8">
        <f>SUM(H142:H148)</f>
        <v>373.5</v>
      </c>
      <c r="I141" s="9">
        <f>SUM(I142:I148)</f>
        <v>3129.8333333333335</v>
      </c>
      <c r="J141" s="9">
        <f>SUM(J142:J148)</f>
        <v>2756.3333333333335</v>
      </c>
      <c r="K141" s="8">
        <f>SUM(K142:K148)</f>
        <v>152</v>
      </c>
      <c r="L141" s="9">
        <v>0</v>
      </c>
      <c r="M141" s="96">
        <f>J141</f>
        <v>2756.3333333333335</v>
      </c>
      <c r="N141" s="102">
        <f>SUM(N142:N148)</f>
        <v>3503</v>
      </c>
      <c r="O141" s="98">
        <f>3452-N141</f>
        <v>-51</v>
      </c>
      <c r="P141" s="86"/>
      <c r="Q141" s="86"/>
    </row>
    <row r="142" spans="1:17">
      <c r="A142" s="6">
        <v>46153</v>
      </c>
      <c r="B142" s="4">
        <v>0</v>
      </c>
      <c r="C142" s="4">
        <v>0</v>
      </c>
      <c r="D142" s="4">
        <v>45</v>
      </c>
      <c r="E142" s="4">
        <v>0</v>
      </c>
      <c r="F142" s="4">
        <v>50</v>
      </c>
      <c r="G142" s="10">
        <f>B142+C142/60</f>
        <v>0</v>
      </c>
      <c r="H142" s="4">
        <v>0</v>
      </c>
      <c r="I142" s="5">
        <f t="shared" ref="I142:I147" si="48">G142*D142</f>
        <v>0</v>
      </c>
      <c r="J142" s="5">
        <f>I142-H142</f>
        <v>0</v>
      </c>
      <c r="K142">
        <v>0</v>
      </c>
      <c r="N142" s="119">
        <v>0</v>
      </c>
      <c r="O142" s="51"/>
    </row>
    <row r="143" spans="1:17">
      <c r="A143" s="6">
        <v>46154</v>
      </c>
      <c r="B143" s="4">
        <v>8</v>
      </c>
      <c r="C143" s="4">
        <v>57</v>
      </c>
      <c r="D143" s="4">
        <v>45</v>
      </c>
      <c r="E143" s="4">
        <v>1</v>
      </c>
      <c r="F143" s="4">
        <v>50</v>
      </c>
      <c r="G143" s="10">
        <f t="shared" ref="G143:G148" si="49">B143+C143/60</f>
        <v>8.9499999999999993</v>
      </c>
      <c r="H143" s="4">
        <v>50</v>
      </c>
      <c r="I143" s="5">
        <f t="shared" si="48"/>
        <v>402.74999999999994</v>
      </c>
      <c r="J143" s="5">
        <f>I143-H143</f>
        <v>352.74999999999994</v>
      </c>
      <c r="K143">
        <v>24</v>
      </c>
      <c r="N143" s="119">
        <f>270+100+200</f>
        <v>570</v>
      </c>
      <c r="P143" t="s">
        <v>1260</v>
      </c>
    </row>
    <row r="144" spans="1:17">
      <c r="A144" s="6">
        <v>46155</v>
      </c>
      <c r="B144" s="4">
        <v>10</v>
      </c>
      <c r="C144" s="4">
        <v>34</v>
      </c>
      <c r="D144" s="4">
        <v>45</v>
      </c>
      <c r="E144" s="4">
        <v>1</v>
      </c>
      <c r="F144" s="4">
        <v>50</v>
      </c>
      <c r="G144" s="10">
        <f t="shared" si="49"/>
        <v>10.566666666666666</v>
      </c>
      <c r="H144" s="4">
        <v>50</v>
      </c>
      <c r="I144" s="5">
        <f t="shared" si="48"/>
        <v>475.5</v>
      </c>
      <c r="J144" s="5">
        <f t="shared" ref="J144:J148" si="50">I144-H144</f>
        <v>425.5</v>
      </c>
      <c r="K144">
        <v>22</v>
      </c>
      <c r="N144" s="83">
        <f>198+200</f>
        <v>398</v>
      </c>
      <c r="P144" t="s">
        <v>1261</v>
      </c>
    </row>
    <row r="145" spans="1:17">
      <c r="A145" s="6">
        <v>46156</v>
      </c>
      <c r="B145" s="4">
        <v>10</v>
      </c>
      <c r="C145" s="4">
        <v>27</v>
      </c>
      <c r="D145" s="4">
        <v>45</v>
      </c>
      <c r="E145" s="4">
        <v>1</v>
      </c>
      <c r="F145" s="4">
        <v>50</v>
      </c>
      <c r="G145" s="10">
        <f t="shared" si="49"/>
        <v>10.45</v>
      </c>
      <c r="H145" s="4">
        <f>50+73.5</f>
        <v>123.5</v>
      </c>
      <c r="I145" s="5">
        <f t="shared" si="48"/>
        <v>470.24999999999994</v>
      </c>
      <c r="J145" s="5">
        <f t="shared" si="50"/>
        <v>346.74999999999994</v>
      </c>
      <c r="K145">
        <v>24</v>
      </c>
      <c r="N145" s="119">
        <f>281+150</f>
        <v>431</v>
      </c>
      <c r="P145" t="s">
        <v>1262</v>
      </c>
    </row>
    <row r="146" spans="1:17">
      <c r="A146" s="6">
        <v>46157</v>
      </c>
      <c r="B146" s="4">
        <v>10</v>
      </c>
      <c r="C146" s="4">
        <v>53</v>
      </c>
      <c r="D146" s="4">
        <v>45</v>
      </c>
      <c r="E146" s="4">
        <v>1</v>
      </c>
      <c r="F146" s="4">
        <v>50</v>
      </c>
      <c r="G146" s="10">
        <f t="shared" si="49"/>
        <v>10.883333333333333</v>
      </c>
      <c r="H146" s="4">
        <v>50</v>
      </c>
      <c r="I146" s="5">
        <f t="shared" si="48"/>
        <v>489.75</v>
      </c>
      <c r="J146" s="5">
        <f t="shared" si="50"/>
        <v>439.75</v>
      </c>
      <c r="K146">
        <v>22</v>
      </c>
      <c r="N146" s="119">
        <v>612</v>
      </c>
    </row>
    <row r="147" spans="1:17">
      <c r="A147" s="6">
        <v>46158</v>
      </c>
      <c r="B147" s="4">
        <v>10</v>
      </c>
      <c r="C147" s="4">
        <v>42</v>
      </c>
      <c r="D147" s="4">
        <v>55</v>
      </c>
      <c r="E147" s="4">
        <v>1</v>
      </c>
      <c r="F147" s="4">
        <v>50</v>
      </c>
      <c r="G147" s="10">
        <f t="shared" si="49"/>
        <v>10.7</v>
      </c>
      <c r="H147" s="4">
        <v>50</v>
      </c>
      <c r="I147" s="5">
        <f t="shared" si="48"/>
        <v>588.5</v>
      </c>
      <c r="J147" s="5">
        <f t="shared" si="50"/>
        <v>538.5</v>
      </c>
      <c r="K147">
        <v>28</v>
      </c>
      <c r="N147" s="119">
        <f>231+200+200</f>
        <v>631</v>
      </c>
      <c r="P147" t="s">
        <v>1263</v>
      </c>
    </row>
    <row r="148" spans="1:17">
      <c r="A148" s="6">
        <v>46159</v>
      </c>
      <c r="B148" s="4">
        <v>10</v>
      </c>
      <c r="C148" s="4">
        <v>49</v>
      </c>
      <c r="D148" s="4">
        <v>65</v>
      </c>
      <c r="E148" s="4">
        <v>1</v>
      </c>
      <c r="F148" s="4">
        <v>50</v>
      </c>
      <c r="G148" s="10">
        <f t="shared" si="49"/>
        <v>10.816666666666666</v>
      </c>
      <c r="H148" s="4">
        <v>50</v>
      </c>
      <c r="I148" s="5">
        <f>G148*D148</f>
        <v>703.08333333333337</v>
      </c>
      <c r="J148" s="5">
        <f t="shared" si="50"/>
        <v>653.08333333333337</v>
      </c>
      <c r="K148">
        <v>32</v>
      </c>
      <c r="N148" s="119">
        <f>511+150+200</f>
        <v>861</v>
      </c>
      <c r="P148" t="s">
        <v>1223</v>
      </c>
    </row>
    <row r="149" spans="1:17" ht="19">
      <c r="A149" s="91" t="s">
        <v>528</v>
      </c>
      <c r="B149" s="8">
        <f>SUM(B150:B156)</f>
        <v>42</v>
      </c>
      <c r="C149" s="8">
        <f>SUM(C150:C156)</f>
        <v>182</v>
      </c>
      <c r="D149" s="8">
        <f>SUM(D150)</f>
        <v>45</v>
      </c>
      <c r="E149" s="8">
        <f>SUM(E150:E155)</f>
        <v>5</v>
      </c>
      <c r="F149" s="8">
        <f>SUM(F150:F155)</f>
        <v>300</v>
      </c>
      <c r="G149" s="93">
        <f t="shared" ref="G149" si="51">B149+C149/60</f>
        <v>45.033333333333331</v>
      </c>
      <c r="H149" s="8">
        <f>SUM(H150:H156)</f>
        <v>438.3</v>
      </c>
      <c r="I149" s="9">
        <f>SUM(I150:I156)</f>
        <v>2132.1666666666665</v>
      </c>
      <c r="J149" s="14">
        <f>SUM(J150:J156)</f>
        <v>1693.8666666666666</v>
      </c>
      <c r="K149" s="8">
        <f>SUM(K150:K156)</f>
        <v>114</v>
      </c>
      <c r="L149" s="9">
        <v>0</v>
      </c>
      <c r="M149" s="96">
        <f>J149</f>
        <v>1693.8666666666666</v>
      </c>
      <c r="N149" s="102">
        <f>SUM(N150:N156)</f>
        <v>2306</v>
      </c>
      <c r="O149" s="98">
        <f>2462-N149</f>
        <v>156</v>
      </c>
      <c r="P149" s="86"/>
      <c r="Q149" s="86"/>
    </row>
    <row r="150" spans="1:17">
      <c r="A150" s="6">
        <v>46153</v>
      </c>
      <c r="B150" s="4">
        <v>9</v>
      </c>
      <c r="C150" s="4">
        <v>5</v>
      </c>
      <c r="D150" s="4">
        <v>45</v>
      </c>
      <c r="E150" s="4">
        <v>1</v>
      </c>
      <c r="F150" s="4">
        <v>50</v>
      </c>
      <c r="G150" s="10">
        <f>B150+C150/60</f>
        <v>9.0833333333333339</v>
      </c>
      <c r="H150" s="4">
        <f>50+120.3</f>
        <v>170.3</v>
      </c>
      <c r="I150" s="5">
        <f t="shared" ref="I150:I155" si="52">G150*D150</f>
        <v>408.75</v>
      </c>
      <c r="J150" s="5">
        <f>I150-H150</f>
        <v>238.45</v>
      </c>
      <c r="K150">
        <v>23</v>
      </c>
      <c r="N150" s="119">
        <f>250+300</f>
        <v>550</v>
      </c>
      <c r="O150" s="51"/>
      <c r="P150" t="s">
        <v>1264</v>
      </c>
    </row>
    <row r="151" spans="1:17">
      <c r="A151" s="6">
        <v>46154</v>
      </c>
      <c r="B151" s="4">
        <v>10</v>
      </c>
      <c r="C151" s="4">
        <v>34</v>
      </c>
      <c r="D151" s="4">
        <v>55</v>
      </c>
      <c r="E151" s="4">
        <v>1</v>
      </c>
      <c r="F151" s="4">
        <v>50</v>
      </c>
      <c r="G151" s="10">
        <f t="shared" ref="G151:G162" si="53">B151+C151/60</f>
        <v>10.566666666666666</v>
      </c>
      <c r="H151" s="4">
        <v>50</v>
      </c>
      <c r="I151" s="5">
        <f t="shared" si="52"/>
        <v>581.16666666666663</v>
      </c>
      <c r="J151" s="5">
        <f>I151-H151</f>
        <v>531.16666666666663</v>
      </c>
      <c r="K151">
        <v>30</v>
      </c>
      <c r="N151" s="119">
        <f>260+200+150+228</f>
        <v>838</v>
      </c>
      <c r="P151" t="s">
        <v>1265</v>
      </c>
    </row>
    <row r="152" spans="1:17">
      <c r="A152" s="6">
        <v>46155</v>
      </c>
      <c r="B152" s="4">
        <v>9</v>
      </c>
      <c r="C152" s="4">
        <v>43</v>
      </c>
      <c r="D152" s="4">
        <v>45</v>
      </c>
      <c r="E152" s="4">
        <v>1</v>
      </c>
      <c r="F152" s="4">
        <v>50</v>
      </c>
      <c r="G152" s="10">
        <f t="shared" si="53"/>
        <v>9.7166666666666668</v>
      </c>
      <c r="H152" s="4">
        <v>50</v>
      </c>
      <c r="I152" s="5">
        <f t="shared" si="52"/>
        <v>437.25</v>
      </c>
      <c r="J152" s="5">
        <f t="shared" ref="J152:J156" si="54">I152-H152</f>
        <v>387.25</v>
      </c>
      <c r="K152">
        <v>24</v>
      </c>
      <c r="N152" s="83">
        <f>100+300+140+113</f>
        <v>653</v>
      </c>
      <c r="P152" t="s">
        <v>1266</v>
      </c>
    </row>
    <row r="153" spans="1:17">
      <c r="A153" s="6">
        <v>46156</v>
      </c>
      <c r="B153" s="4">
        <v>9</v>
      </c>
      <c r="C153" s="4">
        <v>51</v>
      </c>
      <c r="D153" s="4">
        <v>45</v>
      </c>
      <c r="E153" s="4">
        <v>1</v>
      </c>
      <c r="F153" s="4">
        <v>50</v>
      </c>
      <c r="G153" s="10">
        <f t="shared" si="53"/>
        <v>9.85</v>
      </c>
      <c r="H153" s="4">
        <v>50</v>
      </c>
      <c r="I153" s="5">
        <f t="shared" si="52"/>
        <v>443.25</v>
      </c>
      <c r="J153" s="5">
        <f t="shared" si="54"/>
        <v>393.25</v>
      </c>
      <c r="K153">
        <v>24</v>
      </c>
      <c r="N153" s="119">
        <f>100+15+150</f>
        <v>265</v>
      </c>
      <c r="P153" t="s">
        <v>1267</v>
      </c>
    </row>
    <row r="154" spans="1:17">
      <c r="A154" s="6">
        <v>46157</v>
      </c>
      <c r="B154" s="4"/>
      <c r="C154" s="4"/>
      <c r="D154" s="4">
        <v>45</v>
      </c>
      <c r="E154" s="4">
        <v>0</v>
      </c>
      <c r="F154" s="4">
        <v>50</v>
      </c>
      <c r="G154" s="10">
        <f t="shared" si="53"/>
        <v>0</v>
      </c>
      <c r="H154" s="4"/>
      <c r="I154" s="5">
        <f t="shared" si="52"/>
        <v>0</v>
      </c>
      <c r="J154" s="5">
        <f t="shared" si="54"/>
        <v>0</v>
      </c>
      <c r="N154" s="119">
        <v>0</v>
      </c>
    </row>
    <row r="155" spans="1:17">
      <c r="A155" s="6">
        <v>46158</v>
      </c>
      <c r="B155" s="4">
        <v>5</v>
      </c>
      <c r="C155" s="4">
        <v>49</v>
      </c>
      <c r="D155" s="4">
        <v>45</v>
      </c>
      <c r="E155" s="4">
        <v>1</v>
      </c>
      <c r="F155" s="4">
        <v>50</v>
      </c>
      <c r="G155" s="10">
        <f t="shared" si="53"/>
        <v>5.8166666666666664</v>
      </c>
      <c r="H155" s="4">
        <f>50+68</f>
        <v>118</v>
      </c>
      <c r="I155" s="5">
        <f t="shared" si="52"/>
        <v>261.75</v>
      </c>
      <c r="J155" s="5">
        <f t="shared" si="54"/>
        <v>143.75</v>
      </c>
      <c r="K155">
        <v>13</v>
      </c>
      <c r="N155" s="119">
        <v>0</v>
      </c>
      <c r="P155" t="s">
        <v>1268</v>
      </c>
    </row>
    <row r="156" spans="1:17">
      <c r="A156" s="6">
        <v>46159</v>
      </c>
      <c r="B156" s="4">
        <v>0</v>
      </c>
      <c r="C156" s="4">
        <v>0</v>
      </c>
      <c r="D156" s="4">
        <v>45</v>
      </c>
      <c r="E156" s="4">
        <v>0</v>
      </c>
      <c r="F156" s="4">
        <v>50</v>
      </c>
      <c r="G156" s="10">
        <f t="shared" si="53"/>
        <v>0</v>
      </c>
      <c r="H156" s="4"/>
      <c r="I156" s="5">
        <f>G156*D156</f>
        <v>0</v>
      </c>
      <c r="J156" s="5">
        <f t="shared" si="54"/>
        <v>0</v>
      </c>
      <c r="N156" s="119">
        <v>0</v>
      </c>
    </row>
    <row r="157" spans="1:17" ht="19">
      <c r="A157" s="91" t="s">
        <v>1118</v>
      </c>
      <c r="B157" s="8">
        <f>SUM(B158:B164)</f>
        <v>17</v>
      </c>
      <c r="C157" s="8">
        <f>SUM(C158:C164)</f>
        <v>36</v>
      </c>
      <c r="D157" s="126">
        <f>SUM(D158)</f>
        <v>45</v>
      </c>
      <c r="E157" s="126">
        <f>SUM(E158:E164)</f>
        <v>2</v>
      </c>
      <c r="F157" s="126">
        <f>SUM(F158:F164)</f>
        <v>350</v>
      </c>
      <c r="G157" s="123">
        <f t="shared" si="53"/>
        <v>17.600000000000001</v>
      </c>
      <c r="H157" s="8">
        <f>SUM(H158:H164)</f>
        <v>100</v>
      </c>
      <c r="I157" s="14">
        <f>SUM(I158:I164)</f>
        <v>792.00000000000011</v>
      </c>
      <c r="J157" s="14">
        <f>SUM(J158:J164)</f>
        <v>692.00000000000011</v>
      </c>
      <c r="K157" s="176">
        <f>SUM(K158:K164)</f>
        <v>42</v>
      </c>
      <c r="L157" s="9">
        <v>0</v>
      </c>
      <c r="M157" s="96">
        <f>J157</f>
        <v>692.00000000000011</v>
      </c>
      <c r="N157" s="102">
        <f>SUM(N158:N164)</f>
        <v>614</v>
      </c>
      <c r="O157" s="98">
        <f>904-N157</f>
        <v>290</v>
      </c>
      <c r="P157" s="86"/>
      <c r="Q157" s="86"/>
    </row>
    <row r="158" spans="1:17">
      <c r="A158" s="80" t="s">
        <v>1193</v>
      </c>
      <c r="B158" s="4">
        <v>9</v>
      </c>
      <c r="C158" s="4">
        <v>3</v>
      </c>
      <c r="D158" s="4">
        <v>45</v>
      </c>
      <c r="E158" s="4">
        <v>1</v>
      </c>
      <c r="F158" s="4">
        <v>50</v>
      </c>
      <c r="G158" s="10">
        <f t="shared" si="53"/>
        <v>9.0500000000000007</v>
      </c>
      <c r="H158" s="4">
        <v>50</v>
      </c>
      <c r="I158" s="5">
        <f t="shared" ref="I158:I160" si="55">G158*D158</f>
        <v>407.25000000000006</v>
      </c>
      <c r="J158" s="5">
        <f t="shared" ref="J158:J162" si="56">I158-H158</f>
        <v>357.25000000000006</v>
      </c>
      <c r="K158">
        <v>23</v>
      </c>
      <c r="N158" s="51">
        <f>243+150</f>
        <v>393</v>
      </c>
      <c r="O158" s="51"/>
      <c r="P158" t="s">
        <v>1128</v>
      </c>
    </row>
    <row r="159" spans="1:17">
      <c r="A159" s="80" t="s">
        <v>1194</v>
      </c>
      <c r="B159" s="4">
        <v>8</v>
      </c>
      <c r="C159" s="4">
        <v>33</v>
      </c>
      <c r="D159" s="4">
        <v>45</v>
      </c>
      <c r="E159" s="4">
        <v>1</v>
      </c>
      <c r="F159" s="4">
        <v>50</v>
      </c>
      <c r="G159" s="10">
        <f t="shared" si="53"/>
        <v>8.5500000000000007</v>
      </c>
      <c r="H159" s="4">
        <v>50</v>
      </c>
      <c r="I159" s="5">
        <f t="shared" si="55"/>
        <v>384.75000000000006</v>
      </c>
      <c r="J159" s="5">
        <f t="shared" si="56"/>
        <v>334.75000000000006</v>
      </c>
      <c r="K159">
        <v>19</v>
      </c>
      <c r="N159" s="51">
        <v>221</v>
      </c>
      <c r="P159" t="s">
        <v>1269</v>
      </c>
    </row>
    <row r="160" spans="1:17">
      <c r="A160" s="80" t="s">
        <v>1196</v>
      </c>
      <c r="B160" s="4"/>
      <c r="C160" s="4"/>
      <c r="D160" s="4">
        <v>45</v>
      </c>
      <c r="E160" s="4">
        <v>0</v>
      </c>
      <c r="F160" s="4">
        <v>50</v>
      </c>
      <c r="G160" s="10">
        <f t="shared" si="53"/>
        <v>0</v>
      </c>
      <c r="H160" s="4"/>
      <c r="I160" s="5">
        <f t="shared" si="55"/>
        <v>0</v>
      </c>
      <c r="J160" s="5">
        <f t="shared" si="56"/>
        <v>0</v>
      </c>
      <c r="N160" s="51">
        <v>0</v>
      </c>
    </row>
    <row r="161" spans="1:17">
      <c r="A161" s="80" t="s">
        <v>1198</v>
      </c>
      <c r="B161" s="4"/>
      <c r="C161" s="4"/>
      <c r="D161" s="4">
        <v>45</v>
      </c>
      <c r="E161" s="4">
        <v>0</v>
      </c>
      <c r="F161" s="4">
        <v>50</v>
      </c>
      <c r="G161" s="10">
        <f t="shared" si="53"/>
        <v>0</v>
      </c>
      <c r="H161" s="4"/>
      <c r="I161" s="5">
        <f>G161*D161</f>
        <v>0</v>
      </c>
      <c r="J161" s="5">
        <f t="shared" si="56"/>
        <v>0</v>
      </c>
      <c r="N161" s="51">
        <v>0</v>
      </c>
    </row>
    <row r="162" spans="1:17">
      <c r="A162" s="80" t="s">
        <v>1200</v>
      </c>
      <c r="B162" s="4"/>
      <c r="C162" s="4"/>
      <c r="D162" s="4">
        <v>45</v>
      </c>
      <c r="E162" s="4">
        <v>0</v>
      </c>
      <c r="F162" s="4">
        <v>50</v>
      </c>
      <c r="G162" s="10">
        <f t="shared" si="53"/>
        <v>0</v>
      </c>
      <c r="H162" s="4"/>
      <c r="I162" s="5">
        <f t="shared" ref="I162" si="57">G162*D162</f>
        <v>0</v>
      </c>
      <c r="J162" s="5">
        <f t="shared" si="56"/>
        <v>0</v>
      </c>
      <c r="N162" s="51">
        <v>0</v>
      </c>
    </row>
    <row r="163" spans="1:17">
      <c r="A163" s="80" t="s">
        <v>1202</v>
      </c>
      <c r="B163" s="4"/>
      <c r="C163" s="4"/>
      <c r="D163" s="4">
        <v>45</v>
      </c>
      <c r="E163" s="4">
        <v>0</v>
      </c>
      <c r="F163" s="4">
        <v>50</v>
      </c>
      <c r="G163" s="10">
        <f>B163+C163/60</f>
        <v>0</v>
      </c>
      <c r="H163" s="4"/>
      <c r="I163" s="5">
        <f>G163*D163</f>
        <v>0</v>
      </c>
      <c r="J163" s="5">
        <f>I163-H163</f>
        <v>0</v>
      </c>
      <c r="N163" s="51">
        <v>0</v>
      </c>
    </row>
    <row r="164" spans="1:17">
      <c r="A164" s="80" t="s">
        <v>1213</v>
      </c>
      <c r="B164" s="4"/>
      <c r="C164" s="4"/>
      <c r="D164" s="4">
        <v>45</v>
      </c>
      <c r="E164" s="4">
        <v>0</v>
      </c>
      <c r="F164" s="4">
        <v>50</v>
      </c>
      <c r="G164" s="10">
        <f>B164+C164/60</f>
        <v>0</v>
      </c>
      <c r="H164" s="4"/>
      <c r="I164" s="5">
        <f>G164*D164</f>
        <v>0</v>
      </c>
      <c r="J164" s="5">
        <f>I164-H164</f>
        <v>0</v>
      </c>
      <c r="N164" s="51" t="s">
        <v>774</v>
      </c>
    </row>
    <row r="165" spans="1:17" ht="19">
      <c r="A165" s="91" t="s">
        <v>1121</v>
      </c>
      <c r="B165" s="8">
        <f>SUM(B166:B172)</f>
        <v>38</v>
      </c>
      <c r="C165" s="8">
        <f>SUM(C166:C172)</f>
        <v>188</v>
      </c>
      <c r="D165" s="126">
        <f>SUM(D166)</f>
        <v>45</v>
      </c>
      <c r="E165" s="126">
        <f>SUM(E166:E172)</f>
        <v>4</v>
      </c>
      <c r="F165" s="126">
        <f>SUM(F166:F172)</f>
        <v>350</v>
      </c>
      <c r="G165" s="123">
        <f>B165+C165/60</f>
        <v>41.133333333333333</v>
      </c>
      <c r="H165" s="8">
        <f>SUM(H166:H172)</f>
        <v>200</v>
      </c>
      <c r="I165" s="14">
        <f>SUM(I166:I172)</f>
        <v>2358.5</v>
      </c>
      <c r="J165" s="14">
        <f>SUM(J166:J172)</f>
        <v>2158.5</v>
      </c>
      <c r="K165" s="8">
        <f>SUM(K166:K172)</f>
        <v>130</v>
      </c>
      <c r="L165" s="9">
        <v>0</v>
      </c>
      <c r="M165" s="96">
        <f>J165</f>
        <v>2158.5</v>
      </c>
      <c r="N165" s="102">
        <f>SUM(N166:N172)</f>
        <v>2988</v>
      </c>
      <c r="O165" s="98">
        <f>2988-N165</f>
        <v>0</v>
      </c>
      <c r="P165" s="86"/>
      <c r="Q165" s="86"/>
    </row>
    <row r="166" spans="1:17">
      <c r="A166" s="80" t="s">
        <v>1072</v>
      </c>
      <c r="B166" s="4">
        <v>0</v>
      </c>
      <c r="C166" s="4">
        <v>0</v>
      </c>
      <c r="D166" s="4">
        <v>45</v>
      </c>
      <c r="E166" s="4">
        <v>0</v>
      </c>
      <c r="F166" s="4">
        <v>50</v>
      </c>
      <c r="G166" s="10">
        <f t="shared" ref="G166:G178" si="58">B166+C166/60</f>
        <v>0</v>
      </c>
      <c r="H166" s="4">
        <v>0</v>
      </c>
      <c r="I166" s="5">
        <f t="shared" ref="I166:I168" si="59">G166*D166</f>
        <v>0</v>
      </c>
      <c r="J166" s="5">
        <f t="shared" ref="J166:J172" si="60">I166-H166</f>
        <v>0</v>
      </c>
      <c r="K166">
        <v>0</v>
      </c>
      <c r="N166" s="51">
        <v>0</v>
      </c>
      <c r="O166" s="51"/>
    </row>
    <row r="167" spans="1:17">
      <c r="A167" s="80" t="s">
        <v>1193</v>
      </c>
      <c r="B167" s="4">
        <v>0</v>
      </c>
      <c r="C167" s="4">
        <v>0</v>
      </c>
      <c r="D167" s="4">
        <v>45</v>
      </c>
      <c r="E167" s="4">
        <v>0</v>
      </c>
      <c r="F167" s="4">
        <v>50</v>
      </c>
      <c r="G167" s="10">
        <f t="shared" si="58"/>
        <v>0</v>
      </c>
      <c r="H167" s="4">
        <v>0</v>
      </c>
      <c r="I167" s="5">
        <f t="shared" si="59"/>
        <v>0</v>
      </c>
      <c r="J167" s="5">
        <f t="shared" si="60"/>
        <v>0</v>
      </c>
      <c r="K167">
        <v>0</v>
      </c>
      <c r="N167" s="51">
        <v>0</v>
      </c>
    </row>
    <row r="168" spans="1:17">
      <c r="A168" s="80" t="s">
        <v>1194</v>
      </c>
      <c r="B168" s="4">
        <v>10</v>
      </c>
      <c r="C168" s="4">
        <v>40</v>
      </c>
      <c r="D168" s="4">
        <v>55</v>
      </c>
      <c r="E168" s="4">
        <v>1</v>
      </c>
      <c r="F168" s="4">
        <v>50</v>
      </c>
      <c r="G168" s="10">
        <f t="shared" si="58"/>
        <v>10.666666666666666</v>
      </c>
      <c r="H168" s="4">
        <v>50</v>
      </c>
      <c r="I168" s="5">
        <f t="shared" si="59"/>
        <v>586.66666666666663</v>
      </c>
      <c r="J168" s="5">
        <f t="shared" si="60"/>
        <v>536.66666666666663</v>
      </c>
      <c r="K168">
        <v>28</v>
      </c>
      <c r="N168" s="51">
        <v>820</v>
      </c>
      <c r="P168" t="s">
        <v>1078</v>
      </c>
    </row>
    <row r="169" spans="1:17">
      <c r="A169" s="80" t="s">
        <v>1196</v>
      </c>
      <c r="B169" s="4">
        <v>10</v>
      </c>
      <c r="C169" s="4">
        <v>56</v>
      </c>
      <c r="D169" s="4">
        <v>55</v>
      </c>
      <c r="E169" s="4">
        <v>1</v>
      </c>
      <c r="F169" s="4">
        <v>50</v>
      </c>
      <c r="G169" s="10">
        <f t="shared" si="58"/>
        <v>10.933333333333334</v>
      </c>
      <c r="H169" s="4">
        <v>50</v>
      </c>
      <c r="I169" s="5">
        <f>G169*D169</f>
        <v>601.33333333333337</v>
      </c>
      <c r="J169" s="5">
        <f t="shared" si="60"/>
        <v>551.33333333333337</v>
      </c>
      <c r="K169">
        <v>34</v>
      </c>
      <c r="N169" s="51">
        <v>755</v>
      </c>
    </row>
    <row r="170" spans="1:17">
      <c r="A170" s="80" t="s">
        <v>1198</v>
      </c>
      <c r="B170" s="4">
        <v>9</v>
      </c>
      <c r="C170" s="4">
        <v>55</v>
      </c>
      <c r="D170" s="4">
        <v>55</v>
      </c>
      <c r="E170" s="4">
        <v>1</v>
      </c>
      <c r="F170" s="4">
        <v>50</v>
      </c>
      <c r="G170" s="10">
        <f t="shared" si="58"/>
        <v>9.9166666666666661</v>
      </c>
      <c r="H170" s="4">
        <v>50</v>
      </c>
      <c r="I170" s="5">
        <f t="shared" ref="I170:I172" si="61">G170*D170</f>
        <v>545.41666666666663</v>
      </c>
      <c r="J170" s="5">
        <f t="shared" si="60"/>
        <v>495.41666666666663</v>
      </c>
      <c r="K170">
        <v>31</v>
      </c>
      <c r="N170" s="51">
        <f>530+150</f>
        <v>680</v>
      </c>
      <c r="P170" t="s">
        <v>1270</v>
      </c>
    </row>
    <row r="171" spans="1:17">
      <c r="A171" s="80" t="s">
        <v>1200</v>
      </c>
      <c r="B171" s="4">
        <v>9</v>
      </c>
      <c r="C171" s="4">
        <v>37</v>
      </c>
      <c r="D171" s="4">
        <v>65</v>
      </c>
      <c r="E171" s="4">
        <v>1</v>
      </c>
      <c r="F171" s="4">
        <v>50</v>
      </c>
      <c r="G171" s="10">
        <f t="shared" si="58"/>
        <v>9.6166666666666671</v>
      </c>
      <c r="H171" s="4">
        <v>50</v>
      </c>
      <c r="I171" s="5">
        <f t="shared" si="61"/>
        <v>625.08333333333337</v>
      </c>
      <c r="J171" s="5">
        <f t="shared" si="60"/>
        <v>575.08333333333337</v>
      </c>
      <c r="K171">
        <v>37</v>
      </c>
      <c r="N171" s="51">
        <v>733</v>
      </c>
      <c r="P171" t="s">
        <v>1271</v>
      </c>
    </row>
    <row r="172" spans="1:17">
      <c r="A172" s="80" t="s">
        <v>1202</v>
      </c>
      <c r="B172" s="4"/>
      <c r="C172" s="4"/>
      <c r="D172" s="4">
        <v>55</v>
      </c>
      <c r="E172" s="4">
        <v>0</v>
      </c>
      <c r="F172" s="4">
        <v>50</v>
      </c>
      <c r="G172" s="10">
        <f t="shared" si="58"/>
        <v>0</v>
      </c>
      <c r="H172" s="4"/>
      <c r="I172" s="5">
        <f t="shared" si="61"/>
        <v>0</v>
      </c>
      <c r="J172" s="5">
        <f t="shared" si="60"/>
        <v>0</v>
      </c>
      <c r="N172" s="51">
        <v>0</v>
      </c>
    </row>
    <row r="173" spans="1:17" ht="19">
      <c r="A173" s="91" t="s">
        <v>1124</v>
      </c>
      <c r="B173" s="8">
        <f>SUM(B174:B180)</f>
        <v>51</v>
      </c>
      <c r="C173" s="8">
        <f t="shared" ref="C173" si="62">SUM(C174:C180)</f>
        <v>187</v>
      </c>
      <c r="D173" s="126">
        <f>SUM(D174)</f>
        <v>45</v>
      </c>
      <c r="E173" s="126">
        <f t="shared" ref="E173:F173" si="63">SUM(E174:E180)</f>
        <v>6</v>
      </c>
      <c r="F173" s="126">
        <f t="shared" si="63"/>
        <v>350</v>
      </c>
      <c r="G173" s="123">
        <f t="shared" si="58"/>
        <v>54.116666666666667</v>
      </c>
      <c r="H173" s="8">
        <f>SUM(H174:H180)</f>
        <v>425</v>
      </c>
      <c r="I173" s="14">
        <f>SUM(I174:I180)</f>
        <v>2917.25</v>
      </c>
      <c r="J173" s="14">
        <f>SUM(J174:J180)</f>
        <v>2492.25</v>
      </c>
      <c r="K173" s="8">
        <f>SUM(K174:K180)</f>
        <v>162</v>
      </c>
      <c r="L173" s="9">
        <v>0</v>
      </c>
      <c r="M173" s="96">
        <f>J173</f>
        <v>2492.25</v>
      </c>
      <c r="N173" s="102">
        <f>SUM(N174:N180)</f>
        <v>4410</v>
      </c>
      <c r="O173" s="98">
        <f>4462-N173</f>
        <v>52</v>
      </c>
      <c r="P173" s="86"/>
      <c r="Q173" s="86"/>
    </row>
    <row r="174" spans="1:17">
      <c r="A174" s="80" t="s">
        <v>1072</v>
      </c>
      <c r="B174" s="4">
        <v>0</v>
      </c>
      <c r="C174" s="4">
        <v>0</v>
      </c>
      <c r="D174" s="4">
        <v>45</v>
      </c>
      <c r="E174" s="4">
        <v>0</v>
      </c>
      <c r="F174" s="4">
        <v>50</v>
      </c>
      <c r="G174" s="10">
        <f t="shared" si="58"/>
        <v>0</v>
      </c>
      <c r="H174" s="4">
        <v>0</v>
      </c>
      <c r="I174" s="5">
        <f t="shared" ref="I174:I176" si="64">G174*D174</f>
        <v>0</v>
      </c>
      <c r="J174" s="5">
        <f t="shared" ref="J174:J178" si="65">I174-H174</f>
        <v>0</v>
      </c>
      <c r="K174">
        <v>0</v>
      </c>
      <c r="N174" s="51">
        <v>0</v>
      </c>
      <c r="O174" s="51"/>
    </row>
    <row r="175" spans="1:17">
      <c r="A175" s="80" t="s">
        <v>1193</v>
      </c>
      <c r="B175" s="4">
        <v>8</v>
      </c>
      <c r="C175" s="4">
        <v>2</v>
      </c>
      <c r="D175" s="4">
        <v>45</v>
      </c>
      <c r="E175" s="4">
        <v>1</v>
      </c>
      <c r="F175" s="4">
        <v>50</v>
      </c>
      <c r="G175" s="10">
        <f t="shared" si="58"/>
        <v>8.0333333333333332</v>
      </c>
      <c r="H175" s="4">
        <f>50</f>
        <v>50</v>
      </c>
      <c r="I175" s="5">
        <f t="shared" si="64"/>
        <v>361.5</v>
      </c>
      <c r="J175" s="5">
        <f t="shared" si="65"/>
        <v>311.5</v>
      </c>
      <c r="K175">
        <v>22</v>
      </c>
      <c r="N175" s="51">
        <f>772</f>
        <v>772</v>
      </c>
      <c r="P175" t="s">
        <v>1272</v>
      </c>
    </row>
    <row r="176" spans="1:17">
      <c r="A176" s="80" t="s">
        <v>1194</v>
      </c>
      <c r="B176" s="4">
        <v>9</v>
      </c>
      <c r="C176" s="4">
        <v>18</v>
      </c>
      <c r="D176" s="4">
        <v>45</v>
      </c>
      <c r="E176" s="4">
        <v>1</v>
      </c>
      <c r="F176" s="4">
        <v>50</v>
      </c>
      <c r="G176" s="10">
        <f t="shared" si="58"/>
        <v>9.3000000000000007</v>
      </c>
      <c r="H176" s="4">
        <v>50</v>
      </c>
      <c r="I176" s="5">
        <f t="shared" si="64"/>
        <v>418.50000000000006</v>
      </c>
      <c r="J176" s="5">
        <f t="shared" si="65"/>
        <v>368.50000000000006</v>
      </c>
      <c r="K176">
        <v>21</v>
      </c>
      <c r="N176" s="51">
        <f>444+200</f>
        <v>644</v>
      </c>
      <c r="P176" t="s">
        <v>1273</v>
      </c>
    </row>
    <row r="177" spans="1:17">
      <c r="A177" s="80" t="s">
        <v>1196</v>
      </c>
      <c r="B177" s="4">
        <v>7</v>
      </c>
      <c r="C177" s="4">
        <v>52</v>
      </c>
      <c r="D177" s="4">
        <v>45</v>
      </c>
      <c r="E177" s="4">
        <v>1</v>
      </c>
      <c r="F177" s="4">
        <v>50</v>
      </c>
      <c r="G177" s="10">
        <f t="shared" si="58"/>
        <v>7.8666666666666671</v>
      </c>
      <c r="H177" s="4">
        <v>50</v>
      </c>
      <c r="I177" s="5">
        <f>G177*D177</f>
        <v>354</v>
      </c>
      <c r="J177" s="5">
        <f t="shared" si="65"/>
        <v>304</v>
      </c>
      <c r="K177">
        <v>24</v>
      </c>
      <c r="N177" s="51">
        <v>621</v>
      </c>
      <c r="P177" t="s">
        <v>1274</v>
      </c>
    </row>
    <row r="178" spans="1:17">
      <c r="A178" s="80" t="s">
        <v>1198</v>
      </c>
      <c r="B178" s="4">
        <v>9</v>
      </c>
      <c r="C178" s="4">
        <v>38</v>
      </c>
      <c r="D178" s="4">
        <v>55</v>
      </c>
      <c r="E178" s="4">
        <v>1</v>
      </c>
      <c r="F178" s="4">
        <v>50</v>
      </c>
      <c r="G178" s="10">
        <f t="shared" si="58"/>
        <v>9.6333333333333329</v>
      </c>
      <c r="H178" s="4">
        <f>55.5+50</f>
        <v>105.5</v>
      </c>
      <c r="I178" s="5">
        <f t="shared" ref="I178" si="66">G178*D178</f>
        <v>529.83333333333326</v>
      </c>
      <c r="J178" s="5">
        <f t="shared" si="65"/>
        <v>424.33333333333326</v>
      </c>
      <c r="K178">
        <v>27</v>
      </c>
      <c r="N178" s="51">
        <f>593+50</f>
        <v>643</v>
      </c>
      <c r="P178" t="s">
        <v>1275</v>
      </c>
    </row>
    <row r="179" spans="1:17">
      <c r="A179" s="80" t="s">
        <v>1200</v>
      </c>
      <c r="B179" s="4">
        <v>8</v>
      </c>
      <c r="C179" s="4">
        <v>31</v>
      </c>
      <c r="D179" s="4">
        <v>65</v>
      </c>
      <c r="E179" s="4">
        <v>1</v>
      </c>
      <c r="F179" s="4">
        <v>50</v>
      </c>
      <c r="G179" s="10">
        <f>B179+C179/60</f>
        <v>8.5166666666666675</v>
      </c>
      <c r="H179" s="4">
        <f>50+69.5</f>
        <v>119.5</v>
      </c>
      <c r="I179" s="5">
        <f>G179*D179</f>
        <v>553.58333333333337</v>
      </c>
      <c r="J179" s="5">
        <f>I179-H179</f>
        <v>434.08333333333337</v>
      </c>
      <c r="K179">
        <v>34</v>
      </c>
      <c r="N179" s="51">
        <v>684</v>
      </c>
      <c r="P179" t="s">
        <v>1276</v>
      </c>
    </row>
    <row r="180" spans="1:17">
      <c r="A180" s="80" t="s">
        <v>1202</v>
      </c>
      <c r="B180" s="4">
        <v>10</v>
      </c>
      <c r="C180" s="4">
        <v>46</v>
      </c>
      <c r="D180" s="4">
        <v>65</v>
      </c>
      <c r="E180" s="4">
        <v>1</v>
      </c>
      <c r="F180" s="4">
        <v>50</v>
      </c>
      <c r="G180" s="10">
        <f t="shared" ref="G180:G233" si="67">B180+C180/60</f>
        <v>10.766666666666667</v>
      </c>
      <c r="H180" s="4">
        <v>50</v>
      </c>
      <c r="I180" s="5">
        <f t="shared" ref="I180" si="68">G180*D180</f>
        <v>699.83333333333337</v>
      </c>
      <c r="J180" s="5">
        <f t="shared" ref="J180" si="69">I180-H180</f>
        <v>649.83333333333337</v>
      </c>
      <c r="K180">
        <v>34</v>
      </c>
      <c r="N180" s="51">
        <f>746+300</f>
        <v>1046</v>
      </c>
      <c r="P180" t="s">
        <v>1277</v>
      </c>
    </row>
    <row r="181" spans="1:17" ht="19">
      <c r="A181" s="91" t="s">
        <v>1278</v>
      </c>
      <c r="B181" s="8">
        <f>SUM(B182:B188)</f>
        <v>0</v>
      </c>
      <c r="C181" s="8">
        <f>SUM(C182:C188)</f>
        <v>0</v>
      </c>
      <c r="D181" s="126">
        <f>SUM(D182)</f>
        <v>45</v>
      </c>
      <c r="E181" s="126">
        <f>SUM(E182:E188)</f>
        <v>1</v>
      </c>
      <c r="F181" s="126">
        <f>SUM(F182:F188)</f>
        <v>300</v>
      </c>
      <c r="G181" s="123">
        <f t="shared" ref="G181:G186" si="70">B181+C181/60</f>
        <v>0</v>
      </c>
      <c r="H181" s="8">
        <f>SUM(H182:H188)</f>
        <v>0</v>
      </c>
      <c r="I181" s="14">
        <f>SUM(I182:I188)</f>
        <v>0</v>
      </c>
      <c r="J181" s="14">
        <f>SUM(J182:J188)</f>
        <v>0</v>
      </c>
      <c r="K181" s="8">
        <f>SUM(K182:K188)</f>
        <v>0</v>
      </c>
      <c r="L181" s="9">
        <v>0</v>
      </c>
      <c r="M181" s="96">
        <f>J181</f>
        <v>0</v>
      </c>
      <c r="N181" s="102">
        <f>SUM(N182:N188)</f>
        <v>0</v>
      </c>
      <c r="O181" s="98">
        <f>-N181</f>
        <v>0</v>
      </c>
      <c r="P181" s="86"/>
      <c r="Q181" s="86"/>
    </row>
    <row r="182" spans="1:17">
      <c r="A182" s="80" t="s">
        <v>1072</v>
      </c>
      <c r="B182" s="4">
        <v>0</v>
      </c>
      <c r="C182" s="4">
        <v>0</v>
      </c>
      <c r="D182" s="4">
        <v>45</v>
      </c>
      <c r="E182" s="4">
        <v>0</v>
      </c>
      <c r="F182" s="4">
        <v>50</v>
      </c>
      <c r="G182" s="10">
        <f t="shared" si="70"/>
        <v>0</v>
      </c>
      <c r="H182" s="4">
        <v>0</v>
      </c>
      <c r="I182" s="5">
        <f>G182*D182</f>
        <v>0</v>
      </c>
      <c r="J182" s="5">
        <f>I182-H182</f>
        <v>0</v>
      </c>
      <c r="K182">
        <v>0</v>
      </c>
      <c r="N182" s="51">
        <v>0</v>
      </c>
      <c r="O182" s="51"/>
    </row>
    <row r="183" spans="1:17">
      <c r="A183" s="80" t="s">
        <v>1193</v>
      </c>
      <c r="B183" s="4">
        <v>0</v>
      </c>
      <c r="C183" s="4">
        <v>0</v>
      </c>
      <c r="D183" s="4">
        <v>45</v>
      </c>
      <c r="E183" s="4">
        <v>0</v>
      </c>
      <c r="F183" s="4">
        <v>50</v>
      </c>
      <c r="G183" s="10">
        <f t="shared" si="70"/>
        <v>0</v>
      </c>
      <c r="H183" s="4">
        <v>0</v>
      </c>
      <c r="I183" s="5">
        <f>G183*D183</f>
        <v>0</v>
      </c>
      <c r="J183" s="5">
        <f>I183-H183</f>
        <v>0</v>
      </c>
      <c r="K183">
        <v>0</v>
      </c>
      <c r="N183" s="51">
        <v>0</v>
      </c>
    </row>
    <row r="184" spans="1:17">
      <c r="A184" s="80" t="s">
        <v>1194</v>
      </c>
      <c r="B184" s="4">
        <v>0</v>
      </c>
      <c r="C184" s="4">
        <v>0</v>
      </c>
      <c r="D184" s="4">
        <v>45</v>
      </c>
      <c r="E184" s="4">
        <v>0</v>
      </c>
      <c r="F184" s="4">
        <v>50</v>
      </c>
      <c r="G184" s="10">
        <f t="shared" si="70"/>
        <v>0</v>
      </c>
      <c r="H184" s="4">
        <v>0</v>
      </c>
      <c r="I184" s="5">
        <f>G184*D184</f>
        <v>0</v>
      </c>
      <c r="J184" s="5">
        <f>I184-H184</f>
        <v>0</v>
      </c>
      <c r="K184">
        <v>0</v>
      </c>
      <c r="N184" s="51">
        <v>0</v>
      </c>
    </row>
    <row r="185" spans="1:17">
      <c r="A185" s="80" t="s">
        <v>1196</v>
      </c>
      <c r="B185" s="4">
        <v>0</v>
      </c>
      <c r="C185" s="4">
        <v>0</v>
      </c>
      <c r="D185" s="4">
        <v>45</v>
      </c>
      <c r="E185" s="4">
        <v>1</v>
      </c>
      <c r="F185" s="4">
        <v>50</v>
      </c>
      <c r="G185" s="10">
        <f t="shared" si="70"/>
        <v>0</v>
      </c>
      <c r="H185" s="4"/>
      <c r="I185" s="5">
        <f>G185*D185</f>
        <v>0</v>
      </c>
      <c r="J185" s="5">
        <f>I185-H185</f>
        <v>0</v>
      </c>
      <c r="N185" s="51">
        <v>0</v>
      </c>
    </row>
    <row r="186" spans="1:17">
      <c r="A186" s="80" t="s">
        <v>1198</v>
      </c>
      <c r="B186" s="4">
        <v>0</v>
      </c>
      <c r="C186" s="4">
        <v>0</v>
      </c>
      <c r="D186" s="4">
        <v>45</v>
      </c>
      <c r="E186" s="4">
        <v>0</v>
      </c>
      <c r="F186" s="4">
        <v>50</v>
      </c>
      <c r="G186" s="10">
        <f t="shared" si="70"/>
        <v>0</v>
      </c>
      <c r="H186" s="4"/>
      <c r="I186" s="5">
        <f>G186*D186</f>
        <v>0</v>
      </c>
      <c r="J186" s="5">
        <f>I186-H186</f>
        <v>0</v>
      </c>
      <c r="N186" s="51">
        <v>0</v>
      </c>
    </row>
    <row r="187" spans="1:17">
      <c r="A187" s="80" t="s">
        <v>1200</v>
      </c>
      <c r="B187" s="4">
        <v>0</v>
      </c>
      <c r="C187" s="4">
        <v>0</v>
      </c>
      <c r="D187" s="12">
        <v>45</v>
      </c>
      <c r="E187" s="12">
        <v>0</v>
      </c>
      <c r="F187" s="12">
        <v>50</v>
      </c>
      <c r="G187" s="10">
        <v>0</v>
      </c>
      <c r="H187" s="4"/>
      <c r="I187" s="5">
        <v>0</v>
      </c>
      <c r="J187" s="5">
        <v>0</v>
      </c>
      <c r="N187" s="51">
        <v>0</v>
      </c>
    </row>
    <row r="188" spans="1:17">
      <c r="A188" s="80" t="s">
        <v>1202</v>
      </c>
      <c r="B188" s="4">
        <v>0</v>
      </c>
      <c r="C188" s="4">
        <v>0</v>
      </c>
      <c r="D188" s="167"/>
      <c r="E188" s="167"/>
      <c r="F188" s="167"/>
      <c r="G188" s="174"/>
      <c r="H188" s="4"/>
      <c r="I188" s="5"/>
      <c r="J188" s="5"/>
      <c r="N188" s="51">
        <v>0</v>
      </c>
    </row>
    <row r="189" spans="1:17" ht="19">
      <c r="A189" s="91" t="s">
        <v>1279</v>
      </c>
      <c r="B189" s="8">
        <f>SUM(B190:B196)</f>
        <v>17</v>
      </c>
      <c r="C189" s="8">
        <f>SUM(C190:C196)</f>
        <v>67</v>
      </c>
      <c r="D189" s="126">
        <f>SUM(D190)</f>
        <v>45</v>
      </c>
      <c r="E189" s="126">
        <f>SUM(E190:E196)</f>
        <v>2</v>
      </c>
      <c r="F189" s="126">
        <f>SUM(F190:F196)</f>
        <v>300</v>
      </c>
      <c r="G189" s="123">
        <f t="shared" ref="G189:G194" si="71">B189+C189/60</f>
        <v>18.116666666666667</v>
      </c>
      <c r="H189" s="8">
        <f>SUM(H190:H196)</f>
        <v>292</v>
      </c>
      <c r="I189" s="14">
        <f>SUM(I190:I196)</f>
        <v>919.08333333333326</v>
      </c>
      <c r="J189" s="14">
        <f>SUM(J190:J196)</f>
        <v>627.08333333333326</v>
      </c>
      <c r="K189" s="8">
        <f>SUM(K190:K196)</f>
        <v>50</v>
      </c>
      <c r="L189" s="9">
        <v>0</v>
      </c>
      <c r="M189" s="96">
        <f>J189</f>
        <v>627.08333333333326</v>
      </c>
      <c r="N189" s="102">
        <f>SUM(N190:N196)</f>
        <v>0</v>
      </c>
      <c r="O189" s="98">
        <f>904-N189</f>
        <v>904</v>
      </c>
      <c r="P189" s="86"/>
      <c r="Q189" s="86"/>
    </row>
    <row r="190" spans="1:17">
      <c r="A190" s="80" t="s">
        <v>1072</v>
      </c>
      <c r="B190" s="4">
        <v>0</v>
      </c>
      <c r="C190" s="4">
        <v>0</v>
      </c>
      <c r="D190" s="4">
        <v>45</v>
      </c>
      <c r="E190" s="4">
        <v>0</v>
      </c>
      <c r="F190" s="4">
        <v>50</v>
      </c>
      <c r="G190" s="10">
        <f t="shared" si="71"/>
        <v>0</v>
      </c>
      <c r="H190" s="4">
        <v>0</v>
      </c>
      <c r="I190" s="5">
        <f>G190*D190</f>
        <v>0</v>
      </c>
      <c r="J190" s="5">
        <f>I190-H190</f>
        <v>0</v>
      </c>
      <c r="K190">
        <v>0</v>
      </c>
      <c r="N190" s="51">
        <v>0</v>
      </c>
      <c r="O190" s="51"/>
    </row>
    <row r="191" spans="1:17">
      <c r="A191" s="80" t="s">
        <v>1193</v>
      </c>
      <c r="B191" s="4">
        <v>10</v>
      </c>
      <c r="C191" s="4">
        <v>23</v>
      </c>
      <c r="D191" s="4">
        <v>55</v>
      </c>
      <c r="E191" s="4">
        <v>1</v>
      </c>
      <c r="F191" s="4">
        <v>50</v>
      </c>
      <c r="G191" s="10">
        <f t="shared" si="71"/>
        <v>10.383333333333333</v>
      </c>
      <c r="H191" s="4">
        <f>50+102.5</f>
        <v>152.5</v>
      </c>
      <c r="I191" s="5">
        <f>G191*D191</f>
        <v>571.08333333333326</v>
      </c>
      <c r="J191" s="5">
        <f>I191-H191</f>
        <v>418.58333333333326</v>
      </c>
      <c r="K191">
        <v>28</v>
      </c>
      <c r="N191" s="51">
        <v>0</v>
      </c>
      <c r="P191" t="s">
        <v>1280</v>
      </c>
    </row>
    <row r="192" spans="1:17">
      <c r="A192" s="80" t="s">
        <v>1194</v>
      </c>
      <c r="B192" s="4">
        <v>7</v>
      </c>
      <c r="C192" s="4">
        <v>44</v>
      </c>
      <c r="D192" s="4">
        <v>45</v>
      </c>
      <c r="E192" s="4">
        <v>1</v>
      </c>
      <c r="F192" s="4">
        <v>50</v>
      </c>
      <c r="G192" s="10">
        <f t="shared" si="71"/>
        <v>7.7333333333333334</v>
      </c>
      <c r="H192" s="4">
        <f>50+89.5</f>
        <v>139.5</v>
      </c>
      <c r="I192" s="5">
        <f>G192*D192</f>
        <v>348</v>
      </c>
      <c r="J192" s="5">
        <f>I192-H192</f>
        <v>208.5</v>
      </c>
      <c r="K192">
        <v>22</v>
      </c>
      <c r="N192" s="51">
        <v>0</v>
      </c>
      <c r="P192" t="s">
        <v>1281</v>
      </c>
    </row>
    <row r="193" spans="1:17">
      <c r="A193" s="80" t="s">
        <v>1196</v>
      </c>
      <c r="B193" s="4">
        <v>0</v>
      </c>
      <c r="C193" s="4">
        <v>0</v>
      </c>
      <c r="D193" s="4">
        <v>45</v>
      </c>
      <c r="E193" s="4">
        <v>0</v>
      </c>
      <c r="F193" s="4">
        <v>50</v>
      </c>
      <c r="G193" s="10">
        <f t="shared" si="71"/>
        <v>0</v>
      </c>
      <c r="H193" s="4"/>
      <c r="I193" s="5">
        <f>G193*D193</f>
        <v>0</v>
      </c>
      <c r="J193" s="5">
        <f>I193-H193</f>
        <v>0</v>
      </c>
      <c r="N193" s="51">
        <v>0</v>
      </c>
    </row>
    <row r="194" spans="1:17">
      <c r="A194" s="80" t="s">
        <v>1198</v>
      </c>
      <c r="B194" s="4">
        <v>0</v>
      </c>
      <c r="C194" s="4">
        <v>0</v>
      </c>
      <c r="D194" s="4">
        <v>45</v>
      </c>
      <c r="E194" s="4">
        <v>0</v>
      </c>
      <c r="F194" s="4">
        <v>50</v>
      </c>
      <c r="G194" s="10">
        <f t="shared" si="71"/>
        <v>0</v>
      </c>
      <c r="H194" s="4"/>
      <c r="I194" s="5">
        <f>G194*D194</f>
        <v>0</v>
      </c>
      <c r="J194" s="5">
        <f>I194-H194</f>
        <v>0</v>
      </c>
      <c r="N194" s="51">
        <v>0</v>
      </c>
    </row>
    <row r="195" spans="1:17">
      <c r="A195" s="80" t="s">
        <v>1200</v>
      </c>
      <c r="B195" s="4">
        <v>0</v>
      </c>
      <c r="C195" s="4">
        <v>0</v>
      </c>
      <c r="D195" s="12">
        <v>45</v>
      </c>
      <c r="E195" s="12">
        <v>0</v>
      </c>
      <c r="F195" s="12">
        <v>50</v>
      </c>
      <c r="G195" s="10">
        <v>0</v>
      </c>
      <c r="H195" s="4"/>
      <c r="I195" s="5">
        <v>0</v>
      </c>
      <c r="J195" s="5">
        <v>0</v>
      </c>
      <c r="N195" s="51">
        <v>0</v>
      </c>
    </row>
    <row r="196" spans="1:17">
      <c r="A196" s="80" t="s">
        <v>1202</v>
      </c>
      <c r="B196" s="4">
        <v>0</v>
      </c>
      <c r="C196" s="4">
        <v>0</v>
      </c>
      <c r="D196" s="167"/>
      <c r="E196" s="167"/>
      <c r="F196" s="167"/>
      <c r="G196" s="174"/>
      <c r="H196" s="4"/>
      <c r="I196" s="5"/>
      <c r="J196" s="5"/>
      <c r="N196" s="51">
        <v>0</v>
      </c>
    </row>
    <row r="197" spans="1:17" ht="19">
      <c r="A197" s="91" t="s">
        <v>1282</v>
      </c>
      <c r="B197" s="8">
        <f>SUM(B198:B204)</f>
        <v>7</v>
      </c>
      <c r="C197" s="8">
        <f>SUM(C198:C204)</f>
        <v>4</v>
      </c>
      <c r="D197" s="126">
        <f>SUM(D198)</f>
        <v>45</v>
      </c>
      <c r="E197" s="126">
        <f>SUM(E198:E204)</f>
        <v>1</v>
      </c>
      <c r="F197" s="126">
        <f>SUM(F198:F204)</f>
        <v>300</v>
      </c>
      <c r="G197" s="123">
        <f t="shared" ref="G197:G203" si="72">B197+C197/60</f>
        <v>7.0666666666666664</v>
      </c>
      <c r="H197" s="8">
        <f>SUM(H198:H204)</f>
        <v>429</v>
      </c>
      <c r="I197" s="14">
        <f>SUM(I198:I204)</f>
        <v>318</v>
      </c>
      <c r="J197" s="14">
        <f>SUM(J198:J204)</f>
        <v>-111</v>
      </c>
      <c r="K197" s="8">
        <f>SUM(K198:K204)</f>
        <v>4</v>
      </c>
      <c r="L197" s="9">
        <v>0</v>
      </c>
      <c r="M197" s="96">
        <f>J197</f>
        <v>-111</v>
      </c>
      <c r="N197" s="102">
        <f>SUM(N198:N204)</f>
        <v>135</v>
      </c>
      <c r="O197" s="98">
        <f>255-N197</f>
        <v>120</v>
      </c>
      <c r="P197" s="86"/>
      <c r="Q197" s="86"/>
    </row>
    <row r="198" spans="1:17">
      <c r="A198" s="80">
        <v>46153</v>
      </c>
      <c r="B198" s="4">
        <v>0</v>
      </c>
      <c r="C198" s="4">
        <v>0</v>
      </c>
      <c r="D198" s="4">
        <v>45</v>
      </c>
      <c r="E198" s="4">
        <v>0</v>
      </c>
      <c r="F198" s="4">
        <v>50</v>
      </c>
      <c r="G198" s="10">
        <f t="shared" si="72"/>
        <v>0</v>
      </c>
      <c r="H198" s="4">
        <v>0</v>
      </c>
      <c r="I198" s="5">
        <f t="shared" ref="I198:I203" si="73">G198*D198</f>
        <v>0</v>
      </c>
      <c r="J198" s="5">
        <f t="shared" ref="J198:J203" si="74">I198-H198</f>
        <v>0</v>
      </c>
      <c r="K198">
        <v>0</v>
      </c>
      <c r="N198" s="51">
        <v>0</v>
      </c>
      <c r="O198" s="51"/>
    </row>
    <row r="199" spans="1:17">
      <c r="A199" s="80">
        <v>46154</v>
      </c>
      <c r="B199" s="4">
        <v>0</v>
      </c>
      <c r="C199" s="4">
        <v>0</v>
      </c>
      <c r="D199" s="4">
        <v>45</v>
      </c>
      <c r="E199" s="4">
        <v>0</v>
      </c>
      <c r="F199" s="4">
        <v>50</v>
      </c>
      <c r="G199" s="10">
        <f t="shared" si="72"/>
        <v>0</v>
      </c>
      <c r="H199" s="4">
        <v>0</v>
      </c>
      <c r="I199" s="5">
        <f t="shared" si="73"/>
        <v>0</v>
      </c>
      <c r="J199" s="5">
        <f t="shared" si="74"/>
        <v>0</v>
      </c>
      <c r="K199">
        <v>0</v>
      </c>
      <c r="N199" s="51">
        <v>0</v>
      </c>
    </row>
    <row r="200" spans="1:17">
      <c r="A200" s="80">
        <v>46155</v>
      </c>
      <c r="B200" s="4">
        <v>0</v>
      </c>
      <c r="C200" s="4">
        <v>0</v>
      </c>
      <c r="D200" s="4">
        <v>45</v>
      </c>
      <c r="E200" s="4">
        <v>0</v>
      </c>
      <c r="F200" s="4">
        <v>50</v>
      </c>
      <c r="G200" s="10">
        <f t="shared" si="72"/>
        <v>0</v>
      </c>
      <c r="H200" s="4">
        <v>0</v>
      </c>
      <c r="I200" s="5">
        <f t="shared" si="73"/>
        <v>0</v>
      </c>
      <c r="J200" s="5">
        <f t="shared" si="74"/>
        <v>0</v>
      </c>
      <c r="K200">
        <v>0</v>
      </c>
      <c r="N200" s="51">
        <v>0</v>
      </c>
    </row>
    <row r="201" spans="1:17">
      <c r="A201" s="80">
        <v>46156</v>
      </c>
      <c r="B201" s="4">
        <v>0</v>
      </c>
      <c r="C201" s="4">
        <v>0</v>
      </c>
      <c r="D201" s="4">
        <v>45</v>
      </c>
      <c r="E201" s="4">
        <v>0</v>
      </c>
      <c r="F201" s="4">
        <v>50</v>
      </c>
      <c r="G201" s="10">
        <f t="shared" si="72"/>
        <v>0</v>
      </c>
      <c r="H201" s="4"/>
      <c r="I201" s="5">
        <f t="shared" si="73"/>
        <v>0</v>
      </c>
      <c r="J201" s="5">
        <f t="shared" si="74"/>
        <v>0</v>
      </c>
      <c r="N201" s="51">
        <v>0</v>
      </c>
    </row>
    <row r="202" spans="1:17">
      <c r="A202" s="80">
        <v>46157</v>
      </c>
      <c r="B202" s="4">
        <v>0</v>
      </c>
      <c r="C202" s="4">
        <v>0</v>
      </c>
      <c r="D202" s="4">
        <v>45</v>
      </c>
      <c r="E202" s="4">
        <v>0</v>
      </c>
      <c r="F202" s="4">
        <v>50</v>
      </c>
      <c r="G202" s="10">
        <f t="shared" si="72"/>
        <v>0</v>
      </c>
      <c r="H202" s="4"/>
      <c r="I202" s="5">
        <f t="shared" si="73"/>
        <v>0</v>
      </c>
      <c r="J202" s="5">
        <f t="shared" si="74"/>
        <v>0</v>
      </c>
      <c r="N202" s="51">
        <v>0</v>
      </c>
    </row>
    <row r="203" spans="1:17">
      <c r="A203" s="80">
        <v>46158</v>
      </c>
      <c r="B203" s="4">
        <v>7</v>
      </c>
      <c r="C203" s="4">
        <v>4</v>
      </c>
      <c r="D203" s="12">
        <v>45</v>
      </c>
      <c r="E203" s="12">
        <v>1</v>
      </c>
      <c r="F203" s="12">
        <v>50</v>
      </c>
      <c r="G203" s="10">
        <f t="shared" si="72"/>
        <v>7.0666666666666664</v>
      </c>
      <c r="H203" s="4">
        <f>50+379</f>
        <v>429</v>
      </c>
      <c r="I203" s="5">
        <f t="shared" si="73"/>
        <v>318</v>
      </c>
      <c r="J203" s="5">
        <f t="shared" si="74"/>
        <v>-111</v>
      </c>
      <c r="K203">
        <v>4</v>
      </c>
      <c r="N203" s="51">
        <v>135</v>
      </c>
    </row>
    <row r="204" spans="1:17">
      <c r="A204" s="80">
        <v>46159</v>
      </c>
      <c r="B204" s="4">
        <v>0</v>
      </c>
      <c r="C204" s="4">
        <v>0</v>
      </c>
      <c r="D204" s="167"/>
      <c r="E204" s="167"/>
      <c r="F204" s="167"/>
      <c r="G204" s="174"/>
      <c r="H204" s="4"/>
      <c r="I204" s="5"/>
      <c r="J204" s="5"/>
      <c r="N204" s="51">
        <v>0</v>
      </c>
    </row>
    <row r="205" spans="1:17" ht="19">
      <c r="A205" s="91" t="s">
        <v>530</v>
      </c>
      <c r="B205" s="8">
        <f>SUM(B206:B212)</f>
        <v>20</v>
      </c>
      <c r="C205" s="8">
        <f t="shared" ref="C205" si="75">SUM(C206:C212)</f>
        <v>23</v>
      </c>
      <c r="D205" s="126">
        <f>SUM(D206)</f>
        <v>45</v>
      </c>
      <c r="E205" s="126">
        <f t="shared" ref="E205:F205" si="76">SUM(E206:E212)</f>
        <v>2</v>
      </c>
      <c r="F205" s="126">
        <f t="shared" si="76"/>
        <v>350</v>
      </c>
      <c r="G205" s="123">
        <f t="shared" si="67"/>
        <v>20.383333333333333</v>
      </c>
      <c r="H205" s="8">
        <f>SUM(H206:H212)</f>
        <v>100</v>
      </c>
      <c r="I205" s="14">
        <f>SUM(I206:I212)</f>
        <v>1137.25</v>
      </c>
      <c r="J205" s="14">
        <f>SUM(J206:J212)</f>
        <v>1037.25</v>
      </c>
      <c r="K205" s="8">
        <f>SUM(K206:K212)</f>
        <v>54</v>
      </c>
      <c r="L205" s="9">
        <v>0</v>
      </c>
      <c r="M205" s="96">
        <f>J205</f>
        <v>1037.25</v>
      </c>
      <c r="N205" s="102">
        <f>SUM(N206:N212)</f>
        <v>1348</v>
      </c>
      <c r="O205" s="98">
        <f>1348-N205</f>
        <v>0</v>
      </c>
      <c r="P205" s="86"/>
      <c r="Q205" s="86"/>
    </row>
    <row r="206" spans="1:17">
      <c r="A206" s="80" t="s">
        <v>1072</v>
      </c>
      <c r="B206" s="4">
        <v>0</v>
      </c>
      <c r="C206" s="4">
        <v>0</v>
      </c>
      <c r="D206" s="4">
        <v>45</v>
      </c>
      <c r="E206" s="4">
        <v>0</v>
      </c>
      <c r="F206" s="4">
        <v>50</v>
      </c>
      <c r="G206" s="10">
        <f>B206+C206/60</f>
        <v>0</v>
      </c>
      <c r="H206" s="4">
        <v>0</v>
      </c>
      <c r="I206" s="5">
        <f t="shared" ref="I206:I212" si="77">G206*D206</f>
        <v>0</v>
      </c>
      <c r="J206" s="5">
        <f t="shared" ref="J206:J212" si="78">I206-H206</f>
        <v>0</v>
      </c>
      <c r="K206">
        <v>0</v>
      </c>
      <c r="N206" s="119">
        <v>0</v>
      </c>
      <c r="O206" s="51"/>
    </row>
    <row r="207" spans="1:17">
      <c r="A207" s="80" t="s">
        <v>1193</v>
      </c>
      <c r="B207" s="4">
        <v>0</v>
      </c>
      <c r="C207" s="4">
        <v>0</v>
      </c>
      <c r="D207" s="4">
        <v>45</v>
      </c>
      <c r="E207" s="4">
        <v>0</v>
      </c>
      <c r="F207" s="4">
        <v>50</v>
      </c>
      <c r="G207" s="10">
        <f t="shared" si="67"/>
        <v>0</v>
      </c>
      <c r="H207" s="4">
        <v>0</v>
      </c>
      <c r="I207" s="5">
        <f t="shared" si="77"/>
        <v>0</v>
      </c>
      <c r="J207" s="5">
        <f t="shared" si="78"/>
        <v>0</v>
      </c>
      <c r="K207">
        <v>0</v>
      </c>
      <c r="N207" s="119">
        <v>0</v>
      </c>
    </row>
    <row r="208" spans="1:17">
      <c r="A208" s="80" t="s">
        <v>1194</v>
      </c>
      <c r="B208" s="4">
        <v>0</v>
      </c>
      <c r="C208" s="4">
        <v>0</v>
      </c>
      <c r="D208" s="4">
        <v>45</v>
      </c>
      <c r="E208" s="4">
        <v>0</v>
      </c>
      <c r="F208" s="4">
        <v>50</v>
      </c>
      <c r="G208" s="10">
        <f t="shared" si="67"/>
        <v>0</v>
      </c>
      <c r="H208" s="4">
        <v>0</v>
      </c>
      <c r="I208" s="5">
        <f t="shared" si="77"/>
        <v>0</v>
      </c>
      <c r="J208" s="5">
        <f t="shared" si="78"/>
        <v>0</v>
      </c>
      <c r="K208">
        <v>0</v>
      </c>
      <c r="N208" s="119">
        <v>0</v>
      </c>
    </row>
    <row r="209" spans="1:17">
      <c r="A209" s="80" t="s">
        <v>1196</v>
      </c>
      <c r="B209" s="4">
        <v>9</v>
      </c>
      <c r="C209" s="4">
        <v>23</v>
      </c>
      <c r="D209" s="4">
        <v>45</v>
      </c>
      <c r="E209" s="4">
        <v>1</v>
      </c>
      <c r="F209" s="4">
        <v>50</v>
      </c>
      <c r="G209" s="10">
        <f t="shared" si="67"/>
        <v>9.3833333333333329</v>
      </c>
      <c r="H209" s="4">
        <v>50</v>
      </c>
      <c r="I209" s="5">
        <f t="shared" si="77"/>
        <v>422.25</v>
      </c>
      <c r="J209" s="5">
        <f t="shared" si="78"/>
        <v>372.25</v>
      </c>
      <c r="K209">
        <v>22</v>
      </c>
      <c r="N209" s="119">
        <v>542</v>
      </c>
    </row>
    <row r="210" spans="1:17">
      <c r="A210" s="80" t="s">
        <v>1198</v>
      </c>
      <c r="B210" s="4"/>
      <c r="C210" s="4"/>
      <c r="D210" s="4">
        <v>45</v>
      </c>
      <c r="E210" s="4">
        <v>0</v>
      </c>
      <c r="F210" s="4">
        <v>50</v>
      </c>
      <c r="G210" s="10">
        <f t="shared" si="67"/>
        <v>0</v>
      </c>
      <c r="H210" s="4"/>
      <c r="I210" s="5">
        <f t="shared" si="77"/>
        <v>0</v>
      </c>
      <c r="J210" s="5">
        <f t="shared" si="78"/>
        <v>0</v>
      </c>
      <c r="N210" s="119">
        <v>0</v>
      </c>
    </row>
    <row r="211" spans="1:17">
      <c r="A211" s="80" t="s">
        <v>1200</v>
      </c>
      <c r="B211" s="4">
        <v>11</v>
      </c>
      <c r="C211" s="4">
        <v>0</v>
      </c>
      <c r="D211" s="4">
        <v>65</v>
      </c>
      <c r="E211" s="4">
        <v>1</v>
      </c>
      <c r="F211" s="4">
        <v>50</v>
      </c>
      <c r="G211" s="10">
        <f t="shared" si="67"/>
        <v>11</v>
      </c>
      <c r="H211" s="4">
        <v>50</v>
      </c>
      <c r="I211" s="5">
        <f t="shared" si="77"/>
        <v>715</v>
      </c>
      <c r="J211" s="5">
        <f t="shared" si="78"/>
        <v>665</v>
      </c>
      <c r="K211">
        <v>32</v>
      </c>
      <c r="N211" s="119">
        <f>556+250</f>
        <v>806</v>
      </c>
      <c r="P211" t="s">
        <v>1254</v>
      </c>
    </row>
    <row r="212" spans="1:17">
      <c r="A212" s="80" t="s">
        <v>1202</v>
      </c>
      <c r="B212" s="4"/>
      <c r="C212" s="4"/>
      <c r="D212" s="4">
        <v>45</v>
      </c>
      <c r="E212" s="4">
        <v>0</v>
      </c>
      <c r="F212" s="4">
        <v>50</v>
      </c>
      <c r="G212" s="10">
        <f t="shared" si="67"/>
        <v>0</v>
      </c>
      <c r="H212" s="4"/>
      <c r="I212" s="5">
        <f t="shared" si="77"/>
        <v>0</v>
      </c>
      <c r="J212" s="5">
        <f t="shared" si="78"/>
        <v>0</v>
      </c>
      <c r="N212" s="119">
        <v>0</v>
      </c>
    </row>
    <row r="213" spans="1:17" ht="19">
      <c r="A213" s="91" t="s">
        <v>1131</v>
      </c>
      <c r="B213" s="8">
        <f>SUM(B214:B220)</f>
        <v>28</v>
      </c>
      <c r="C213" s="8">
        <f>SUM(C214:C220)</f>
        <v>185</v>
      </c>
      <c r="D213" s="126">
        <f>SUM(D214)</f>
        <v>45</v>
      </c>
      <c r="E213" s="126">
        <f>SUM(E214:E220)</f>
        <v>5</v>
      </c>
      <c r="F213" s="126">
        <f>SUM(F214:F220)</f>
        <v>300</v>
      </c>
      <c r="G213" s="123">
        <f t="shared" si="67"/>
        <v>31.083333333333332</v>
      </c>
      <c r="H213" s="8">
        <f>SUM(H214:H220)</f>
        <v>765.5</v>
      </c>
      <c r="I213" s="9">
        <f>SUM(I214:I220)</f>
        <v>1539.9166666666667</v>
      </c>
      <c r="J213" s="9">
        <f>SUM(J214:J220)</f>
        <v>774.41666666666674</v>
      </c>
      <c r="K213" s="8">
        <f>SUM(K214:K220)</f>
        <v>124</v>
      </c>
      <c r="L213" s="9">
        <v>0</v>
      </c>
      <c r="M213" s="96">
        <f>J213</f>
        <v>774.41666666666674</v>
      </c>
      <c r="N213" s="102">
        <f>SUM(N214:N220)</f>
        <v>3077</v>
      </c>
      <c r="O213" s="98">
        <f>2958-N213</f>
        <v>-119</v>
      </c>
      <c r="P213" s="86"/>
      <c r="Q213" s="86"/>
    </row>
    <row r="214" spans="1:17">
      <c r="A214" s="80" t="s">
        <v>1072</v>
      </c>
      <c r="B214" s="4">
        <v>0</v>
      </c>
      <c r="C214" s="4">
        <v>0</v>
      </c>
      <c r="D214" s="4">
        <v>45</v>
      </c>
      <c r="E214" s="4">
        <v>0</v>
      </c>
      <c r="F214" s="4">
        <v>0</v>
      </c>
      <c r="G214" s="10">
        <f t="shared" si="67"/>
        <v>0</v>
      </c>
      <c r="H214" s="4">
        <v>0</v>
      </c>
      <c r="I214" s="5">
        <f>G214*D214</f>
        <v>0</v>
      </c>
      <c r="J214" s="5">
        <f t="shared" ref="J214:J219" si="79">I214-H214</f>
        <v>0</v>
      </c>
      <c r="K214">
        <v>0</v>
      </c>
      <c r="N214" s="134">
        <v>0</v>
      </c>
      <c r="O214" s="51"/>
    </row>
    <row r="215" spans="1:17">
      <c r="A215" s="80" t="s">
        <v>1193</v>
      </c>
      <c r="B215" s="4">
        <v>0</v>
      </c>
      <c r="C215" s="4">
        <v>0</v>
      </c>
      <c r="D215" s="4">
        <v>45</v>
      </c>
      <c r="E215" s="4">
        <v>0</v>
      </c>
      <c r="F215" s="4">
        <v>50</v>
      </c>
      <c r="G215" s="10">
        <f t="shared" si="67"/>
        <v>0</v>
      </c>
      <c r="H215" s="4">
        <v>0</v>
      </c>
      <c r="I215" s="5">
        <f>G215*D215</f>
        <v>0</v>
      </c>
      <c r="J215" s="5">
        <f>I215-H215</f>
        <v>0</v>
      </c>
      <c r="K215">
        <v>0</v>
      </c>
      <c r="N215" s="83">
        <v>0</v>
      </c>
    </row>
    <row r="216" spans="1:17">
      <c r="A216" s="80" t="s">
        <v>1194</v>
      </c>
      <c r="B216" s="4">
        <v>6</v>
      </c>
      <c r="C216" s="4">
        <v>18</v>
      </c>
      <c r="D216" s="4">
        <v>45</v>
      </c>
      <c r="E216" s="4">
        <v>1</v>
      </c>
      <c r="F216" s="4">
        <v>50</v>
      </c>
      <c r="G216" s="10">
        <f t="shared" si="67"/>
        <v>6.3</v>
      </c>
      <c r="H216" s="4">
        <v>50</v>
      </c>
      <c r="I216" s="5">
        <f t="shared" ref="I216:I219" si="80">G216*D216</f>
        <v>283.5</v>
      </c>
      <c r="J216" s="5">
        <f>I216-H216</f>
        <v>233.5</v>
      </c>
      <c r="K216">
        <v>20</v>
      </c>
      <c r="N216" s="83">
        <v>427</v>
      </c>
      <c r="P216" t="s">
        <v>1283</v>
      </c>
    </row>
    <row r="217" spans="1:17">
      <c r="A217" s="80" t="s">
        <v>1196</v>
      </c>
      <c r="B217" s="4">
        <v>9</v>
      </c>
      <c r="C217" s="4">
        <v>11</v>
      </c>
      <c r="D217" s="4">
        <v>55</v>
      </c>
      <c r="E217" s="4">
        <v>1</v>
      </c>
      <c r="F217" s="4">
        <v>50</v>
      </c>
      <c r="G217" s="10">
        <f t="shared" si="67"/>
        <v>9.1833333333333336</v>
      </c>
      <c r="H217" s="4">
        <f>50+96.5</f>
        <v>146.5</v>
      </c>
      <c r="I217" s="5">
        <f t="shared" si="80"/>
        <v>505.08333333333337</v>
      </c>
      <c r="J217" s="5">
        <f>I217-H217</f>
        <v>358.58333333333337</v>
      </c>
      <c r="K217">
        <v>27</v>
      </c>
      <c r="N217" s="83">
        <f>388+150</f>
        <v>538</v>
      </c>
      <c r="P217" t="s">
        <v>1284</v>
      </c>
    </row>
    <row r="218" spans="1:17">
      <c r="A218" s="80" t="s">
        <v>1198</v>
      </c>
      <c r="B218" s="4">
        <v>3</v>
      </c>
      <c r="C218" s="4">
        <v>54</v>
      </c>
      <c r="D218" s="4">
        <v>45</v>
      </c>
      <c r="E218" s="4">
        <v>1</v>
      </c>
      <c r="F218" s="4">
        <v>50</v>
      </c>
      <c r="G218" s="10">
        <f t="shared" si="67"/>
        <v>3.9</v>
      </c>
      <c r="H218" s="4">
        <f>50+419</f>
        <v>469</v>
      </c>
      <c r="I218" s="5">
        <f t="shared" si="80"/>
        <v>175.5</v>
      </c>
      <c r="J218" s="5">
        <f t="shared" si="79"/>
        <v>-293.5</v>
      </c>
      <c r="K218">
        <v>24</v>
      </c>
      <c r="N218" s="119">
        <v>600</v>
      </c>
      <c r="P218" t="s">
        <v>1285</v>
      </c>
    </row>
    <row r="219" spans="1:17">
      <c r="A219" s="80" t="s">
        <v>1200</v>
      </c>
      <c r="B219" s="4">
        <v>4</v>
      </c>
      <c r="C219" s="4">
        <v>56</v>
      </c>
      <c r="D219" s="12">
        <v>55</v>
      </c>
      <c r="E219" s="12">
        <v>1</v>
      </c>
      <c r="F219" s="12">
        <v>50</v>
      </c>
      <c r="G219" s="10">
        <f t="shared" si="67"/>
        <v>4.9333333333333336</v>
      </c>
      <c r="H219" s="4">
        <v>50</v>
      </c>
      <c r="I219" s="5">
        <f t="shared" si="80"/>
        <v>271.33333333333337</v>
      </c>
      <c r="J219" s="5">
        <f t="shared" si="79"/>
        <v>221.33333333333337</v>
      </c>
      <c r="K219">
        <v>28</v>
      </c>
      <c r="N219" s="119">
        <v>470</v>
      </c>
      <c r="P219" t="s">
        <v>1286</v>
      </c>
    </row>
    <row r="220" spans="1:17">
      <c r="A220" s="80" t="s">
        <v>1202</v>
      </c>
      <c r="B220" s="4">
        <v>6</v>
      </c>
      <c r="C220" s="172">
        <v>46</v>
      </c>
      <c r="D220" s="167">
        <v>45</v>
      </c>
      <c r="E220" s="167">
        <v>1</v>
      </c>
      <c r="F220" s="167">
        <v>50</v>
      </c>
      <c r="G220" s="10">
        <f>B220+C220/60</f>
        <v>6.7666666666666666</v>
      </c>
      <c r="H220" s="4">
        <v>50</v>
      </c>
      <c r="I220" s="5">
        <f>G220*D220</f>
        <v>304.5</v>
      </c>
      <c r="J220" s="5">
        <f>I220-H220</f>
        <v>254.5</v>
      </c>
      <c r="K220">
        <v>25</v>
      </c>
      <c r="N220" s="119">
        <f>400+134+508</f>
        <v>1042</v>
      </c>
      <c r="P220" t="s">
        <v>1287</v>
      </c>
    </row>
    <row r="221" spans="1:17" ht="19">
      <c r="A221" s="91" t="s">
        <v>1288</v>
      </c>
      <c r="B221" s="8">
        <f>SUM(B222:B227)</f>
        <v>43</v>
      </c>
      <c r="C221" s="8">
        <f>SUM(C222:C227)</f>
        <v>124</v>
      </c>
      <c r="D221" s="126">
        <f>SUM(D222)</f>
        <v>45</v>
      </c>
      <c r="E221" s="126">
        <f>SUM(E222:E227)</f>
        <v>6</v>
      </c>
      <c r="F221" s="126">
        <f>SUM(F222:F227)</f>
        <v>300</v>
      </c>
      <c r="G221" s="123">
        <f t="shared" ref="G221:G225" si="81">B221+C221/60</f>
        <v>45.06666666666667</v>
      </c>
      <c r="H221" s="8">
        <f>SUM(H222:H227)</f>
        <v>851</v>
      </c>
      <c r="I221" s="14">
        <f>SUM(I222:I227)</f>
        <v>2082.666666666667</v>
      </c>
      <c r="J221" s="14">
        <f>SUM(J222:J227)</f>
        <v>1231.6666666666667</v>
      </c>
      <c r="K221" s="8">
        <f>SUM(K222:K227)</f>
        <v>140</v>
      </c>
      <c r="L221" s="9">
        <v>0</v>
      </c>
      <c r="M221" s="96">
        <f>J221</f>
        <v>1231.6666666666667</v>
      </c>
      <c r="N221" s="102">
        <f>SUM(N222:N227)</f>
        <v>2622</v>
      </c>
      <c r="O221" s="98">
        <f>3604-N221</f>
        <v>982</v>
      </c>
      <c r="P221" s="86"/>
      <c r="Q221" s="86"/>
    </row>
    <row r="222" spans="1:17">
      <c r="A222" s="80" t="s">
        <v>1193</v>
      </c>
      <c r="B222" s="4">
        <v>5</v>
      </c>
      <c r="C222" s="4">
        <v>11</v>
      </c>
      <c r="D222" s="4">
        <v>45</v>
      </c>
      <c r="E222" s="4">
        <v>1</v>
      </c>
      <c r="F222" s="4">
        <v>50</v>
      </c>
      <c r="G222" s="10">
        <f t="shared" si="81"/>
        <v>5.1833333333333336</v>
      </c>
      <c r="H222" s="4">
        <v>50</v>
      </c>
      <c r="I222" s="5">
        <f t="shared" ref="I222:I223" si="82">G222*D222</f>
        <v>233.25</v>
      </c>
      <c r="J222" s="5">
        <f t="shared" ref="J222:J225" si="83">I222-H222</f>
        <v>183.25</v>
      </c>
      <c r="K222">
        <v>18</v>
      </c>
      <c r="N222" s="51">
        <f>107</f>
        <v>107</v>
      </c>
      <c r="P222" t="s">
        <v>1289</v>
      </c>
    </row>
    <row r="223" spans="1:17">
      <c r="A223" s="80" t="s">
        <v>1194</v>
      </c>
      <c r="B223" s="4">
        <v>7</v>
      </c>
      <c r="C223" s="4">
        <v>42</v>
      </c>
      <c r="D223" s="4">
        <v>45</v>
      </c>
      <c r="E223" s="4">
        <v>1</v>
      </c>
      <c r="F223" s="4">
        <v>50</v>
      </c>
      <c r="G223" s="10">
        <f t="shared" si="81"/>
        <v>7.7</v>
      </c>
      <c r="H223" s="4">
        <v>50</v>
      </c>
      <c r="I223" s="5">
        <f t="shared" si="82"/>
        <v>346.5</v>
      </c>
      <c r="J223" s="5">
        <f t="shared" si="83"/>
        <v>296.5</v>
      </c>
      <c r="K223">
        <v>18</v>
      </c>
      <c r="N223" s="51">
        <f>508+300</f>
        <v>808</v>
      </c>
      <c r="P223" t="s">
        <v>1290</v>
      </c>
    </row>
    <row r="224" spans="1:17">
      <c r="A224" s="80" t="s">
        <v>1196</v>
      </c>
      <c r="B224" s="4">
        <v>9</v>
      </c>
      <c r="C224" s="4">
        <v>7</v>
      </c>
      <c r="D224" s="4">
        <v>45</v>
      </c>
      <c r="E224" s="4">
        <v>1</v>
      </c>
      <c r="F224" s="4">
        <v>50</v>
      </c>
      <c r="G224" s="10">
        <f t="shared" si="81"/>
        <v>9.1166666666666671</v>
      </c>
      <c r="H224" s="4">
        <f>50+154</f>
        <v>204</v>
      </c>
      <c r="I224" s="5">
        <f>G224*D224</f>
        <v>410.25</v>
      </c>
      <c r="J224" s="5">
        <f t="shared" si="83"/>
        <v>206.25</v>
      </c>
      <c r="K224">
        <v>26</v>
      </c>
      <c r="N224" s="51">
        <f>179+300</f>
        <v>479</v>
      </c>
      <c r="P224" t="s">
        <v>1291</v>
      </c>
    </row>
    <row r="225" spans="1:17">
      <c r="A225" s="80" t="s">
        <v>1198</v>
      </c>
      <c r="B225" s="4">
        <v>9</v>
      </c>
      <c r="C225" s="4">
        <v>16</v>
      </c>
      <c r="D225" s="4">
        <v>45</v>
      </c>
      <c r="E225" s="4">
        <v>1</v>
      </c>
      <c r="F225" s="4">
        <v>50</v>
      </c>
      <c r="G225" s="10">
        <f t="shared" si="81"/>
        <v>9.2666666666666675</v>
      </c>
      <c r="H225" s="4">
        <f>50+328</f>
        <v>378</v>
      </c>
      <c r="I225" s="5">
        <f t="shared" ref="I225" si="84">G225*D225</f>
        <v>417.00000000000006</v>
      </c>
      <c r="J225" s="5">
        <f t="shared" si="83"/>
        <v>39.000000000000057</v>
      </c>
      <c r="K225">
        <v>25</v>
      </c>
      <c r="N225" s="51">
        <f>210+300</f>
        <v>510</v>
      </c>
      <c r="P225" t="s">
        <v>1292</v>
      </c>
    </row>
    <row r="226" spans="1:17">
      <c r="A226" s="80" t="s">
        <v>1200</v>
      </c>
      <c r="B226" s="4">
        <v>5</v>
      </c>
      <c r="C226" s="4">
        <v>28</v>
      </c>
      <c r="D226" s="4">
        <v>55</v>
      </c>
      <c r="E226" s="4">
        <v>1</v>
      </c>
      <c r="F226" s="4">
        <v>50</v>
      </c>
      <c r="G226" s="10">
        <f>B226+C226/60</f>
        <v>5.4666666666666668</v>
      </c>
      <c r="H226" s="4">
        <f>50+69</f>
        <v>119</v>
      </c>
      <c r="I226" s="5">
        <f>G226*D226</f>
        <v>300.66666666666669</v>
      </c>
      <c r="J226" s="5">
        <f>I226-H226</f>
        <v>181.66666666666669</v>
      </c>
      <c r="K226">
        <v>27</v>
      </c>
      <c r="N226" s="51">
        <v>322</v>
      </c>
      <c r="P226" t="s">
        <v>1293</v>
      </c>
    </row>
    <row r="227" spans="1:17">
      <c r="A227" s="80" t="s">
        <v>1202</v>
      </c>
      <c r="B227" s="4">
        <v>8</v>
      </c>
      <c r="C227" s="4">
        <v>20</v>
      </c>
      <c r="D227" s="4">
        <v>45</v>
      </c>
      <c r="E227" s="4">
        <v>1</v>
      </c>
      <c r="F227" s="4">
        <v>50</v>
      </c>
      <c r="G227" s="10">
        <f>B227+C227/60</f>
        <v>8.3333333333333339</v>
      </c>
      <c r="H227" s="4">
        <v>50</v>
      </c>
      <c r="I227" s="5">
        <f t="shared" ref="I227" si="85">G227*D227</f>
        <v>375</v>
      </c>
      <c r="J227" s="5">
        <f t="shared" ref="J227" si="86">I227-H227</f>
        <v>325</v>
      </c>
      <c r="K227">
        <v>26</v>
      </c>
      <c r="N227" s="51">
        <v>396</v>
      </c>
      <c r="P227" t="s">
        <v>1294</v>
      </c>
    </row>
    <row r="228" spans="1:17" ht="19">
      <c r="A228" s="91" t="s">
        <v>1295</v>
      </c>
      <c r="B228" s="8">
        <f>SUM(B229:B236)</f>
        <v>39</v>
      </c>
      <c r="C228" s="8">
        <f>SUM(C229:C236)</f>
        <v>133</v>
      </c>
      <c r="D228" s="126">
        <f>SUM(D229)</f>
        <v>45</v>
      </c>
      <c r="E228" s="126">
        <f>SUM(E229:E236)</f>
        <v>4</v>
      </c>
      <c r="F228" s="126">
        <f>SUM(F229:F236)</f>
        <v>200</v>
      </c>
      <c r="G228" s="123">
        <f t="shared" si="67"/>
        <v>41.216666666666669</v>
      </c>
      <c r="H228" s="8">
        <f>SUM(H229:H236)</f>
        <v>200</v>
      </c>
      <c r="I228" s="14">
        <f>SUM(I229:I236)</f>
        <v>1854.75</v>
      </c>
      <c r="J228" s="14">
        <f>SUM(J229:J236)</f>
        <v>1654.75</v>
      </c>
      <c r="K228" s="8">
        <f>SUM(K229:K236)</f>
        <v>73</v>
      </c>
      <c r="L228" s="9">
        <v>0</v>
      </c>
      <c r="M228" s="96">
        <f>J228</f>
        <v>1654.75</v>
      </c>
      <c r="N228" s="102">
        <f>SUM(M229:N236)</f>
        <v>2476</v>
      </c>
      <c r="O228" s="98">
        <f>2282-N228</f>
        <v>-194</v>
      </c>
      <c r="P228" s="86"/>
      <c r="Q228" s="86"/>
    </row>
    <row r="229" spans="1:17">
      <c r="A229" s="80" t="s">
        <v>1072</v>
      </c>
      <c r="B229" s="4">
        <v>0</v>
      </c>
      <c r="C229" s="4">
        <v>0</v>
      </c>
      <c r="D229" s="4">
        <v>45</v>
      </c>
      <c r="E229" s="4">
        <v>0</v>
      </c>
      <c r="F229" s="4">
        <v>0</v>
      </c>
      <c r="G229" s="10">
        <f t="shared" si="67"/>
        <v>0</v>
      </c>
      <c r="H229" s="4">
        <v>0</v>
      </c>
      <c r="I229" s="5">
        <f t="shared" ref="I229:I231" si="87">G229*D229</f>
        <v>0</v>
      </c>
      <c r="J229" s="5">
        <f t="shared" ref="J229:J233" si="88">I229-H229</f>
        <v>0</v>
      </c>
      <c r="K229">
        <v>0</v>
      </c>
      <c r="N229" s="51">
        <v>0</v>
      </c>
      <c r="O229" s="51"/>
    </row>
    <row r="230" spans="1:17">
      <c r="A230" s="80" t="s">
        <v>1193</v>
      </c>
      <c r="B230" s="4">
        <v>0</v>
      </c>
      <c r="C230" s="4">
        <v>0</v>
      </c>
      <c r="D230" s="4">
        <v>45</v>
      </c>
      <c r="E230" s="4">
        <v>0</v>
      </c>
      <c r="F230" s="4">
        <v>0</v>
      </c>
      <c r="G230" s="10">
        <f t="shared" si="67"/>
        <v>0</v>
      </c>
      <c r="H230" s="4">
        <v>0</v>
      </c>
      <c r="I230" s="5">
        <f t="shared" si="87"/>
        <v>0</v>
      </c>
      <c r="J230" s="5">
        <f t="shared" si="88"/>
        <v>0</v>
      </c>
      <c r="K230">
        <v>0</v>
      </c>
      <c r="N230" s="51">
        <v>0</v>
      </c>
    </row>
    <row r="231" spans="1:17">
      <c r="A231" s="80" t="s">
        <v>1194</v>
      </c>
      <c r="B231" s="4">
        <v>0</v>
      </c>
      <c r="C231" s="4">
        <v>0</v>
      </c>
      <c r="D231" s="4">
        <v>45</v>
      </c>
      <c r="E231" s="4">
        <v>0</v>
      </c>
      <c r="F231" s="4">
        <v>0</v>
      </c>
      <c r="G231" s="10">
        <f t="shared" si="67"/>
        <v>0</v>
      </c>
      <c r="H231" s="4">
        <v>0</v>
      </c>
      <c r="I231" s="5">
        <f t="shared" si="87"/>
        <v>0</v>
      </c>
      <c r="J231" s="5">
        <f t="shared" si="88"/>
        <v>0</v>
      </c>
      <c r="K231">
        <v>0</v>
      </c>
      <c r="N231" s="51">
        <v>0</v>
      </c>
    </row>
    <row r="232" spans="1:17">
      <c r="A232" s="80" t="s">
        <v>1196</v>
      </c>
      <c r="B232" s="4">
        <v>0</v>
      </c>
      <c r="C232" s="4">
        <v>0</v>
      </c>
      <c r="D232" s="4">
        <v>45</v>
      </c>
      <c r="E232" s="4">
        <v>0</v>
      </c>
      <c r="F232" s="4">
        <v>0</v>
      </c>
      <c r="G232" s="10">
        <f t="shared" si="67"/>
        <v>0</v>
      </c>
      <c r="H232" s="4">
        <v>0</v>
      </c>
      <c r="I232" s="5">
        <f>G232*D232</f>
        <v>0</v>
      </c>
      <c r="J232" s="5">
        <f t="shared" si="88"/>
        <v>0</v>
      </c>
      <c r="K232">
        <v>0</v>
      </c>
      <c r="N232" s="51">
        <v>0</v>
      </c>
    </row>
    <row r="233" spans="1:17">
      <c r="A233" s="80" t="s">
        <v>1198</v>
      </c>
      <c r="B233" s="4">
        <v>9</v>
      </c>
      <c r="C233" s="4">
        <v>5</v>
      </c>
      <c r="D233" s="4">
        <v>45</v>
      </c>
      <c r="E233" s="4">
        <v>1</v>
      </c>
      <c r="F233" s="4">
        <v>50</v>
      </c>
      <c r="G233" s="10">
        <f t="shared" si="67"/>
        <v>9.0833333333333339</v>
      </c>
      <c r="H233" s="4">
        <v>50</v>
      </c>
      <c r="I233" s="5">
        <f>G233*D233</f>
        <v>408.75</v>
      </c>
      <c r="J233" s="5">
        <f t="shared" si="88"/>
        <v>358.75</v>
      </c>
      <c r="K233">
        <v>13</v>
      </c>
      <c r="N233" s="51">
        <f>20+140</f>
        <v>160</v>
      </c>
      <c r="P233" t="s">
        <v>1296</v>
      </c>
    </row>
    <row r="234" spans="1:17">
      <c r="A234" s="80" t="s">
        <v>1200</v>
      </c>
      <c r="B234" s="4">
        <v>10</v>
      </c>
      <c r="C234" s="4">
        <v>31</v>
      </c>
      <c r="D234" s="12">
        <v>45</v>
      </c>
      <c r="E234" s="12">
        <v>1</v>
      </c>
      <c r="F234" s="12">
        <v>50</v>
      </c>
      <c r="G234" s="10">
        <f>B234+C234/60</f>
        <v>10.516666666666667</v>
      </c>
      <c r="H234" s="4">
        <v>50</v>
      </c>
      <c r="I234" s="5">
        <f>G234*D234</f>
        <v>473.25000000000006</v>
      </c>
      <c r="J234" s="5">
        <f>I234-H234</f>
        <v>423.25000000000006</v>
      </c>
      <c r="K234">
        <v>22</v>
      </c>
      <c r="N234" s="51">
        <v>729</v>
      </c>
    </row>
    <row r="235" spans="1:17">
      <c r="A235" s="80" t="s">
        <v>1202</v>
      </c>
      <c r="B235" s="4">
        <v>10</v>
      </c>
      <c r="C235" s="12">
        <v>44</v>
      </c>
      <c r="D235" s="194">
        <v>45</v>
      </c>
      <c r="E235" s="194">
        <v>1</v>
      </c>
      <c r="F235" s="194">
        <v>50</v>
      </c>
      <c r="G235" s="10">
        <f>B235+C235/60</f>
        <v>10.733333333333333</v>
      </c>
      <c r="H235" s="4">
        <v>50</v>
      </c>
      <c r="I235" s="5">
        <f>G235*D235</f>
        <v>482.99999999999994</v>
      </c>
      <c r="J235" s="5">
        <f>I235-H235</f>
        <v>432.99999999999994</v>
      </c>
      <c r="K235">
        <v>19</v>
      </c>
      <c r="N235" s="51">
        <f>693+134</f>
        <v>827</v>
      </c>
      <c r="P235" t="s">
        <v>1297</v>
      </c>
    </row>
    <row r="236" spans="1:17">
      <c r="A236" s="80" t="s">
        <v>1218</v>
      </c>
      <c r="B236" s="4">
        <v>10</v>
      </c>
      <c r="C236" s="12">
        <v>53</v>
      </c>
      <c r="D236" s="194">
        <v>45</v>
      </c>
      <c r="E236" s="194">
        <v>1</v>
      </c>
      <c r="F236" s="194">
        <v>50</v>
      </c>
      <c r="G236" s="174">
        <f>B236+C236/60</f>
        <v>10.883333333333333</v>
      </c>
      <c r="H236" s="4">
        <v>50</v>
      </c>
      <c r="I236" s="5">
        <f>G236*D236</f>
        <v>489.75</v>
      </c>
      <c r="J236" s="5">
        <f>I236-H236</f>
        <v>439.75</v>
      </c>
      <c r="K236">
        <v>19</v>
      </c>
      <c r="N236" s="51">
        <f>460+200+100</f>
        <v>760</v>
      </c>
      <c r="P236" t="s">
        <v>1226</v>
      </c>
    </row>
    <row r="237" spans="1:17" ht="19">
      <c r="A237" s="91" t="s">
        <v>1150</v>
      </c>
      <c r="B237" s="8">
        <f>SUM(B238:B244)</f>
        <v>43</v>
      </c>
      <c r="C237" s="103">
        <f>SUM(C238:C244)</f>
        <v>51</v>
      </c>
      <c r="D237" s="126">
        <f>SUM(D238)</f>
        <v>45</v>
      </c>
      <c r="E237" s="126">
        <f>SUM(E238:E244)</f>
        <v>4</v>
      </c>
      <c r="F237" s="126">
        <f>SUM(F238:F244)</f>
        <v>350</v>
      </c>
      <c r="G237" s="123">
        <f>B237+C237/60</f>
        <v>43.85</v>
      </c>
      <c r="H237" s="8">
        <f>SUM(H238:H244)</f>
        <v>200</v>
      </c>
      <c r="I237" s="14">
        <f>SUM(I238:I244)</f>
        <v>1973.25</v>
      </c>
      <c r="J237" s="14">
        <f>SUM(J238:J244)</f>
        <v>1773.25</v>
      </c>
      <c r="K237" s="8">
        <f>SUM(K238:K244)</f>
        <v>89</v>
      </c>
      <c r="L237" s="9">
        <v>0</v>
      </c>
      <c r="M237" s="96">
        <f>J237</f>
        <v>1773.25</v>
      </c>
      <c r="N237" s="102">
        <f>SUM(N238:N244)</f>
        <v>1640</v>
      </c>
      <c r="O237" s="98">
        <f>1619-N237</f>
        <v>-21</v>
      </c>
      <c r="P237" s="86"/>
      <c r="Q237" s="86"/>
    </row>
    <row r="238" spans="1:17">
      <c r="A238" s="6">
        <v>46153</v>
      </c>
      <c r="B238" s="4">
        <v>11</v>
      </c>
      <c r="C238" s="4">
        <v>0</v>
      </c>
      <c r="D238" s="4">
        <v>45</v>
      </c>
      <c r="E238" s="4">
        <v>1</v>
      </c>
      <c r="F238" s="4">
        <v>50</v>
      </c>
      <c r="G238" s="10">
        <f t="shared" ref="G238:G242" si="89">B238+C238/60</f>
        <v>11</v>
      </c>
      <c r="H238" s="4">
        <v>50</v>
      </c>
      <c r="I238" s="5">
        <f t="shared" ref="I238:I240" si="90">G238*D238</f>
        <v>495</v>
      </c>
      <c r="J238" s="5">
        <f t="shared" ref="J238:J242" si="91">I238-H238</f>
        <v>445</v>
      </c>
      <c r="K238">
        <v>25</v>
      </c>
      <c r="N238" s="51">
        <f>335+300</f>
        <v>635</v>
      </c>
      <c r="O238" s="51"/>
    </row>
    <row r="239" spans="1:17">
      <c r="A239" s="6">
        <v>46154</v>
      </c>
      <c r="B239" s="4">
        <v>11</v>
      </c>
      <c r="C239" s="4">
        <v>0</v>
      </c>
      <c r="D239" s="4">
        <v>45</v>
      </c>
      <c r="E239" s="4">
        <v>1</v>
      </c>
      <c r="F239" s="4">
        <v>50</v>
      </c>
      <c r="G239" s="10">
        <f t="shared" si="89"/>
        <v>11</v>
      </c>
      <c r="H239" s="4">
        <v>50</v>
      </c>
      <c r="I239" s="5">
        <f t="shared" si="90"/>
        <v>495</v>
      </c>
      <c r="J239" s="5">
        <f t="shared" si="91"/>
        <v>445</v>
      </c>
      <c r="K239">
        <v>17</v>
      </c>
      <c r="N239" s="51">
        <f>288</f>
        <v>288</v>
      </c>
    </row>
    <row r="240" spans="1:17">
      <c r="A240" s="6">
        <v>46155</v>
      </c>
      <c r="B240" s="4">
        <v>0</v>
      </c>
      <c r="C240" s="4">
        <v>0</v>
      </c>
      <c r="D240" s="4">
        <v>45</v>
      </c>
      <c r="E240" s="4">
        <v>0</v>
      </c>
      <c r="F240" s="4">
        <v>50</v>
      </c>
      <c r="G240" s="10">
        <f t="shared" si="89"/>
        <v>0</v>
      </c>
      <c r="H240" s="4"/>
      <c r="I240" s="5">
        <f t="shared" si="90"/>
        <v>0</v>
      </c>
      <c r="J240" s="5">
        <f t="shared" si="91"/>
        <v>0</v>
      </c>
      <c r="N240" s="51">
        <v>0</v>
      </c>
    </row>
    <row r="241" spans="1:17">
      <c r="A241" s="6">
        <v>46156</v>
      </c>
      <c r="B241" s="4">
        <v>10</v>
      </c>
      <c r="C241" s="4">
        <v>51</v>
      </c>
      <c r="D241" s="4">
        <v>45</v>
      </c>
      <c r="E241" s="4">
        <v>1</v>
      </c>
      <c r="F241" s="4">
        <v>50</v>
      </c>
      <c r="G241" s="10">
        <f t="shared" si="89"/>
        <v>10.85</v>
      </c>
      <c r="H241" s="4">
        <v>50</v>
      </c>
      <c r="I241" s="5">
        <f>G241*D241</f>
        <v>488.25</v>
      </c>
      <c r="J241" s="5">
        <f t="shared" si="91"/>
        <v>438.25</v>
      </c>
      <c r="K241">
        <v>22</v>
      </c>
      <c r="N241" s="51">
        <v>417</v>
      </c>
    </row>
    <row r="242" spans="1:17">
      <c r="A242" s="6">
        <v>46157</v>
      </c>
      <c r="B242" s="4">
        <v>11</v>
      </c>
      <c r="C242" s="4">
        <v>0</v>
      </c>
      <c r="D242" s="4">
        <v>45</v>
      </c>
      <c r="E242" s="4">
        <v>1</v>
      </c>
      <c r="F242" s="4">
        <v>50</v>
      </c>
      <c r="G242" s="10">
        <f t="shared" si="89"/>
        <v>11</v>
      </c>
      <c r="H242" s="4">
        <v>50</v>
      </c>
      <c r="I242" s="5">
        <f t="shared" ref="I242" si="92">G242*D242</f>
        <v>495</v>
      </c>
      <c r="J242" s="5">
        <f t="shared" si="91"/>
        <v>445</v>
      </c>
      <c r="K242">
        <v>25</v>
      </c>
      <c r="N242" s="51">
        <v>300</v>
      </c>
    </row>
    <row r="243" spans="1:17">
      <c r="A243" s="6">
        <v>46158</v>
      </c>
      <c r="B243" s="4">
        <v>0</v>
      </c>
      <c r="C243" s="4">
        <v>0</v>
      </c>
      <c r="D243" s="4">
        <v>45</v>
      </c>
      <c r="E243" s="4">
        <v>0</v>
      </c>
      <c r="F243" s="4">
        <v>50</v>
      </c>
      <c r="G243" s="10">
        <v>0</v>
      </c>
      <c r="H243" s="4"/>
      <c r="I243" s="5">
        <f>G243*D243</f>
        <v>0</v>
      </c>
      <c r="J243" s="5">
        <f>I243-H243</f>
        <v>0</v>
      </c>
      <c r="N243" s="51">
        <v>0</v>
      </c>
    </row>
    <row r="244" spans="1:17">
      <c r="A244" s="6">
        <v>46159</v>
      </c>
      <c r="B244" s="4">
        <v>0</v>
      </c>
      <c r="C244" s="4">
        <v>0</v>
      </c>
      <c r="D244" s="4">
        <v>45</v>
      </c>
      <c r="E244" s="4">
        <v>0</v>
      </c>
      <c r="F244" s="4">
        <v>50</v>
      </c>
      <c r="G244" s="10">
        <f t="shared" ref="G244:G266" si="93">B244+C244/60</f>
        <v>0</v>
      </c>
      <c r="H244" s="4"/>
      <c r="I244" s="5">
        <f t="shared" ref="I244" si="94">G244*D244</f>
        <v>0</v>
      </c>
      <c r="J244" s="5">
        <f t="shared" ref="J244" si="95">I244-H244</f>
        <v>0</v>
      </c>
      <c r="N244" s="51">
        <v>0</v>
      </c>
    </row>
    <row r="245" spans="1:17" ht="19">
      <c r="A245" s="91" t="s">
        <v>1298</v>
      </c>
      <c r="B245" s="8">
        <f>SUM(B246:B252)</f>
        <v>55</v>
      </c>
      <c r="C245" s="8">
        <f>SUM(C246:C252)</f>
        <v>147</v>
      </c>
      <c r="D245" s="126">
        <f>SUM(D246)</f>
        <v>45</v>
      </c>
      <c r="E245" s="126">
        <f>SUM(E246:E252)</f>
        <v>6</v>
      </c>
      <c r="F245" s="126">
        <f>SUM(F246:F252)</f>
        <v>300</v>
      </c>
      <c r="G245" s="123">
        <f t="shared" ref="G245:G252" si="96">B245+C245/60</f>
        <v>57.45</v>
      </c>
      <c r="H245" s="8">
        <f>SUM(H246:H252)</f>
        <v>300</v>
      </c>
      <c r="I245" s="14">
        <f>SUM(I246:I252)</f>
        <v>2585.25</v>
      </c>
      <c r="J245" s="14">
        <f>SUM(J246:J252)</f>
        <v>2285.25</v>
      </c>
      <c r="K245" s="8">
        <f>SUM(K246:K252)</f>
        <v>98</v>
      </c>
      <c r="L245" s="9">
        <v>0</v>
      </c>
      <c r="M245" s="96">
        <f>J245</f>
        <v>2285.25</v>
      </c>
      <c r="N245" s="102">
        <f>SUM(N246:N252)</f>
        <v>2329</v>
      </c>
      <c r="O245" s="98">
        <f>2301-N245</f>
        <v>-28</v>
      </c>
      <c r="P245" s="86"/>
      <c r="Q245" s="86"/>
    </row>
    <row r="246" spans="1:17">
      <c r="A246" s="6">
        <v>46153</v>
      </c>
      <c r="B246" s="4">
        <v>9</v>
      </c>
      <c r="C246" s="4">
        <v>15</v>
      </c>
      <c r="D246" s="4">
        <v>45</v>
      </c>
      <c r="E246" s="4">
        <v>1</v>
      </c>
      <c r="F246" s="4">
        <v>50</v>
      </c>
      <c r="G246" s="10">
        <f t="shared" si="96"/>
        <v>9.25</v>
      </c>
      <c r="H246" s="4">
        <v>50</v>
      </c>
      <c r="I246" s="5">
        <f t="shared" ref="I246:I248" si="97">G246*D246</f>
        <v>416.25</v>
      </c>
      <c r="J246" s="5">
        <f t="shared" ref="J246:J252" si="98">I246-H246</f>
        <v>366.25</v>
      </c>
      <c r="K246">
        <v>16</v>
      </c>
      <c r="N246" s="51">
        <f>120+200</f>
        <v>320</v>
      </c>
      <c r="O246" s="51"/>
    </row>
    <row r="247" spans="1:17">
      <c r="A247" s="6">
        <v>46154</v>
      </c>
      <c r="B247" s="4">
        <v>0</v>
      </c>
      <c r="C247" s="4">
        <v>0</v>
      </c>
      <c r="D247" s="4">
        <v>45</v>
      </c>
      <c r="E247" s="4">
        <v>0</v>
      </c>
      <c r="F247" s="4">
        <v>0</v>
      </c>
      <c r="G247" s="10">
        <f t="shared" si="96"/>
        <v>0</v>
      </c>
      <c r="H247" s="4">
        <v>0</v>
      </c>
      <c r="I247" s="5">
        <f t="shared" si="97"/>
        <v>0</v>
      </c>
      <c r="J247" s="5">
        <f t="shared" si="98"/>
        <v>0</v>
      </c>
      <c r="K247">
        <v>0</v>
      </c>
      <c r="N247" s="51">
        <v>0</v>
      </c>
    </row>
    <row r="248" spans="1:17">
      <c r="A248" s="6">
        <v>46155</v>
      </c>
      <c r="B248" s="4">
        <v>9</v>
      </c>
      <c r="C248" s="4">
        <v>26</v>
      </c>
      <c r="D248" s="4">
        <v>45</v>
      </c>
      <c r="E248" s="4">
        <v>1</v>
      </c>
      <c r="F248" s="4">
        <v>50</v>
      </c>
      <c r="G248" s="10">
        <f t="shared" si="96"/>
        <v>9.4333333333333336</v>
      </c>
      <c r="H248" s="4">
        <v>50</v>
      </c>
      <c r="I248" s="5">
        <f t="shared" si="97"/>
        <v>424.5</v>
      </c>
      <c r="J248" s="5">
        <f t="shared" si="98"/>
        <v>374.5</v>
      </c>
      <c r="K248">
        <v>15</v>
      </c>
      <c r="N248" s="51">
        <f>116+200</f>
        <v>316</v>
      </c>
      <c r="P248" t="s">
        <v>1299</v>
      </c>
    </row>
    <row r="249" spans="1:17">
      <c r="A249" s="6">
        <v>46156</v>
      </c>
      <c r="B249" s="4">
        <v>10</v>
      </c>
      <c r="C249" s="4">
        <v>14</v>
      </c>
      <c r="D249" s="4">
        <v>45</v>
      </c>
      <c r="E249" s="4">
        <v>1</v>
      </c>
      <c r="F249" s="4">
        <v>50</v>
      </c>
      <c r="G249" s="10">
        <f t="shared" si="96"/>
        <v>10.233333333333333</v>
      </c>
      <c r="H249" s="4">
        <v>50</v>
      </c>
      <c r="I249" s="5">
        <f>G249*D249</f>
        <v>460.49999999999994</v>
      </c>
      <c r="J249" s="5">
        <f t="shared" si="98"/>
        <v>410.49999999999994</v>
      </c>
      <c r="K249">
        <v>14</v>
      </c>
      <c r="N249" s="51">
        <f>229+200</f>
        <v>429</v>
      </c>
      <c r="P249" t="s">
        <v>1299</v>
      </c>
    </row>
    <row r="250" spans="1:17">
      <c r="A250" s="6">
        <v>46157</v>
      </c>
      <c r="B250" s="4">
        <v>9</v>
      </c>
      <c r="C250" s="4">
        <v>29</v>
      </c>
      <c r="D250" s="4">
        <v>45</v>
      </c>
      <c r="E250" s="4">
        <v>1</v>
      </c>
      <c r="F250" s="4">
        <v>50</v>
      </c>
      <c r="G250" s="10">
        <f t="shared" si="96"/>
        <v>9.4833333333333325</v>
      </c>
      <c r="H250" s="4">
        <v>50</v>
      </c>
      <c r="I250" s="5">
        <f t="shared" ref="I250:I252" si="99">G250*D250</f>
        <v>426.74999999999994</v>
      </c>
      <c r="J250" s="5">
        <f t="shared" si="98"/>
        <v>376.74999999999994</v>
      </c>
      <c r="K250">
        <v>14</v>
      </c>
      <c r="N250" s="51">
        <f>252+100</f>
        <v>352</v>
      </c>
      <c r="P250" t="s">
        <v>1300</v>
      </c>
    </row>
    <row r="251" spans="1:17">
      <c r="A251" s="6">
        <v>46158</v>
      </c>
      <c r="B251" s="4">
        <v>9</v>
      </c>
      <c r="C251" s="4">
        <v>5</v>
      </c>
      <c r="D251" s="4">
        <v>45</v>
      </c>
      <c r="E251" s="4">
        <v>1</v>
      </c>
      <c r="F251" s="4">
        <v>50</v>
      </c>
      <c r="G251" s="10">
        <f t="shared" si="96"/>
        <v>9.0833333333333339</v>
      </c>
      <c r="H251" s="4">
        <v>50</v>
      </c>
      <c r="I251" s="5">
        <f t="shared" si="99"/>
        <v>408.75</v>
      </c>
      <c r="J251" s="5">
        <f t="shared" si="98"/>
        <v>358.75</v>
      </c>
      <c r="K251">
        <v>19</v>
      </c>
      <c r="N251" s="51">
        <f>341+100</f>
        <v>441</v>
      </c>
      <c r="P251" t="s">
        <v>1300</v>
      </c>
    </row>
    <row r="252" spans="1:17">
      <c r="A252" s="6">
        <v>46159</v>
      </c>
      <c r="B252" s="4">
        <v>9</v>
      </c>
      <c r="C252" s="4">
        <v>58</v>
      </c>
      <c r="D252" s="7">
        <v>45</v>
      </c>
      <c r="E252" s="7">
        <v>1</v>
      </c>
      <c r="F252" s="7">
        <v>50</v>
      </c>
      <c r="G252" s="10">
        <f t="shared" si="96"/>
        <v>9.9666666666666668</v>
      </c>
      <c r="H252" s="4">
        <v>50</v>
      </c>
      <c r="I252" s="5">
        <f t="shared" si="99"/>
        <v>448.5</v>
      </c>
      <c r="J252" s="5">
        <f t="shared" si="98"/>
        <v>398.5</v>
      </c>
      <c r="K252">
        <v>20</v>
      </c>
      <c r="N252" s="51">
        <f>271+100+100</f>
        <v>471</v>
      </c>
      <c r="P252" t="s">
        <v>1225</v>
      </c>
    </row>
    <row r="253" spans="1:17" ht="19">
      <c r="A253" s="91" t="s">
        <v>936</v>
      </c>
      <c r="B253" s="8">
        <f>SUM(B254:B260)</f>
        <v>62</v>
      </c>
      <c r="C253" s="8">
        <f>SUM(C254:C260)</f>
        <v>216</v>
      </c>
      <c r="D253" s="171">
        <f>SUM(D254)</f>
        <v>55</v>
      </c>
      <c r="E253" s="171">
        <f>SUM(E254:E260)</f>
        <v>7</v>
      </c>
      <c r="F253" s="189">
        <f>SUM(F254:F260)</f>
        <v>350</v>
      </c>
      <c r="G253" s="123">
        <f t="shared" ref="G253:G260" si="100">B253+C253/60</f>
        <v>65.599999999999994</v>
      </c>
      <c r="H253" s="8">
        <f>SUM(H254:H260)</f>
        <v>1477.5</v>
      </c>
      <c r="I253" s="14">
        <f>SUM(I254:I260)</f>
        <v>3260</v>
      </c>
      <c r="J253" s="14">
        <f>SUM(J254:J260)</f>
        <v>1782.5000000000002</v>
      </c>
      <c r="K253" s="8">
        <f>SUM(K254:K260)</f>
        <v>165</v>
      </c>
      <c r="L253" s="9">
        <v>0</v>
      </c>
      <c r="M253" s="96">
        <f>J253</f>
        <v>1782.5000000000002</v>
      </c>
      <c r="N253" s="102">
        <f>SUM(N254:N260)</f>
        <v>3908</v>
      </c>
      <c r="O253" s="98">
        <f>4334-N253</f>
        <v>426</v>
      </c>
      <c r="P253" s="86"/>
      <c r="Q253" s="86"/>
    </row>
    <row r="254" spans="1:17">
      <c r="A254" s="6">
        <v>46153</v>
      </c>
      <c r="B254" s="4">
        <v>11</v>
      </c>
      <c r="C254" s="4">
        <v>0</v>
      </c>
      <c r="D254" s="141">
        <v>55</v>
      </c>
      <c r="E254" s="141">
        <v>1</v>
      </c>
      <c r="F254" s="4">
        <v>50</v>
      </c>
      <c r="G254" s="10">
        <f t="shared" si="100"/>
        <v>11</v>
      </c>
      <c r="H254" s="4">
        <v>50</v>
      </c>
      <c r="I254" s="5">
        <f t="shared" ref="I254:I256" si="101">G254*D254</f>
        <v>605</v>
      </c>
      <c r="J254" s="5">
        <f t="shared" ref="J254:J260" si="102">I254-H254</f>
        <v>555</v>
      </c>
      <c r="K254">
        <v>31</v>
      </c>
      <c r="N254" s="51">
        <f>290+300+200+14+171</f>
        <v>975</v>
      </c>
      <c r="O254" s="51"/>
    </row>
    <row r="255" spans="1:17">
      <c r="A255" s="6">
        <v>46154</v>
      </c>
      <c r="B255" s="4">
        <v>10</v>
      </c>
      <c r="C255" s="4">
        <v>25</v>
      </c>
      <c r="D255" s="4">
        <v>45</v>
      </c>
      <c r="E255" s="4">
        <v>1</v>
      </c>
      <c r="F255" s="4">
        <v>50</v>
      </c>
      <c r="G255" s="10">
        <f t="shared" si="100"/>
        <v>10.416666666666666</v>
      </c>
      <c r="H255" s="4">
        <v>50</v>
      </c>
      <c r="I255" s="5">
        <f t="shared" si="101"/>
        <v>468.75</v>
      </c>
      <c r="J255" s="5">
        <f t="shared" si="102"/>
        <v>418.75</v>
      </c>
      <c r="K255">
        <v>22</v>
      </c>
      <c r="N255" s="51">
        <f>370+300</f>
        <v>670</v>
      </c>
    </row>
    <row r="256" spans="1:17">
      <c r="A256" s="6">
        <v>46155</v>
      </c>
      <c r="B256" s="4">
        <v>10</v>
      </c>
      <c r="C256" s="4">
        <v>55</v>
      </c>
      <c r="D256" s="4">
        <v>45</v>
      </c>
      <c r="E256" s="4">
        <v>1</v>
      </c>
      <c r="F256" s="4">
        <v>50</v>
      </c>
      <c r="G256" s="10">
        <f t="shared" si="100"/>
        <v>10.916666666666666</v>
      </c>
      <c r="H256" s="4">
        <f>50+67.5</f>
        <v>117.5</v>
      </c>
      <c r="I256" s="5">
        <f t="shared" si="101"/>
        <v>491.25</v>
      </c>
      <c r="J256" s="5">
        <f t="shared" si="102"/>
        <v>373.75</v>
      </c>
      <c r="K256">
        <v>19</v>
      </c>
      <c r="N256" s="51">
        <f>90+150+300</f>
        <v>540</v>
      </c>
      <c r="P256" t="s">
        <v>1301</v>
      </c>
    </row>
    <row r="257" spans="1:17">
      <c r="A257" s="6">
        <v>46156</v>
      </c>
      <c r="B257" s="4">
        <v>8</v>
      </c>
      <c r="C257" s="4">
        <v>32</v>
      </c>
      <c r="D257" s="4">
        <v>45</v>
      </c>
      <c r="E257" s="4">
        <v>1</v>
      </c>
      <c r="F257" s="4">
        <v>50</v>
      </c>
      <c r="G257" s="10">
        <f t="shared" si="100"/>
        <v>8.5333333333333332</v>
      </c>
      <c r="H257" s="4">
        <f>50+254</f>
        <v>304</v>
      </c>
      <c r="I257" s="5">
        <f>G257*D257</f>
        <v>384</v>
      </c>
      <c r="J257" s="5">
        <f>I257-H257</f>
        <v>80</v>
      </c>
      <c r="K257">
        <v>20</v>
      </c>
      <c r="N257" s="51">
        <v>52</v>
      </c>
      <c r="P257" t="s">
        <v>1302</v>
      </c>
    </row>
    <row r="258" spans="1:17">
      <c r="A258" s="6">
        <v>46157</v>
      </c>
      <c r="B258" s="4">
        <v>10</v>
      </c>
      <c r="C258" s="4">
        <v>35</v>
      </c>
      <c r="D258" s="4">
        <v>55</v>
      </c>
      <c r="E258" s="4">
        <v>1</v>
      </c>
      <c r="F258" s="4">
        <v>50</v>
      </c>
      <c r="G258" s="10">
        <f t="shared" si="100"/>
        <v>10.583333333333334</v>
      </c>
      <c r="H258" s="4">
        <f>50+83.5</f>
        <v>133.5</v>
      </c>
      <c r="I258" s="5">
        <f t="shared" ref="I258:I260" si="103">G258*D258</f>
        <v>582.08333333333337</v>
      </c>
      <c r="J258" s="5">
        <f>I258-H258</f>
        <v>448.58333333333337</v>
      </c>
      <c r="K258">
        <v>27</v>
      </c>
      <c r="N258" s="51">
        <v>611</v>
      </c>
      <c r="P258" t="s">
        <v>1303</v>
      </c>
    </row>
    <row r="259" spans="1:17">
      <c r="A259" s="6">
        <v>46158</v>
      </c>
      <c r="B259" s="4">
        <v>4</v>
      </c>
      <c r="C259" s="4">
        <v>56</v>
      </c>
      <c r="D259" s="4">
        <v>45</v>
      </c>
      <c r="E259" s="4">
        <v>1</v>
      </c>
      <c r="F259" s="4">
        <v>50</v>
      </c>
      <c r="G259" s="10">
        <f t="shared" si="100"/>
        <v>4.9333333333333336</v>
      </c>
      <c r="H259" s="4">
        <f>50+394</f>
        <v>444</v>
      </c>
      <c r="I259" s="5">
        <f t="shared" si="103"/>
        <v>222</v>
      </c>
      <c r="J259" s="5">
        <f t="shared" si="102"/>
        <v>-222</v>
      </c>
      <c r="K259">
        <v>19</v>
      </c>
      <c r="N259" s="51">
        <v>380</v>
      </c>
      <c r="P259" t="s">
        <v>1304</v>
      </c>
    </row>
    <row r="260" spans="1:17">
      <c r="A260" s="6">
        <v>46159</v>
      </c>
      <c r="B260" s="4">
        <v>9</v>
      </c>
      <c r="C260" s="4">
        <v>13</v>
      </c>
      <c r="D260" s="7">
        <v>55</v>
      </c>
      <c r="E260" s="7">
        <v>1</v>
      </c>
      <c r="F260" s="7">
        <v>50</v>
      </c>
      <c r="G260" s="10">
        <f t="shared" si="100"/>
        <v>9.2166666666666668</v>
      </c>
      <c r="H260" s="4">
        <f>50+328.5</f>
        <v>378.5</v>
      </c>
      <c r="I260" s="5">
        <f t="shared" si="103"/>
        <v>506.91666666666669</v>
      </c>
      <c r="J260" s="5">
        <f t="shared" si="102"/>
        <v>128.41666666666669</v>
      </c>
      <c r="K260">
        <v>27</v>
      </c>
      <c r="N260" s="51">
        <f>330+150+200</f>
        <v>680</v>
      </c>
      <c r="P260" t="s">
        <v>1305</v>
      </c>
    </row>
    <row r="261" spans="1:17" ht="19">
      <c r="A261" s="91" t="s">
        <v>542</v>
      </c>
      <c r="B261" s="8">
        <f>SUM(B262:B268)</f>
        <v>39</v>
      </c>
      <c r="C261" s="8">
        <f t="shared" ref="C261" si="104">SUM(C262:C268)</f>
        <v>186</v>
      </c>
      <c r="D261" s="126">
        <f>SUM(D262)</f>
        <v>45</v>
      </c>
      <c r="E261" s="126">
        <f t="shared" ref="E261:F261" si="105">SUM(E262:E268)</f>
        <v>5</v>
      </c>
      <c r="F261" s="126">
        <f t="shared" si="105"/>
        <v>350</v>
      </c>
      <c r="G261" s="123">
        <f t="shared" si="93"/>
        <v>42.1</v>
      </c>
      <c r="H261" s="8">
        <f>SUM(H262:H268)</f>
        <v>408</v>
      </c>
      <c r="I261" s="14">
        <f>SUM(I262:I268)</f>
        <v>1983.8333333333335</v>
      </c>
      <c r="J261" s="14">
        <f>SUM(J262:J268)</f>
        <v>1575.8333333333335</v>
      </c>
      <c r="K261" s="8">
        <f>SUM(K262:K268)</f>
        <v>115</v>
      </c>
      <c r="L261" s="9">
        <v>0</v>
      </c>
      <c r="M261" s="96">
        <f>J261</f>
        <v>1575.8333333333335</v>
      </c>
      <c r="N261" s="102">
        <f>SUM(N262:N268)</f>
        <v>1973.5</v>
      </c>
      <c r="O261" s="98">
        <f>2632-N261</f>
        <v>658.5</v>
      </c>
      <c r="P261" s="86"/>
      <c r="Q261" s="86"/>
    </row>
    <row r="262" spans="1:17">
      <c r="A262" s="80" t="s">
        <v>1072</v>
      </c>
      <c r="B262" s="4">
        <v>0</v>
      </c>
      <c r="C262" s="4">
        <v>0</v>
      </c>
      <c r="D262" s="4">
        <v>45</v>
      </c>
      <c r="E262" s="4">
        <v>0</v>
      </c>
      <c r="F262" s="4">
        <v>50</v>
      </c>
      <c r="G262" s="10">
        <f t="shared" si="93"/>
        <v>0</v>
      </c>
      <c r="H262" s="4">
        <v>0</v>
      </c>
      <c r="I262" s="5">
        <f t="shared" ref="I262:I264" si="106">G262*D262</f>
        <v>0</v>
      </c>
      <c r="J262" s="5">
        <f t="shared" ref="J262:J266" si="107">I262-H262</f>
        <v>0</v>
      </c>
      <c r="K262">
        <v>0</v>
      </c>
      <c r="N262" s="51">
        <v>0</v>
      </c>
      <c r="O262" s="51"/>
    </row>
    <row r="263" spans="1:17">
      <c r="A263" s="80" t="s">
        <v>1193</v>
      </c>
      <c r="B263" s="4">
        <v>0</v>
      </c>
      <c r="C263" s="4">
        <v>0</v>
      </c>
      <c r="D263" s="4">
        <v>45</v>
      </c>
      <c r="E263" s="4">
        <v>0</v>
      </c>
      <c r="F263" s="4">
        <v>50</v>
      </c>
      <c r="G263" s="10">
        <f t="shared" si="93"/>
        <v>0</v>
      </c>
      <c r="H263" s="4">
        <v>0</v>
      </c>
      <c r="I263" s="5">
        <f t="shared" si="106"/>
        <v>0</v>
      </c>
      <c r="J263" s="5">
        <f t="shared" si="107"/>
        <v>0</v>
      </c>
      <c r="K263">
        <v>0</v>
      </c>
      <c r="N263" s="51">
        <v>0</v>
      </c>
    </row>
    <row r="264" spans="1:17">
      <c r="A264" s="80" t="s">
        <v>1194</v>
      </c>
      <c r="B264" s="4">
        <v>7</v>
      </c>
      <c r="C264" s="4">
        <v>47</v>
      </c>
      <c r="D264" s="4">
        <v>45</v>
      </c>
      <c r="E264" s="4">
        <v>1</v>
      </c>
      <c r="F264" s="4">
        <v>50</v>
      </c>
      <c r="G264" s="10">
        <f t="shared" si="93"/>
        <v>7.7833333333333332</v>
      </c>
      <c r="H264" s="4">
        <f>50+158</f>
        <v>208</v>
      </c>
      <c r="I264" s="5">
        <f t="shared" si="106"/>
        <v>350.25</v>
      </c>
      <c r="J264" s="5">
        <f t="shared" si="107"/>
        <v>142.25</v>
      </c>
      <c r="K264">
        <v>22</v>
      </c>
      <c r="N264" s="51">
        <v>361.5</v>
      </c>
      <c r="P264" t="s">
        <v>1306</v>
      </c>
    </row>
    <row r="265" spans="1:17">
      <c r="A265" s="80" t="s">
        <v>1196</v>
      </c>
      <c r="B265" s="4">
        <v>8</v>
      </c>
      <c r="C265" s="4">
        <v>28</v>
      </c>
      <c r="D265" s="4">
        <v>45</v>
      </c>
      <c r="E265" s="4">
        <v>1</v>
      </c>
      <c r="F265" s="4">
        <v>50</v>
      </c>
      <c r="G265" s="10">
        <f t="shared" si="93"/>
        <v>8.4666666666666668</v>
      </c>
      <c r="H265" s="4">
        <v>50</v>
      </c>
      <c r="I265" s="5">
        <f>G265*D265</f>
        <v>381</v>
      </c>
      <c r="J265" s="5">
        <f t="shared" si="107"/>
        <v>331</v>
      </c>
      <c r="K265">
        <v>22</v>
      </c>
      <c r="N265" s="51">
        <v>349</v>
      </c>
      <c r="P265" t="s">
        <v>1307</v>
      </c>
    </row>
    <row r="266" spans="1:17">
      <c r="A266" s="80" t="s">
        <v>1198</v>
      </c>
      <c r="B266" s="4">
        <v>8</v>
      </c>
      <c r="C266" s="4">
        <v>56</v>
      </c>
      <c r="D266" s="4">
        <v>55</v>
      </c>
      <c r="E266" s="4">
        <v>1</v>
      </c>
      <c r="F266" s="4">
        <v>50</v>
      </c>
      <c r="G266" s="10">
        <f t="shared" si="93"/>
        <v>8.9333333333333336</v>
      </c>
      <c r="H266" s="4">
        <v>50</v>
      </c>
      <c r="I266" s="5">
        <f t="shared" ref="I266" si="108">G266*D266</f>
        <v>491.33333333333337</v>
      </c>
      <c r="J266" s="5">
        <f t="shared" si="107"/>
        <v>441.33333333333337</v>
      </c>
      <c r="K266">
        <v>26</v>
      </c>
      <c r="N266" s="51">
        <v>312</v>
      </c>
      <c r="P266" t="s">
        <v>1308</v>
      </c>
    </row>
    <row r="267" spans="1:17">
      <c r="A267" s="80" t="s">
        <v>1200</v>
      </c>
      <c r="B267" s="4">
        <v>8</v>
      </c>
      <c r="C267" s="4">
        <v>51</v>
      </c>
      <c r="D267" s="4">
        <v>45</v>
      </c>
      <c r="E267" s="4">
        <v>1</v>
      </c>
      <c r="F267" s="4">
        <v>50</v>
      </c>
      <c r="G267" s="10">
        <f>B267+C267/60</f>
        <v>8.85</v>
      </c>
      <c r="H267" s="4">
        <v>50</v>
      </c>
      <c r="I267" s="5">
        <f>G267*D267</f>
        <v>398.25</v>
      </c>
      <c r="J267" s="5">
        <f>I267-H267</f>
        <v>348.25</v>
      </c>
      <c r="K267">
        <v>21</v>
      </c>
      <c r="N267" s="51">
        <f>258+350</f>
        <v>608</v>
      </c>
      <c r="P267" t="s">
        <v>1309</v>
      </c>
    </row>
    <row r="268" spans="1:17">
      <c r="A268" s="80" t="s">
        <v>1202</v>
      </c>
      <c r="B268" s="4">
        <v>8</v>
      </c>
      <c r="C268" s="4">
        <v>4</v>
      </c>
      <c r="D268" s="4">
        <v>45</v>
      </c>
      <c r="E268" s="4">
        <v>1</v>
      </c>
      <c r="F268" s="4">
        <v>50</v>
      </c>
      <c r="G268" s="10">
        <f t="shared" ref="G268:G274" si="109">B268+C268/60</f>
        <v>8.0666666666666664</v>
      </c>
      <c r="H268" s="4">
        <v>50</v>
      </c>
      <c r="I268" s="5">
        <f t="shared" ref="I268" si="110">G268*D268</f>
        <v>363</v>
      </c>
      <c r="J268" s="5">
        <f t="shared" ref="J268" si="111">I268-H268</f>
        <v>313</v>
      </c>
      <c r="K268">
        <v>24</v>
      </c>
      <c r="N268" s="51">
        <f>243+100</f>
        <v>343</v>
      </c>
      <c r="P268" t="s">
        <v>1310</v>
      </c>
    </row>
    <row r="269" spans="1:17" ht="19">
      <c r="A269" s="91" t="s">
        <v>548</v>
      </c>
      <c r="B269" s="8">
        <f>SUM(B270:B276)</f>
        <v>46</v>
      </c>
      <c r="C269" s="8">
        <f>SUM(C270:C276)</f>
        <v>158</v>
      </c>
      <c r="D269" s="126">
        <f>SUM(D270)</f>
        <v>45</v>
      </c>
      <c r="E269" s="126">
        <f>SUM(E270:E276)</f>
        <v>5</v>
      </c>
      <c r="F269" s="126">
        <f>SUM(F270:F276)</f>
        <v>350</v>
      </c>
      <c r="G269" s="123">
        <f t="shared" si="109"/>
        <v>48.633333333333333</v>
      </c>
      <c r="H269" s="8">
        <f>SUM(H270:H276)</f>
        <v>481</v>
      </c>
      <c r="I269" s="14">
        <f>SUM(I270:I276)</f>
        <v>2291.8333333333335</v>
      </c>
      <c r="J269" s="14">
        <f>SUM(J270:J276)</f>
        <v>1810.8333333333335</v>
      </c>
      <c r="K269" s="176">
        <f>SUM(K270:K276)</f>
        <v>127</v>
      </c>
      <c r="L269" s="9">
        <v>0</v>
      </c>
      <c r="M269" s="96">
        <f>J269</f>
        <v>1810.8333333333335</v>
      </c>
      <c r="N269" s="102">
        <f>SUM(N270:N276)</f>
        <v>2821</v>
      </c>
      <c r="O269" s="98">
        <f>2818-N269</f>
        <v>-3</v>
      </c>
      <c r="P269" s="86"/>
      <c r="Q269" s="86"/>
    </row>
    <row r="270" spans="1:17">
      <c r="A270" s="6">
        <v>46153</v>
      </c>
      <c r="B270" s="4">
        <v>0</v>
      </c>
      <c r="C270" s="4">
        <v>0</v>
      </c>
      <c r="D270" s="4">
        <v>45</v>
      </c>
      <c r="E270" s="4">
        <v>0</v>
      </c>
      <c r="F270" s="4">
        <v>50</v>
      </c>
      <c r="G270" s="10">
        <f t="shared" si="109"/>
        <v>0</v>
      </c>
      <c r="H270" s="4">
        <v>0</v>
      </c>
      <c r="I270" s="5">
        <f t="shared" ref="I270:I272" si="112">G270*D270</f>
        <v>0</v>
      </c>
      <c r="J270" s="5">
        <f t="shared" ref="J270:J274" si="113">I270-H270</f>
        <v>0</v>
      </c>
      <c r="K270">
        <v>0</v>
      </c>
      <c r="N270" s="51">
        <v>0</v>
      </c>
      <c r="O270" s="51"/>
    </row>
    <row r="271" spans="1:17">
      <c r="A271" s="6">
        <v>46154</v>
      </c>
      <c r="B271" s="4">
        <v>10</v>
      </c>
      <c r="C271" s="4">
        <v>37</v>
      </c>
      <c r="D271" s="4">
        <v>45</v>
      </c>
      <c r="E271" s="4">
        <v>1</v>
      </c>
      <c r="F271" s="4">
        <v>50</v>
      </c>
      <c r="G271" s="10">
        <f t="shared" si="109"/>
        <v>10.616666666666667</v>
      </c>
      <c r="H271" s="4">
        <v>50</v>
      </c>
      <c r="I271" s="5">
        <f t="shared" si="112"/>
        <v>477.75</v>
      </c>
      <c r="J271" s="5">
        <f t="shared" si="113"/>
        <v>427.75</v>
      </c>
      <c r="K271">
        <v>25</v>
      </c>
      <c r="N271" s="51">
        <f>294+300</f>
        <v>594</v>
      </c>
    </row>
    <row r="272" spans="1:17">
      <c r="A272" s="6">
        <v>46155</v>
      </c>
      <c r="B272" s="4">
        <v>8</v>
      </c>
      <c r="C272" s="4">
        <v>21</v>
      </c>
      <c r="D272" s="4">
        <v>45</v>
      </c>
      <c r="E272" s="4">
        <v>1</v>
      </c>
      <c r="F272" s="4">
        <v>50</v>
      </c>
      <c r="G272" s="10">
        <f t="shared" si="109"/>
        <v>8.35</v>
      </c>
      <c r="H272" s="4">
        <f>50+165.5</f>
        <v>215.5</v>
      </c>
      <c r="I272" s="5">
        <f t="shared" si="112"/>
        <v>375.75</v>
      </c>
      <c r="J272" s="5">
        <f t="shared" si="113"/>
        <v>160.25</v>
      </c>
      <c r="K272">
        <v>25</v>
      </c>
      <c r="N272" s="51">
        <v>430</v>
      </c>
      <c r="P272" t="s">
        <v>1311</v>
      </c>
    </row>
    <row r="273" spans="1:17">
      <c r="A273" s="6">
        <v>46156</v>
      </c>
      <c r="B273" s="4">
        <v>10</v>
      </c>
      <c r="C273" s="4">
        <v>20</v>
      </c>
      <c r="D273" s="4">
        <v>55</v>
      </c>
      <c r="E273" s="4">
        <v>1</v>
      </c>
      <c r="F273" s="4">
        <v>50</v>
      </c>
      <c r="G273" s="10">
        <f t="shared" si="109"/>
        <v>10.333333333333334</v>
      </c>
      <c r="H273" s="4">
        <f>50+65.5</f>
        <v>115.5</v>
      </c>
      <c r="I273" s="5">
        <f>G273*D273</f>
        <v>568.33333333333337</v>
      </c>
      <c r="J273" s="5">
        <f t="shared" si="113"/>
        <v>452.83333333333337</v>
      </c>
      <c r="K273">
        <v>27</v>
      </c>
      <c r="N273" s="51">
        <f>382+200</f>
        <v>582</v>
      </c>
      <c r="P273" t="s">
        <v>1312</v>
      </c>
    </row>
    <row r="274" spans="1:17">
      <c r="A274" s="6">
        <v>46157</v>
      </c>
      <c r="B274" s="4">
        <v>9</v>
      </c>
      <c r="C274" s="4">
        <v>34</v>
      </c>
      <c r="D274" s="4">
        <v>45</v>
      </c>
      <c r="E274" s="4">
        <v>1</v>
      </c>
      <c r="F274" s="4">
        <v>50</v>
      </c>
      <c r="G274" s="10">
        <f t="shared" si="109"/>
        <v>9.5666666666666664</v>
      </c>
      <c r="H274" s="4">
        <v>50</v>
      </c>
      <c r="I274" s="5">
        <f t="shared" ref="I274" si="114">G274*D274</f>
        <v>430.5</v>
      </c>
      <c r="J274" s="5">
        <f t="shared" si="113"/>
        <v>380.5</v>
      </c>
      <c r="K274">
        <v>25</v>
      </c>
      <c r="N274" s="51">
        <v>655</v>
      </c>
    </row>
    <row r="275" spans="1:17">
      <c r="A275" s="6">
        <v>46158</v>
      </c>
      <c r="B275" s="4">
        <v>9</v>
      </c>
      <c r="C275" s="4">
        <v>46</v>
      </c>
      <c r="D275" s="4">
        <v>45</v>
      </c>
      <c r="E275" s="4">
        <v>1</v>
      </c>
      <c r="F275" s="4">
        <v>50</v>
      </c>
      <c r="G275" s="10">
        <f>B275+C275/60</f>
        <v>9.7666666666666675</v>
      </c>
      <c r="H275" s="4">
        <v>50</v>
      </c>
      <c r="I275" s="5">
        <f>G275*D275</f>
        <v>439.50000000000006</v>
      </c>
      <c r="J275" s="5">
        <f>I275-H275</f>
        <v>389.50000000000006</v>
      </c>
      <c r="K275">
        <v>25</v>
      </c>
      <c r="N275" s="51">
        <f>460+100</f>
        <v>560</v>
      </c>
      <c r="P275" t="s">
        <v>660</v>
      </c>
    </row>
    <row r="276" spans="1:17">
      <c r="A276" s="6">
        <v>46159</v>
      </c>
      <c r="B276" s="4"/>
      <c r="C276" s="4"/>
      <c r="D276" s="4">
        <v>45</v>
      </c>
      <c r="E276" s="4">
        <v>0</v>
      </c>
      <c r="F276" s="4">
        <v>50</v>
      </c>
      <c r="G276" s="10">
        <f>B276+C276/60</f>
        <v>0</v>
      </c>
      <c r="H276" s="4"/>
      <c r="I276" s="5">
        <f>G276*D276</f>
        <v>0</v>
      </c>
      <c r="J276" s="5">
        <f>I276-H276</f>
        <v>0</v>
      </c>
      <c r="N276" s="51" t="s">
        <v>774</v>
      </c>
    </row>
    <row r="277" spans="1:17" ht="19">
      <c r="A277" s="91" t="s">
        <v>1166</v>
      </c>
      <c r="B277" s="8">
        <f>SUM(B278:B284)</f>
        <v>22</v>
      </c>
      <c r="C277" s="8">
        <f>SUM(C278:C284)</f>
        <v>68</v>
      </c>
      <c r="D277" s="8">
        <f>SUM(D278)</f>
        <v>45</v>
      </c>
      <c r="E277" s="8">
        <f>SUM(E278:E284)</f>
        <v>3</v>
      </c>
      <c r="F277" s="8">
        <f>SUM(F278:F284)</f>
        <v>150</v>
      </c>
      <c r="G277" s="93">
        <f t="shared" ref="G277" si="115">B277+C277/60</f>
        <v>23.133333333333333</v>
      </c>
      <c r="H277" s="8">
        <f>SUM(H278:H284)</f>
        <v>557</v>
      </c>
      <c r="I277" s="9">
        <f>SUM(I278:I284)</f>
        <v>1041</v>
      </c>
      <c r="J277" s="14">
        <f>SUM(J278:J284)</f>
        <v>484</v>
      </c>
      <c r="K277" s="8">
        <f>SUM(K278:K284)</f>
        <v>68</v>
      </c>
      <c r="L277" s="9">
        <v>0</v>
      </c>
      <c r="M277" s="96">
        <f>J277</f>
        <v>484</v>
      </c>
      <c r="N277" s="102">
        <f>SUM(N278:N284)</f>
        <v>1023</v>
      </c>
      <c r="O277" s="98">
        <f>-N277</f>
        <v>-1023</v>
      </c>
      <c r="P277" s="86"/>
      <c r="Q277" s="86"/>
    </row>
    <row r="278" spans="1:17" ht="19">
      <c r="A278" s="80" t="s">
        <v>1072</v>
      </c>
      <c r="B278" s="4">
        <v>0</v>
      </c>
      <c r="C278" s="4">
        <v>0</v>
      </c>
      <c r="D278" s="4">
        <v>45</v>
      </c>
      <c r="E278" s="4">
        <v>0</v>
      </c>
      <c r="F278" s="4">
        <v>0</v>
      </c>
      <c r="G278" s="10">
        <f>B278+C278/60</f>
        <v>0</v>
      </c>
      <c r="H278" s="4">
        <v>0</v>
      </c>
      <c r="I278" s="5">
        <f>G278*D278</f>
        <v>0</v>
      </c>
      <c r="J278" s="5">
        <f>I278-H278</f>
        <v>0</v>
      </c>
      <c r="K278">
        <v>0</v>
      </c>
      <c r="N278" s="51">
        <v>0</v>
      </c>
      <c r="O278" s="49"/>
    </row>
    <row r="279" spans="1:17">
      <c r="A279" s="80" t="s">
        <v>1193</v>
      </c>
      <c r="B279" s="4">
        <v>0</v>
      </c>
      <c r="C279" s="4">
        <v>0</v>
      </c>
      <c r="D279" s="4">
        <v>45</v>
      </c>
      <c r="E279" s="4">
        <v>0</v>
      </c>
      <c r="F279" s="4">
        <v>0</v>
      </c>
      <c r="G279" s="10">
        <f t="shared" ref="G279:G280" si="116">B279+C279/60</f>
        <v>0</v>
      </c>
      <c r="H279" s="4">
        <v>0</v>
      </c>
      <c r="I279" s="5">
        <f t="shared" ref="I279" si="117">G279*D279</f>
        <v>0</v>
      </c>
      <c r="J279" s="5">
        <f>I279-H279</f>
        <v>0</v>
      </c>
      <c r="K279">
        <v>0</v>
      </c>
      <c r="N279" s="51" t="s">
        <v>774</v>
      </c>
    </row>
    <row r="280" spans="1:17">
      <c r="A280" s="80" t="s">
        <v>1194</v>
      </c>
      <c r="B280" s="4">
        <v>8</v>
      </c>
      <c r="C280" s="4">
        <v>24</v>
      </c>
      <c r="D280" s="4">
        <v>45</v>
      </c>
      <c r="E280" s="4">
        <v>1</v>
      </c>
      <c r="F280" s="4">
        <v>50</v>
      </c>
      <c r="G280" s="10">
        <f t="shared" si="116"/>
        <v>8.4</v>
      </c>
      <c r="H280" s="4">
        <v>50</v>
      </c>
      <c r="I280" s="5">
        <f>G280*D280</f>
        <v>378</v>
      </c>
      <c r="J280" s="5">
        <f>I280-H280</f>
        <v>328</v>
      </c>
      <c r="K280">
        <v>22</v>
      </c>
      <c r="N280" s="51">
        <f>421+100</f>
        <v>521</v>
      </c>
      <c r="P280" t="s">
        <v>1313</v>
      </c>
    </row>
    <row r="281" spans="1:17">
      <c r="A281" s="80" t="s">
        <v>1196</v>
      </c>
      <c r="B281" s="4">
        <v>7</v>
      </c>
      <c r="C281" s="4">
        <v>35</v>
      </c>
      <c r="D281" s="4">
        <v>45</v>
      </c>
      <c r="E281" s="4">
        <v>0</v>
      </c>
      <c r="F281" s="4">
        <v>50</v>
      </c>
      <c r="G281" s="10">
        <f>B281+C281/60</f>
        <v>7.583333333333333</v>
      </c>
      <c r="H281" s="4">
        <f>50+192.5</f>
        <v>242.5</v>
      </c>
      <c r="I281" s="5">
        <f>G281*D281</f>
        <v>341.25</v>
      </c>
      <c r="J281" s="5">
        <f>I281-H281</f>
        <v>98.75</v>
      </c>
      <c r="K281">
        <v>22</v>
      </c>
      <c r="N281" s="51">
        <f>88+150</f>
        <v>238</v>
      </c>
      <c r="P281" t="s">
        <v>1314</v>
      </c>
    </row>
    <row r="282" spans="1:17">
      <c r="A282" s="80" t="s">
        <v>1198</v>
      </c>
      <c r="B282" s="4"/>
      <c r="C282" s="4"/>
      <c r="D282" s="4">
        <v>45</v>
      </c>
      <c r="E282" s="4">
        <v>1</v>
      </c>
      <c r="F282" s="4">
        <v>0</v>
      </c>
      <c r="G282" s="10">
        <f t="shared" ref="G282:G310" si="118">B282+C282/60</f>
        <v>0</v>
      </c>
      <c r="H282" s="4"/>
      <c r="I282" s="5">
        <f t="shared" ref="I282" si="119">G282*D282</f>
        <v>0</v>
      </c>
      <c r="J282" s="5">
        <f t="shared" ref="J282" si="120">I282-H282</f>
        <v>0</v>
      </c>
      <c r="N282" s="51">
        <v>0</v>
      </c>
    </row>
    <row r="283" spans="1:17">
      <c r="A283" s="80" t="s">
        <v>1200</v>
      </c>
      <c r="B283" s="4">
        <v>7</v>
      </c>
      <c r="C283" s="4">
        <v>9</v>
      </c>
      <c r="D283" s="4">
        <v>45</v>
      </c>
      <c r="E283" s="4">
        <v>1</v>
      </c>
      <c r="F283" s="4">
        <v>50</v>
      </c>
      <c r="G283" s="10">
        <f t="shared" si="118"/>
        <v>7.15</v>
      </c>
      <c r="H283" s="4">
        <f>50+214.5</f>
        <v>264.5</v>
      </c>
      <c r="I283" s="5">
        <f>G283*D283</f>
        <v>321.75</v>
      </c>
      <c r="J283" s="5">
        <f>I283-H283</f>
        <v>57.25</v>
      </c>
      <c r="K283">
        <v>24</v>
      </c>
      <c r="N283" s="51">
        <v>264</v>
      </c>
      <c r="P283" t="s">
        <v>1315</v>
      </c>
    </row>
    <row r="284" spans="1:17">
      <c r="A284" s="80" t="s">
        <v>1202</v>
      </c>
      <c r="B284" s="4"/>
      <c r="C284" s="4"/>
      <c r="D284" s="4">
        <v>45</v>
      </c>
      <c r="E284" s="4">
        <v>0</v>
      </c>
      <c r="F284" s="4">
        <v>0</v>
      </c>
      <c r="G284" s="10">
        <f t="shared" si="118"/>
        <v>0</v>
      </c>
      <c r="H284" s="4"/>
      <c r="I284" s="5">
        <f t="shared" ref="I284" si="121">G284*D284</f>
        <v>0</v>
      </c>
      <c r="J284" s="5">
        <f t="shared" ref="J284" si="122">I284-H284</f>
        <v>0</v>
      </c>
      <c r="N284" s="51">
        <v>0</v>
      </c>
    </row>
    <row r="285" spans="1:17" ht="19">
      <c r="A285" s="91" t="s">
        <v>549</v>
      </c>
      <c r="B285" s="8">
        <f>SUM(B286:B291)</f>
        <v>45</v>
      </c>
      <c r="C285" s="8">
        <f>SUM(C286:C291)</f>
        <v>229</v>
      </c>
      <c r="D285" s="126">
        <f>SUM(D286)</f>
        <v>55</v>
      </c>
      <c r="E285" s="126">
        <f>SUM(E286:E291)</f>
        <v>5</v>
      </c>
      <c r="F285" s="126">
        <f>SUM(F286:F291)</f>
        <v>250</v>
      </c>
      <c r="G285" s="123">
        <f t="shared" si="118"/>
        <v>48.81666666666667</v>
      </c>
      <c r="H285" s="8">
        <f>SUM(H286:H292)</f>
        <v>392.5</v>
      </c>
      <c r="I285" s="9">
        <f>SUM(I286:I292)</f>
        <v>2694.0833333333335</v>
      </c>
      <c r="J285" s="9">
        <f>SUM(J286:J292)</f>
        <v>2301.5833333333335</v>
      </c>
      <c r="K285" s="8">
        <f>SUM(K286:K291)</f>
        <v>126</v>
      </c>
      <c r="L285" s="9">
        <v>0</v>
      </c>
      <c r="M285" s="96">
        <f>J285</f>
        <v>2301.5833333333335</v>
      </c>
      <c r="N285" s="102">
        <f>SUM(N286:N291)</f>
        <v>2774</v>
      </c>
      <c r="O285" s="98">
        <f>3084-N285</f>
        <v>310</v>
      </c>
      <c r="P285" s="86"/>
      <c r="Q285" s="86"/>
    </row>
    <row r="286" spans="1:17">
      <c r="A286" s="6">
        <v>46153</v>
      </c>
      <c r="B286" s="7">
        <v>9</v>
      </c>
      <c r="C286" s="7">
        <v>57</v>
      </c>
      <c r="D286" s="4">
        <v>55</v>
      </c>
      <c r="E286" s="4">
        <v>1</v>
      </c>
      <c r="F286" s="4">
        <v>50</v>
      </c>
      <c r="G286" s="10">
        <f t="shared" si="118"/>
        <v>9.9499999999999993</v>
      </c>
      <c r="H286" s="4">
        <v>50</v>
      </c>
      <c r="I286" s="5">
        <f t="shared" ref="I286:I291" si="123">G286*D286</f>
        <v>547.25</v>
      </c>
      <c r="J286" s="5">
        <f t="shared" ref="J286:J291" si="124">I286-H286</f>
        <v>497.25</v>
      </c>
      <c r="K286">
        <v>27</v>
      </c>
      <c r="N286" s="119">
        <f>118</f>
        <v>118</v>
      </c>
      <c r="O286" s="51"/>
    </row>
    <row r="287" spans="1:17">
      <c r="A287" s="6">
        <v>46154</v>
      </c>
      <c r="B287" s="4">
        <v>10</v>
      </c>
      <c r="C287" s="4">
        <v>49</v>
      </c>
      <c r="D287" s="4">
        <v>65</v>
      </c>
      <c r="E287" s="4">
        <v>1</v>
      </c>
      <c r="F287" s="4">
        <v>50</v>
      </c>
      <c r="G287" s="10">
        <f t="shared" si="118"/>
        <v>10.816666666666666</v>
      </c>
      <c r="H287" s="4">
        <v>50</v>
      </c>
      <c r="I287" s="5">
        <f t="shared" si="123"/>
        <v>703.08333333333337</v>
      </c>
      <c r="J287" s="5">
        <f t="shared" si="124"/>
        <v>653.08333333333337</v>
      </c>
      <c r="K287">
        <v>32</v>
      </c>
      <c r="N287" s="119">
        <f>560</f>
        <v>560</v>
      </c>
    </row>
    <row r="288" spans="1:17">
      <c r="A288" s="6">
        <v>46155</v>
      </c>
      <c r="B288" s="4">
        <v>8</v>
      </c>
      <c r="C288" s="4">
        <v>18</v>
      </c>
      <c r="D288" s="4">
        <v>55</v>
      </c>
      <c r="E288" s="4">
        <v>1</v>
      </c>
      <c r="F288" s="4">
        <v>50</v>
      </c>
      <c r="G288" s="10">
        <f t="shared" si="118"/>
        <v>8.3000000000000007</v>
      </c>
      <c r="H288" s="4">
        <f>50+142.5</f>
        <v>192.5</v>
      </c>
      <c r="I288" s="5">
        <f t="shared" si="123"/>
        <v>456.50000000000006</v>
      </c>
      <c r="J288" s="5">
        <f t="shared" si="124"/>
        <v>264.00000000000006</v>
      </c>
      <c r="K288">
        <v>25</v>
      </c>
      <c r="N288" s="119">
        <f>520+300</f>
        <v>820</v>
      </c>
      <c r="P288" t="s">
        <v>1316</v>
      </c>
    </row>
    <row r="289" spans="1:17">
      <c r="A289" s="6">
        <v>46156</v>
      </c>
      <c r="B289" s="4">
        <v>9</v>
      </c>
      <c r="C289" s="4">
        <v>54</v>
      </c>
      <c r="D289" s="4">
        <v>45</v>
      </c>
      <c r="E289" s="4">
        <v>1</v>
      </c>
      <c r="F289" s="4">
        <v>50</v>
      </c>
      <c r="G289" s="10">
        <f t="shared" si="118"/>
        <v>9.9</v>
      </c>
      <c r="H289" s="4">
        <v>50</v>
      </c>
      <c r="I289" s="5">
        <f t="shared" si="123"/>
        <v>445.5</v>
      </c>
      <c r="J289" s="5">
        <f t="shared" si="124"/>
        <v>395.5</v>
      </c>
      <c r="K289">
        <v>17</v>
      </c>
      <c r="N289" s="119">
        <f>210+350</f>
        <v>560</v>
      </c>
      <c r="P289" t="s">
        <v>1317</v>
      </c>
    </row>
    <row r="290" spans="1:17">
      <c r="A290" s="6">
        <v>46157</v>
      </c>
      <c r="B290" s="4"/>
      <c r="C290" s="4"/>
      <c r="D290" s="4">
        <v>45</v>
      </c>
      <c r="E290" s="4">
        <v>0</v>
      </c>
      <c r="F290" s="4">
        <v>0</v>
      </c>
      <c r="G290" s="10">
        <f t="shared" si="118"/>
        <v>0</v>
      </c>
      <c r="H290" s="4"/>
      <c r="I290" s="5">
        <f t="shared" si="123"/>
        <v>0</v>
      </c>
      <c r="J290" s="5">
        <f t="shared" si="124"/>
        <v>0</v>
      </c>
      <c r="N290" s="119">
        <v>0</v>
      </c>
    </row>
    <row r="291" spans="1:17">
      <c r="A291" s="6">
        <v>46158</v>
      </c>
      <c r="B291" s="4">
        <v>9</v>
      </c>
      <c r="C291" s="4">
        <v>51</v>
      </c>
      <c r="D291" s="4">
        <v>55</v>
      </c>
      <c r="E291" s="4">
        <v>1</v>
      </c>
      <c r="F291" s="4">
        <v>50</v>
      </c>
      <c r="G291" s="10">
        <f t="shared" si="118"/>
        <v>9.85</v>
      </c>
      <c r="H291" s="4">
        <v>50</v>
      </c>
      <c r="I291" s="5">
        <f t="shared" si="123"/>
        <v>541.75</v>
      </c>
      <c r="J291" s="5">
        <f t="shared" si="124"/>
        <v>491.75</v>
      </c>
      <c r="K291">
        <v>25</v>
      </c>
      <c r="N291" s="119">
        <f>50+666</f>
        <v>716</v>
      </c>
    </row>
    <row r="292" spans="1:17">
      <c r="A292" s="6">
        <v>46159</v>
      </c>
      <c r="B292" s="4"/>
      <c r="C292" s="4"/>
      <c r="D292" s="4">
        <v>0</v>
      </c>
      <c r="E292" s="4">
        <v>0</v>
      </c>
      <c r="F292" s="4">
        <v>0</v>
      </c>
      <c r="G292" s="10">
        <v>0</v>
      </c>
      <c r="H292" s="4"/>
      <c r="I292" s="5">
        <v>0</v>
      </c>
      <c r="J292" s="5">
        <v>0</v>
      </c>
      <c r="N292" s="119">
        <v>0</v>
      </c>
    </row>
    <row r="293" spans="1:17" ht="19">
      <c r="A293" s="91" t="s">
        <v>551</v>
      </c>
      <c r="B293" s="8">
        <f>SUM(B294:B300)</f>
        <v>37</v>
      </c>
      <c r="C293" s="8">
        <f>SUM(C294:C300)</f>
        <v>82</v>
      </c>
      <c r="D293" s="8">
        <v>45</v>
      </c>
      <c r="E293" s="8">
        <f>SUM(E294:E300)</f>
        <v>5</v>
      </c>
      <c r="F293" s="8">
        <f>SUM(F294:F300)</f>
        <v>250</v>
      </c>
      <c r="G293" s="93">
        <f t="shared" si="118"/>
        <v>38.366666666666667</v>
      </c>
      <c r="H293" s="8">
        <f>SUM(H294:H300)</f>
        <v>636.5</v>
      </c>
      <c r="I293" s="9">
        <f>SUM(I294:I300)</f>
        <v>1726.5</v>
      </c>
      <c r="J293" s="14">
        <f>SUM(J294:J300)</f>
        <v>1090</v>
      </c>
      <c r="K293" s="8">
        <f>SUM(K294:K300)</f>
        <v>75</v>
      </c>
      <c r="L293" s="9">
        <v>0</v>
      </c>
      <c r="M293" s="96">
        <f>J293</f>
        <v>1090</v>
      </c>
      <c r="N293" s="102">
        <f>SUM(N294:N300)</f>
        <v>2334</v>
      </c>
      <c r="O293" s="98">
        <f>2632-N293</f>
        <v>298</v>
      </c>
      <c r="P293" s="86"/>
      <c r="Q293" s="86"/>
    </row>
    <row r="294" spans="1:17">
      <c r="A294" s="6">
        <v>46153</v>
      </c>
      <c r="B294" s="4">
        <v>0</v>
      </c>
      <c r="C294" s="4">
        <v>0</v>
      </c>
      <c r="D294" s="4">
        <v>45</v>
      </c>
      <c r="E294" s="4">
        <v>0</v>
      </c>
      <c r="F294" s="4">
        <v>0</v>
      </c>
      <c r="G294" s="10">
        <f t="shared" si="118"/>
        <v>0</v>
      </c>
      <c r="H294" s="4">
        <v>0</v>
      </c>
      <c r="I294" s="5">
        <f t="shared" ref="I294:I299" si="125">G294*D294</f>
        <v>0</v>
      </c>
      <c r="J294" s="5">
        <f t="shared" ref="J294:J299" si="126">I294-H294</f>
        <v>0</v>
      </c>
      <c r="K294">
        <v>0</v>
      </c>
      <c r="N294" s="119">
        <v>0</v>
      </c>
      <c r="O294" s="51"/>
    </row>
    <row r="295" spans="1:17">
      <c r="A295" s="6">
        <v>46154</v>
      </c>
      <c r="B295" s="4">
        <v>7</v>
      </c>
      <c r="C295" s="4">
        <v>12</v>
      </c>
      <c r="D295" s="4">
        <v>45</v>
      </c>
      <c r="E295" s="4">
        <v>1</v>
      </c>
      <c r="F295" s="4">
        <v>50</v>
      </c>
      <c r="G295" s="10">
        <f t="shared" si="118"/>
        <v>7.2</v>
      </c>
      <c r="H295" s="4">
        <v>50</v>
      </c>
      <c r="I295" s="5">
        <f t="shared" si="125"/>
        <v>324</v>
      </c>
      <c r="J295" s="5">
        <f t="shared" si="126"/>
        <v>274</v>
      </c>
      <c r="K295">
        <v>17</v>
      </c>
      <c r="N295" s="119">
        <f>418</f>
        <v>418</v>
      </c>
      <c r="P295" t="s">
        <v>1318</v>
      </c>
    </row>
    <row r="296" spans="1:17">
      <c r="A296" s="6">
        <v>46155</v>
      </c>
      <c r="B296" s="4"/>
      <c r="C296" s="4"/>
      <c r="D296" s="4">
        <v>45</v>
      </c>
      <c r="E296" s="4">
        <v>0</v>
      </c>
      <c r="F296" s="4">
        <v>0</v>
      </c>
      <c r="G296" s="10">
        <f t="shared" si="118"/>
        <v>0</v>
      </c>
      <c r="H296" s="4"/>
      <c r="I296" s="5">
        <f t="shared" si="125"/>
        <v>0</v>
      </c>
      <c r="J296" s="5">
        <f t="shared" si="126"/>
        <v>0</v>
      </c>
      <c r="N296" s="119">
        <v>0</v>
      </c>
    </row>
    <row r="297" spans="1:17">
      <c r="A297" s="6">
        <v>46156</v>
      </c>
      <c r="B297" s="4">
        <v>8</v>
      </c>
      <c r="C297" s="4">
        <v>48</v>
      </c>
      <c r="D297" s="4">
        <v>45</v>
      </c>
      <c r="E297" s="4">
        <v>1</v>
      </c>
      <c r="F297" s="4">
        <v>50</v>
      </c>
      <c r="G297" s="10">
        <f t="shared" si="118"/>
        <v>8.8000000000000007</v>
      </c>
      <c r="H297" s="4">
        <f>50+177.5</f>
        <v>227.5</v>
      </c>
      <c r="I297" s="5">
        <f t="shared" si="125"/>
        <v>396.00000000000006</v>
      </c>
      <c r="J297" s="5">
        <f t="shared" si="126"/>
        <v>168.50000000000006</v>
      </c>
      <c r="K297">
        <v>13</v>
      </c>
      <c r="N297" s="119">
        <v>285</v>
      </c>
      <c r="P297" t="s">
        <v>1319</v>
      </c>
    </row>
    <row r="298" spans="1:17">
      <c r="A298" s="6">
        <v>46157</v>
      </c>
      <c r="B298" s="4">
        <v>8</v>
      </c>
      <c r="C298" s="4">
        <v>2</v>
      </c>
      <c r="D298" s="4">
        <v>45</v>
      </c>
      <c r="E298" s="4">
        <v>1</v>
      </c>
      <c r="F298" s="4">
        <v>50</v>
      </c>
      <c r="G298" s="10">
        <f t="shared" si="118"/>
        <v>8.0333333333333332</v>
      </c>
      <c r="H298" s="4">
        <v>50</v>
      </c>
      <c r="I298" s="5">
        <f t="shared" si="125"/>
        <v>361.5</v>
      </c>
      <c r="J298" s="5">
        <f t="shared" si="126"/>
        <v>311.5</v>
      </c>
      <c r="K298">
        <v>19</v>
      </c>
      <c r="N298" s="119">
        <v>560</v>
      </c>
      <c r="P298" t="s">
        <v>1320</v>
      </c>
    </row>
    <row r="299" spans="1:17">
      <c r="A299" s="6">
        <v>46158</v>
      </c>
      <c r="B299" s="4">
        <v>7</v>
      </c>
      <c r="C299" s="4">
        <v>2</v>
      </c>
      <c r="D299" s="4">
        <v>45</v>
      </c>
      <c r="E299" s="4">
        <v>1</v>
      </c>
      <c r="F299" s="4">
        <v>50</v>
      </c>
      <c r="G299" s="10">
        <f t="shared" si="118"/>
        <v>7.0333333333333332</v>
      </c>
      <c r="H299" s="4">
        <f>50+209</f>
        <v>259</v>
      </c>
      <c r="I299" s="5">
        <f t="shared" si="125"/>
        <v>316.5</v>
      </c>
      <c r="J299" s="5">
        <f t="shared" si="126"/>
        <v>57.5</v>
      </c>
      <c r="K299">
        <v>13</v>
      </c>
      <c r="N299" s="119">
        <f>220+150+200</f>
        <v>570</v>
      </c>
      <c r="P299" t="s">
        <v>1321</v>
      </c>
    </row>
    <row r="300" spans="1:17">
      <c r="A300" s="6">
        <v>46159</v>
      </c>
      <c r="B300" s="4">
        <v>7</v>
      </c>
      <c r="C300" s="4">
        <v>18</v>
      </c>
      <c r="D300" s="4">
        <v>45</v>
      </c>
      <c r="E300" s="4">
        <v>1</v>
      </c>
      <c r="F300" s="4">
        <v>50</v>
      </c>
      <c r="G300" s="10">
        <f>B300+C300/60</f>
        <v>7.3</v>
      </c>
      <c r="H300" s="4">
        <v>50</v>
      </c>
      <c r="I300" s="5">
        <f>G300*D300</f>
        <v>328.5</v>
      </c>
      <c r="J300" s="5">
        <f>I300-H300</f>
        <v>278.5</v>
      </c>
      <c r="K300">
        <v>13</v>
      </c>
      <c r="N300" s="119">
        <f>301+100+100</f>
        <v>501</v>
      </c>
      <c r="P300" t="s">
        <v>1322</v>
      </c>
    </row>
    <row r="301" spans="1:17" ht="19">
      <c r="A301" s="91" t="s">
        <v>1053</v>
      </c>
      <c r="B301" s="8">
        <f>SUM(B302:B307)</f>
        <v>51</v>
      </c>
      <c r="C301" s="8">
        <f>SUM(C302:C307)</f>
        <v>120</v>
      </c>
      <c r="D301" s="8">
        <v>45</v>
      </c>
      <c r="E301" s="8">
        <f>SUM(E302:E307)</f>
        <v>5</v>
      </c>
      <c r="F301" s="8">
        <f>SUM(F302:F308)</f>
        <v>300</v>
      </c>
      <c r="G301" s="93">
        <f t="shared" ref="G301:G306" si="127">B301+C301/60</f>
        <v>53</v>
      </c>
      <c r="H301" s="8">
        <f>SUM(H302:H308)</f>
        <v>544.1</v>
      </c>
      <c r="I301" s="9">
        <f>SUM(I302:I308)</f>
        <v>3468.0833333333335</v>
      </c>
      <c r="J301" s="14">
        <f>SUM(J302:J308)</f>
        <v>2923.9833333333336</v>
      </c>
      <c r="K301" s="8">
        <f>SUM(K302:K307)</f>
        <v>140</v>
      </c>
      <c r="L301" s="9">
        <v>0</v>
      </c>
      <c r="M301" s="96">
        <f>J301</f>
        <v>2923.9833333333336</v>
      </c>
      <c r="N301" s="102">
        <f>SUM(M302:N308)</f>
        <v>3693.5</v>
      </c>
      <c r="O301" s="98">
        <f>3952-N301</f>
        <v>258.5</v>
      </c>
      <c r="P301" s="86"/>
      <c r="Q301" s="86"/>
    </row>
    <row r="302" spans="1:17">
      <c r="A302" s="80" t="s">
        <v>1193</v>
      </c>
      <c r="B302" s="4">
        <v>0</v>
      </c>
      <c r="C302" s="4">
        <v>0</v>
      </c>
      <c r="D302" s="4">
        <v>45</v>
      </c>
      <c r="E302" s="4">
        <v>0</v>
      </c>
      <c r="F302" s="4">
        <v>0</v>
      </c>
      <c r="G302" s="10">
        <f t="shared" si="127"/>
        <v>0</v>
      </c>
      <c r="H302" s="4">
        <v>0</v>
      </c>
      <c r="I302" s="5">
        <f t="shared" ref="I302:I306" si="128">G302*D302</f>
        <v>0</v>
      </c>
      <c r="J302" s="5">
        <f t="shared" ref="J302:J306" si="129">I302-H302</f>
        <v>0</v>
      </c>
      <c r="K302">
        <v>0</v>
      </c>
      <c r="N302" s="51">
        <v>0</v>
      </c>
    </row>
    <row r="303" spans="1:17">
      <c r="A303" s="80" t="s">
        <v>1194</v>
      </c>
      <c r="B303" s="4">
        <v>11</v>
      </c>
      <c r="C303" s="4">
        <v>0</v>
      </c>
      <c r="D303" s="4">
        <v>55</v>
      </c>
      <c r="E303" s="4">
        <v>1</v>
      </c>
      <c r="F303" s="4">
        <v>50</v>
      </c>
      <c r="G303" s="10">
        <f t="shared" si="127"/>
        <v>11</v>
      </c>
      <c r="H303" s="4">
        <f>50+96.6</f>
        <v>146.6</v>
      </c>
      <c r="I303" s="5">
        <f t="shared" si="128"/>
        <v>605</v>
      </c>
      <c r="J303" s="5">
        <f t="shared" si="129"/>
        <v>458.4</v>
      </c>
      <c r="K303">
        <v>28</v>
      </c>
      <c r="N303" s="51">
        <f>546.5+200</f>
        <v>746.5</v>
      </c>
      <c r="P303" t="s">
        <v>1323</v>
      </c>
    </row>
    <row r="304" spans="1:17">
      <c r="A304" s="80" t="s">
        <v>1196</v>
      </c>
      <c r="B304" s="4">
        <v>9</v>
      </c>
      <c r="C304" s="4">
        <v>19</v>
      </c>
      <c r="D304" s="4">
        <v>55</v>
      </c>
      <c r="E304" s="4">
        <v>1</v>
      </c>
      <c r="F304" s="4">
        <v>50</v>
      </c>
      <c r="G304" s="10">
        <f t="shared" si="127"/>
        <v>9.3166666666666664</v>
      </c>
      <c r="H304" s="4">
        <f>50+147.5</f>
        <v>197.5</v>
      </c>
      <c r="I304" s="5">
        <f t="shared" si="128"/>
        <v>512.41666666666663</v>
      </c>
      <c r="J304" s="5">
        <f t="shared" si="129"/>
        <v>314.91666666666663</v>
      </c>
      <c r="K304">
        <v>31</v>
      </c>
      <c r="N304" s="51">
        <f>481+150</f>
        <v>631</v>
      </c>
      <c r="P304" t="s">
        <v>1324</v>
      </c>
    </row>
    <row r="305" spans="1:17">
      <c r="A305" s="80" t="s">
        <v>1198</v>
      </c>
      <c r="B305" s="4">
        <v>11</v>
      </c>
      <c r="C305" s="4">
        <v>0</v>
      </c>
      <c r="D305" s="4">
        <v>45</v>
      </c>
      <c r="E305" s="4">
        <v>1</v>
      </c>
      <c r="F305" s="4">
        <v>50</v>
      </c>
      <c r="G305" s="10">
        <f t="shared" si="127"/>
        <v>11</v>
      </c>
      <c r="H305" s="4">
        <v>50</v>
      </c>
      <c r="I305" s="5">
        <f t="shared" si="128"/>
        <v>495</v>
      </c>
      <c r="J305" s="5">
        <f t="shared" si="129"/>
        <v>445</v>
      </c>
      <c r="K305">
        <v>22</v>
      </c>
      <c r="N305" s="51">
        <f>332+150</f>
        <v>482</v>
      </c>
      <c r="P305" t="s">
        <v>1203</v>
      </c>
    </row>
    <row r="306" spans="1:17">
      <c r="A306" s="80" t="s">
        <v>1200</v>
      </c>
      <c r="B306" s="4">
        <v>10</v>
      </c>
      <c r="C306" s="4">
        <v>50</v>
      </c>
      <c r="D306" s="12">
        <v>55</v>
      </c>
      <c r="E306" s="12">
        <v>1</v>
      </c>
      <c r="F306" s="12">
        <v>50</v>
      </c>
      <c r="G306" s="10">
        <f t="shared" si="127"/>
        <v>10.833333333333334</v>
      </c>
      <c r="H306" s="4">
        <v>50</v>
      </c>
      <c r="I306" s="5">
        <f t="shared" si="128"/>
        <v>595.83333333333337</v>
      </c>
      <c r="J306" s="5">
        <f t="shared" si="129"/>
        <v>545.83333333333337</v>
      </c>
      <c r="K306">
        <v>26</v>
      </c>
      <c r="N306" s="51">
        <f>150+310</f>
        <v>460</v>
      </c>
      <c r="P306" t="s">
        <v>1325</v>
      </c>
    </row>
    <row r="307" spans="1:17">
      <c r="A307" s="80" t="s">
        <v>1202</v>
      </c>
      <c r="B307" s="4">
        <v>10</v>
      </c>
      <c r="C307" s="172">
        <v>51</v>
      </c>
      <c r="D307" s="167">
        <v>65</v>
      </c>
      <c r="E307" s="167">
        <v>1</v>
      </c>
      <c r="F307" s="167">
        <v>50</v>
      </c>
      <c r="G307" s="10">
        <f>B307+C307/60</f>
        <v>10.85</v>
      </c>
      <c r="H307" s="4">
        <v>50</v>
      </c>
      <c r="I307" s="5">
        <f>G307*D307</f>
        <v>705.25</v>
      </c>
      <c r="J307" s="5">
        <f>I307-H307</f>
        <v>655.25</v>
      </c>
      <c r="K307">
        <v>33</v>
      </c>
      <c r="N307" s="51">
        <f>546+170+100</f>
        <v>816</v>
      </c>
      <c r="P307" t="s">
        <v>1326</v>
      </c>
    </row>
    <row r="308" spans="1:17">
      <c r="A308" s="80" t="s">
        <v>1218</v>
      </c>
      <c r="B308" s="4">
        <v>10</v>
      </c>
      <c r="C308" s="172">
        <v>5</v>
      </c>
      <c r="D308" s="167">
        <v>55</v>
      </c>
      <c r="E308" s="167">
        <v>1</v>
      </c>
      <c r="F308" s="167">
        <v>50</v>
      </c>
      <c r="G308" s="10">
        <f>B308+C308/60</f>
        <v>10.083333333333334</v>
      </c>
      <c r="H308" s="4">
        <v>50</v>
      </c>
      <c r="I308" s="5">
        <f>G308*D308</f>
        <v>554.58333333333337</v>
      </c>
      <c r="J308" s="5">
        <f>I308-H308</f>
        <v>504.58333333333337</v>
      </c>
      <c r="K308">
        <v>29</v>
      </c>
      <c r="N308" s="51">
        <v>558</v>
      </c>
    </row>
    <row r="309" spans="1:17" ht="19">
      <c r="A309" s="91" t="s">
        <v>649</v>
      </c>
      <c r="B309" s="8">
        <f>SUM(B310:B315)</f>
        <v>28</v>
      </c>
      <c r="C309" s="8">
        <f>SUM(C310:C315)</f>
        <v>119</v>
      </c>
      <c r="D309" s="8">
        <f>SUM(D310)</f>
        <v>55</v>
      </c>
      <c r="E309" s="8">
        <f>SUM(E310:E315)</f>
        <v>3</v>
      </c>
      <c r="F309" s="8">
        <f>SUM(F310:F315)</f>
        <v>150</v>
      </c>
      <c r="G309" s="93">
        <f t="shared" si="118"/>
        <v>29.983333333333334</v>
      </c>
      <c r="H309" s="8">
        <f>SUM(H310:H316)</f>
        <v>150</v>
      </c>
      <c r="I309" s="9">
        <f>SUM(I310:I315)</f>
        <v>1553.25</v>
      </c>
      <c r="J309" s="14">
        <f>SUM(J310:J315)</f>
        <v>1403.25</v>
      </c>
      <c r="K309" s="8">
        <f>SUM(K310:K315)</f>
        <v>83</v>
      </c>
      <c r="L309" s="9">
        <v>0</v>
      </c>
      <c r="M309" s="96">
        <f>J309</f>
        <v>1403.25</v>
      </c>
      <c r="N309" s="102">
        <f>SUM(N310:N316)</f>
        <v>2053</v>
      </c>
      <c r="O309" s="98">
        <f>2052-N309</f>
        <v>-1</v>
      </c>
      <c r="P309" s="86"/>
      <c r="Q309" s="86"/>
    </row>
    <row r="310" spans="1:17">
      <c r="A310" s="6">
        <v>46153</v>
      </c>
      <c r="B310" s="4">
        <v>9</v>
      </c>
      <c r="C310" s="4">
        <v>34</v>
      </c>
      <c r="D310" s="4">
        <v>55</v>
      </c>
      <c r="E310" s="4">
        <v>1</v>
      </c>
      <c r="F310" s="4">
        <v>50</v>
      </c>
      <c r="G310" s="10">
        <f t="shared" si="118"/>
        <v>9.5666666666666664</v>
      </c>
      <c r="H310" s="4">
        <v>50</v>
      </c>
      <c r="I310" s="5">
        <f t="shared" ref="I310:I315" si="130">G310*D310</f>
        <v>526.16666666666663</v>
      </c>
      <c r="J310" s="5">
        <f>I310-H310</f>
        <v>476.16666666666663</v>
      </c>
      <c r="K310">
        <v>28</v>
      </c>
      <c r="N310" s="119">
        <f>675</f>
        <v>675</v>
      </c>
      <c r="O310" s="51"/>
      <c r="P310" t="s">
        <v>1052</v>
      </c>
    </row>
    <row r="311" spans="1:17">
      <c r="A311" s="6">
        <v>46154</v>
      </c>
      <c r="B311" s="4">
        <v>9</v>
      </c>
      <c r="C311" s="4">
        <v>35</v>
      </c>
      <c r="D311" s="4">
        <v>45</v>
      </c>
      <c r="E311" s="4">
        <v>1</v>
      </c>
      <c r="F311" s="4">
        <v>50</v>
      </c>
      <c r="G311" s="10">
        <f t="shared" ref="G311:G316" si="131">B311+C311/60</f>
        <v>9.5833333333333339</v>
      </c>
      <c r="H311" s="4">
        <v>50</v>
      </c>
      <c r="I311" s="5">
        <f t="shared" si="130"/>
        <v>431.25</v>
      </c>
      <c r="J311" s="5">
        <f t="shared" ref="J311:J314" si="132">I311-H311</f>
        <v>381.25</v>
      </c>
      <c r="K311">
        <v>28</v>
      </c>
      <c r="N311" s="119">
        <v>446</v>
      </c>
      <c r="P311" t="s">
        <v>1179</v>
      </c>
    </row>
    <row r="312" spans="1:17">
      <c r="A312" s="6">
        <v>46155</v>
      </c>
      <c r="B312" s="4">
        <v>10</v>
      </c>
      <c r="C312" s="4">
        <v>50</v>
      </c>
      <c r="D312" s="4">
        <v>55</v>
      </c>
      <c r="E312" s="4">
        <v>1</v>
      </c>
      <c r="F312" s="4">
        <v>50</v>
      </c>
      <c r="G312" s="10">
        <f t="shared" si="131"/>
        <v>10.833333333333334</v>
      </c>
      <c r="H312" s="4">
        <v>50</v>
      </c>
      <c r="I312" s="5">
        <f t="shared" si="130"/>
        <v>595.83333333333337</v>
      </c>
      <c r="J312" s="5">
        <f t="shared" si="132"/>
        <v>545.83333333333337</v>
      </c>
      <c r="K312">
        <v>27</v>
      </c>
      <c r="N312" s="119">
        <f>782+150</f>
        <v>932</v>
      </c>
      <c r="P312" t="s">
        <v>1203</v>
      </c>
    </row>
    <row r="313" spans="1:17">
      <c r="A313" s="6">
        <v>46156</v>
      </c>
      <c r="B313" s="4">
        <v>0</v>
      </c>
      <c r="C313" s="4">
        <v>0</v>
      </c>
      <c r="D313" s="4">
        <v>45</v>
      </c>
      <c r="E313" s="4">
        <v>0</v>
      </c>
      <c r="F313" s="4">
        <v>0</v>
      </c>
      <c r="G313" s="10">
        <f t="shared" si="131"/>
        <v>0</v>
      </c>
      <c r="H313" s="4">
        <v>0</v>
      </c>
      <c r="I313" s="5">
        <f t="shared" si="130"/>
        <v>0</v>
      </c>
      <c r="J313" s="5">
        <f t="shared" si="132"/>
        <v>0</v>
      </c>
      <c r="N313" s="119">
        <v>0</v>
      </c>
    </row>
    <row r="314" spans="1:17">
      <c r="A314" s="6">
        <v>46157</v>
      </c>
      <c r="B314" s="4">
        <v>0</v>
      </c>
      <c r="C314" s="4">
        <v>0</v>
      </c>
      <c r="D314" s="4">
        <v>45</v>
      </c>
      <c r="E314" s="4">
        <v>0</v>
      </c>
      <c r="F314" s="4">
        <v>0</v>
      </c>
      <c r="G314" s="10">
        <f t="shared" si="131"/>
        <v>0</v>
      </c>
      <c r="H314" s="4">
        <v>0</v>
      </c>
      <c r="I314" s="5">
        <f t="shared" si="130"/>
        <v>0</v>
      </c>
      <c r="J314" s="5">
        <f t="shared" si="132"/>
        <v>0</v>
      </c>
      <c r="N314" s="119">
        <v>0</v>
      </c>
    </row>
    <row r="315" spans="1:17">
      <c r="A315" s="6">
        <v>46158</v>
      </c>
      <c r="B315" s="4">
        <v>0</v>
      </c>
      <c r="C315" s="4">
        <v>0</v>
      </c>
      <c r="D315" s="4">
        <v>45</v>
      </c>
      <c r="E315" s="4">
        <v>0</v>
      </c>
      <c r="F315" s="4">
        <v>0</v>
      </c>
      <c r="G315" s="10">
        <f t="shared" si="131"/>
        <v>0</v>
      </c>
      <c r="H315" s="4">
        <v>0</v>
      </c>
      <c r="I315" s="5">
        <f t="shared" si="130"/>
        <v>0</v>
      </c>
      <c r="J315" s="5">
        <f>I315-H315</f>
        <v>0</v>
      </c>
      <c r="N315" s="119">
        <v>0</v>
      </c>
    </row>
    <row r="316" spans="1:17">
      <c r="A316" s="6">
        <v>46159</v>
      </c>
      <c r="B316" s="4">
        <v>0</v>
      </c>
      <c r="C316" s="4">
        <v>0</v>
      </c>
      <c r="D316" s="4">
        <v>55</v>
      </c>
      <c r="E316" s="4">
        <v>0</v>
      </c>
      <c r="F316" s="4">
        <v>0</v>
      </c>
      <c r="G316" s="10">
        <f t="shared" si="131"/>
        <v>0</v>
      </c>
      <c r="H316" s="4">
        <v>0</v>
      </c>
      <c r="I316" s="5">
        <f>G316*D316</f>
        <v>0</v>
      </c>
      <c r="J316" s="5">
        <f>I316-H316</f>
        <v>0</v>
      </c>
      <c r="N316" s="119">
        <v>0</v>
      </c>
    </row>
    <row r="317" spans="1:17" ht="19">
      <c r="A317" s="91" t="s">
        <v>559</v>
      </c>
      <c r="B317" s="8">
        <f>SUM(B318:B324)</f>
        <v>53</v>
      </c>
      <c r="C317" s="8">
        <f>SUM(C318:C324)</f>
        <v>140</v>
      </c>
      <c r="D317" s="8">
        <f>SUM(D318)</f>
        <v>55</v>
      </c>
      <c r="E317" s="8">
        <f>SUM(E318:E324)</f>
        <v>6</v>
      </c>
      <c r="F317" s="8">
        <f>SUM(F318:F324)</f>
        <v>300</v>
      </c>
      <c r="G317" s="93">
        <f t="shared" ref="G317:G338" si="133">B317+C317/60</f>
        <v>55.333333333333336</v>
      </c>
      <c r="H317" s="8">
        <f>SUM(H318:H324)</f>
        <v>1200.0999999999999</v>
      </c>
      <c r="I317" s="9">
        <f>SUM(I318:I324)</f>
        <v>3504.9999999999995</v>
      </c>
      <c r="J317" s="9">
        <f>SUM(J318:J324)</f>
        <v>2304.8999999999996</v>
      </c>
      <c r="K317" s="8">
        <f>SUM(K318:K324)</f>
        <v>209</v>
      </c>
      <c r="L317" s="9">
        <v>0</v>
      </c>
      <c r="M317" s="96">
        <f>J317</f>
        <v>2304.8999999999996</v>
      </c>
      <c r="N317" s="102">
        <f>SUM(N318:N324)</f>
        <v>6057</v>
      </c>
      <c r="O317" s="98">
        <f>6060-N317</f>
        <v>3</v>
      </c>
      <c r="P317" s="86"/>
      <c r="Q317" s="86"/>
    </row>
    <row r="318" spans="1:17">
      <c r="A318" s="6">
        <v>46153</v>
      </c>
      <c r="B318" s="4">
        <v>9</v>
      </c>
      <c r="C318" s="4">
        <v>10</v>
      </c>
      <c r="D318" s="4">
        <v>55</v>
      </c>
      <c r="E318" s="4">
        <v>1</v>
      </c>
      <c r="F318" s="4">
        <v>50</v>
      </c>
      <c r="G318" s="10">
        <f t="shared" si="133"/>
        <v>9.1666666666666661</v>
      </c>
      <c r="H318" s="4">
        <f>50+379.2</f>
        <v>429.2</v>
      </c>
      <c r="I318" s="5">
        <f t="shared" ref="I318:I324" si="134">G318*D318</f>
        <v>504.16666666666663</v>
      </c>
      <c r="J318" s="5">
        <f t="shared" ref="J318:J324" si="135">I318-H318</f>
        <v>74.96666666666664</v>
      </c>
      <c r="K318">
        <v>29</v>
      </c>
      <c r="N318" s="51">
        <f>1066</f>
        <v>1066</v>
      </c>
      <c r="O318" s="51"/>
      <c r="P318" t="s">
        <v>1327</v>
      </c>
    </row>
    <row r="319" spans="1:17">
      <c r="A319" s="6">
        <v>46154</v>
      </c>
      <c r="B319" s="4">
        <v>8</v>
      </c>
      <c r="C319" s="4">
        <v>48</v>
      </c>
      <c r="D319" s="4">
        <v>65</v>
      </c>
      <c r="E319" s="4">
        <v>1</v>
      </c>
      <c r="F319" s="4">
        <v>50</v>
      </c>
      <c r="G319" s="10">
        <f t="shared" si="133"/>
        <v>8.8000000000000007</v>
      </c>
      <c r="H319" s="4">
        <f>50+147</f>
        <v>197</v>
      </c>
      <c r="I319" s="5">
        <f t="shared" si="134"/>
        <v>572</v>
      </c>
      <c r="J319" s="5">
        <f t="shared" si="135"/>
        <v>375</v>
      </c>
      <c r="K319">
        <v>33</v>
      </c>
      <c r="N319" s="51">
        <f>475+300</f>
        <v>775</v>
      </c>
      <c r="P319" t="s">
        <v>1328</v>
      </c>
    </row>
    <row r="320" spans="1:17">
      <c r="A320" s="6">
        <v>46155</v>
      </c>
      <c r="B320" s="4">
        <v>7</v>
      </c>
      <c r="C320" s="4">
        <v>43</v>
      </c>
      <c r="D320" s="4">
        <v>65</v>
      </c>
      <c r="E320" s="4">
        <v>1</v>
      </c>
      <c r="F320" s="4">
        <v>50</v>
      </c>
      <c r="G320" s="10">
        <f t="shared" si="133"/>
        <v>7.7166666666666668</v>
      </c>
      <c r="H320" s="4">
        <f>50+203.4</f>
        <v>253.4</v>
      </c>
      <c r="I320" s="5">
        <f t="shared" si="134"/>
        <v>501.58333333333331</v>
      </c>
      <c r="J320" s="5">
        <f t="shared" si="135"/>
        <v>248.18333333333331</v>
      </c>
      <c r="K320">
        <v>32</v>
      </c>
      <c r="N320" s="51">
        <v>850</v>
      </c>
      <c r="P320" t="s">
        <v>1329</v>
      </c>
    </row>
    <row r="321" spans="1:17">
      <c r="A321" s="6">
        <v>46156</v>
      </c>
      <c r="B321" s="4">
        <v>9</v>
      </c>
      <c r="C321" s="4">
        <v>14</v>
      </c>
      <c r="D321" s="4">
        <v>65</v>
      </c>
      <c r="E321" s="4">
        <v>1</v>
      </c>
      <c r="F321" s="4">
        <v>50</v>
      </c>
      <c r="G321" s="10">
        <f t="shared" si="133"/>
        <v>9.2333333333333325</v>
      </c>
      <c r="H321" s="4">
        <f>50+52.5</f>
        <v>102.5</v>
      </c>
      <c r="I321" s="5">
        <f t="shared" si="134"/>
        <v>600.16666666666663</v>
      </c>
      <c r="J321" s="5">
        <f t="shared" si="135"/>
        <v>497.66666666666663</v>
      </c>
      <c r="K321">
        <v>33</v>
      </c>
      <c r="N321" s="51">
        <f>700+300</f>
        <v>1000</v>
      </c>
      <c r="P321" t="s">
        <v>1330</v>
      </c>
    </row>
    <row r="322" spans="1:17">
      <c r="A322" s="6">
        <v>46157</v>
      </c>
      <c r="B322" s="4">
        <v>0</v>
      </c>
      <c r="C322" s="4">
        <v>0</v>
      </c>
      <c r="D322" s="4">
        <v>55</v>
      </c>
      <c r="E322" s="4">
        <v>0</v>
      </c>
      <c r="F322" s="4">
        <v>0</v>
      </c>
      <c r="G322" s="10">
        <f t="shared" si="133"/>
        <v>0</v>
      </c>
      <c r="H322" s="4"/>
      <c r="I322" s="5">
        <f t="shared" si="134"/>
        <v>0</v>
      </c>
      <c r="J322" s="5">
        <f t="shared" si="135"/>
        <v>0</v>
      </c>
      <c r="N322" s="51">
        <v>0</v>
      </c>
    </row>
    <row r="323" spans="1:17">
      <c r="A323" s="6">
        <v>46158</v>
      </c>
      <c r="B323" s="4">
        <v>10</v>
      </c>
      <c r="C323" s="4">
        <v>17</v>
      </c>
      <c r="D323" s="4">
        <v>65</v>
      </c>
      <c r="E323" s="4">
        <v>1</v>
      </c>
      <c r="F323" s="4">
        <v>50</v>
      </c>
      <c r="G323" s="10">
        <f t="shared" si="133"/>
        <v>10.283333333333333</v>
      </c>
      <c r="H323" s="4">
        <f>50+65.5</f>
        <v>115.5</v>
      </c>
      <c r="I323" s="5">
        <f t="shared" si="134"/>
        <v>668.41666666666663</v>
      </c>
      <c r="J323" s="5">
        <f t="shared" si="135"/>
        <v>552.91666666666663</v>
      </c>
      <c r="K323">
        <v>40</v>
      </c>
      <c r="N323" s="51">
        <f>876+200+100</f>
        <v>1176</v>
      </c>
      <c r="P323" t="s">
        <v>1331</v>
      </c>
    </row>
    <row r="324" spans="1:17">
      <c r="A324" s="6">
        <v>46159</v>
      </c>
      <c r="B324" s="4">
        <v>10</v>
      </c>
      <c r="C324" s="4">
        <v>8</v>
      </c>
      <c r="D324" s="4">
        <v>65</v>
      </c>
      <c r="E324" s="4">
        <v>1</v>
      </c>
      <c r="F324" s="4">
        <v>50</v>
      </c>
      <c r="G324" s="10">
        <f t="shared" si="133"/>
        <v>10.133333333333333</v>
      </c>
      <c r="H324" s="4">
        <f>50+52.5</f>
        <v>102.5</v>
      </c>
      <c r="I324" s="5">
        <f t="shared" si="134"/>
        <v>658.66666666666663</v>
      </c>
      <c r="J324" s="5">
        <f t="shared" si="135"/>
        <v>556.16666666666663</v>
      </c>
      <c r="K324">
        <v>42</v>
      </c>
      <c r="N324" s="51">
        <f>990+200</f>
        <v>1190</v>
      </c>
      <c r="P324" t="s">
        <v>1332</v>
      </c>
    </row>
    <row r="325" spans="1:17" ht="19">
      <c r="A325" s="91" t="s">
        <v>949</v>
      </c>
      <c r="B325" s="8">
        <f>SUM(B326:B332)</f>
        <v>71</v>
      </c>
      <c r="C325" s="8">
        <f>SUM(C326:C332)</f>
        <v>240</v>
      </c>
      <c r="D325" s="8">
        <f>SUM(D326)</f>
        <v>45</v>
      </c>
      <c r="E325" s="8">
        <f>SUM(E326:E332)</f>
        <v>7</v>
      </c>
      <c r="F325" s="8">
        <f>SUM(F326:F332)</f>
        <v>350</v>
      </c>
      <c r="G325" s="93">
        <f t="shared" si="133"/>
        <v>75</v>
      </c>
      <c r="H325" s="8">
        <f>SUM(H326:H332)</f>
        <v>995</v>
      </c>
      <c r="I325" s="9">
        <f>SUM(I326:I332)</f>
        <v>3586.8333333333335</v>
      </c>
      <c r="J325" s="14">
        <f>SUM(J326:J332)</f>
        <v>2591.8333333333335</v>
      </c>
      <c r="K325" s="8">
        <f>SUM(K326:K332)</f>
        <v>155</v>
      </c>
      <c r="L325" s="9">
        <v>0</v>
      </c>
      <c r="M325" s="96">
        <f>J325</f>
        <v>2591.8333333333335</v>
      </c>
      <c r="N325" s="102">
        <f>SUM(N326:N332)</f>
        <v>4298</v>
      </c>
      <c r="O325" s="98">
        <f>4333-N325</f>
        <v>35</v>
      </c>
      <c r="P325" s="86"/>
      <c r="Q325" s="86"/>
    </row>
    <row r="326" spans="1:17">
      <c r="A326" s="6">
        <v>46153</v>
      </c>
      <c r="B326" s="4">
        <v>10</v>
      </c>
      <c r="C326" s="4">
        <v>50</v>
      </c>
      <c r="D326" s="4">
        <v>45</v>
      </c>
      <c r="E326" s="4">
        <v>1</v>
      </c>
      <c r="F326" s="4">
        <v>50</v>
      </c>
      <c r="G326" s="10">
        <f t="shared" si="133"/>
        <v>10.833333333333334</v>
      </c>
      <c r="H326" s="4">
        <f>50+266.1</f>
        <v>316.10000000000002</v>
      </c>
      <c r="I326" s="5">
        <f t="shared" ref="I326:I331" si="136">G326*D326</f>
        <v>487.5</v>
      </c>
      <c r="J326" s="5">
        <f t="shared" ref="J326:J331" si="137">I326-H326</f>
        <v>171.39999999999998</v>
      </c>
      <c r="K326">
        <v>20</v>
      </c>
      <c r="N326" s="51">
        <f>207+150+250</f>
        <v>607</v>
      </c>
      <c r="O326" s="51"/>
      <c r="P326" t="s">
        <v>1333</v>
      </c>
    </row>
    <row r="327" spans="1:17">
      <c r="A327" s="6">
        <v>46154</v>
      </c>
      <c r="B327" s="4">
        <v>11</v>
      </c>
      <c r="C327" s="4">
        <v>0</v>
      </c>
      <c r="D327" s="4">
        <v>55</v>
      </c>
      <c r="E327" s="4">
        <v>1</v>
      </c>
      <c r="F327" s="4">
        <v>50</v>
      </c>
      <c r="G327" s="10">
        <f t="shared" si="133"/>
        <v>11</v>
      </c>
      <c r="H327" s="4">
        <f>50+74.4</f>
        <v>124.4</v>
      </c>
      <c r="I327" s="5">
        <f t="shared" si="136"/>
        <v>605</v>
      </c>
      <c r="J327" s="5">
        <f t="shared" si="137"/>
        <v>480.6</v>
      </c>
      <c r="K327">
        <v>27</v>
      </c>
      <c r="N327" s="51">
        <f>236+300+100</f>
        <v>636</v>
      </c>
      <c r="P327" t="s">
        <v>1334</v>
      </c>
    </row>
    <row r="328" spans="1:17">
      <c r="A328" s="6">
        <v>46155</v>
      </c>
      <c r="B328" s="4">
        <v>10</v>
      </c>
      <c r="C328" s="4">
        <v>53</v>
      </c>
      <c r="D328" s="4">
        <v>45</v>
      </c>
      <c r="E328" s="4">
        <v>1</v>
      </c>
      <c r="F328" s="4">
        <v>50</v>
      </c>
      <c r="G328" s="10">
        <f t="shared" si="133"/>
        <v>10.883333333333333</v>
      </c>
      <c r="H328" s="4">
        <f>50+111</f>
        <v>161</v>
      </c>
      <c r="I328" s="5">
        <f t="shared" si="136"/>
        <v>489.75</v>
      </c>
      <c r="J328" s="5">
        <f t="shared" si="137"/>
        <v>328.75</v>
      </c>
      <c r="K328">
        <v>20</v>
      </c>
      <c r="N328" s="51">
        <f>534+300+100</f>
        <v>934</v>
      </c>
      <c r="P328" t="s">
        <v>1335</v>
      </c>
    </row>
    <row r="329" spans="1:17">
      <c r="A329" s="6">
        <v>46156</v>
      </c>
      <c r="B329" s="4">
        <v>10</v>
      </c>
      <c r="C329" s="4">
        <v>33</v>
      </c>
      <c r="D329" s="4">
        <v>45</v>
      </c>
      <c r="E329" s="4">
        <v>1</v>
      </c>
      <c r="F329" s="4">
        <v>50</v>
      </c>
      <c r="G329" s="10">
        <f t="shared" si="133"/>
        <v>10.55</v>
      </c>
      <c r="H329" s="4">
        <f>50+126</f>
        <v>176</v>
      </c>
      <c r="I329" s="5">
        <f t="shared" si="136"/>
        <v>474.75000000000006</v>
      </c>
      <c r="J329" s="5">
        <f t="shared" si="137"/>
        <v>298.75000000000006</v>
      </c>
      <c r="K329">
        <v>14</v>
      </c>
      <c r="N329" s="51">
        <f>170+4+100</f>
        <v>274</v>
      </c>
      <c r="P329" t="s">
        <v>1336</v>
      </c>
    </row>
    <row r="330" spans="1:17">
      <c r="A330" s="6">
        <v>46157</v>
      </c>
      <c r="B330" s="4">
        <v>10</v>
      </c>
      <c r="C330" s="4">
        <v>40</v>
      </c>
      <c r="D330" s="4">
        <v>45</v>
      </c>
      <c r="E330" s="4">
        <v>1</v>
      </c>
      <c r="F330" s="4">
        <v>50</v>
      </c>
      <c r="G330" s="10">
        <f t="shared" si="133"/>
        <v>10.666666666666666</v>
      </c>
      <c r="H330" s="4">
        <v>50</v>
      </c>
      <c r="I330" s="5">
        <f t="shared" si="136"/>
        <v>480</v>
      </c>
      <c r="J330" s="5">
        <f t="shared" si="137"/>
        <v>430</v>
      </c>
      <c r="K330">
        <v>22</v>
      </c>
      <c r="N330" s="51">
        <f>315+100</f>
        <v>415</v>
      </c>
      <c r="P330" t="s">
        <v>660</v>
      </c>
    </row>
    <row r="331" spans="1:17">
      <c r="A331" s="6">
        <v>46158</v>
      </c>
      <c r="B331" s="4">
        <v>10</v>
      </c>
      <c r="C331" s="4">
        <v>11</v>
      </c>
      <c r="D331" s="12">
        <v>55</v>
      </c>
      <c r="E331" s="12">
        <v>1</v>
      </c>
      <c r="F331" s="12">
        <v>50</v>
      </c>
      <c r="G331" s="10">
        <f t="shared" si="133"/>
        <v>10.183333333333334</v>
      </c>
      <c r="H331" s="4">
        <f>50+67.5</f>
        <v>117.5</v>
      </c>
      <c r="I331" s="5">
        <f t="shared" si="136"/>
        <v>560.08333333333337</v>
      </c>
      <c r="J331" s="5">
        <f t="shared" si="137"/>
        <v>442.58333333333337</v>
      </c>
      <c r="K331">
        <v>26</v>
      </c>
      <c r="N331" s="51">
        <f>522+200</f>
        <v>722</v>
      </c>
      <c r="P331" t="s">
        <v>1337</v>
      </c>
    </row>
    <row r="332" spans="1:17">
      <c r="A332" s="6">
        <v>46159</v>
      </c>
      <c r="B332" s="4">
        <v>10</v>
      </c>
      <c r="C332" s="172">
        <v>53</v>
      </c>
      <c r="D332" s="167">
        <v>45</v>
      </c>
      <c r="E332" s="167">
        <v>1</v>
      </c>
      <c r="F332" s="167">
        <v>50</v>
      </c>
      <c r="G332" s="10">
        <f>B332+C332/60</f>
        <v>10.883333333333333</v>
      </c>
      <c r="H332" s="4">
        <v>50</v>
      </c>
      <c r="I332" s="5">
        <f>G332*D332</f>
        <v>489.75</v>
      </c>
      <c r="J332" s="5">
        <f>I332-H332</f>
        <v>439.75</v>
      </c>
      <c r="K332">
        <v>26</v>
      </c>
      <c r="N332" s="51">
        <f>310+200+200</f>
        <v>710</v>
      </c>
      <c r="P332" t="s">
        <v>1338</v>
      </c>
    </row>
    <row r="333" spans="1:17" ht="19">
      <c r="A333" s="91" t="s">
        <v>1339</v>
      </c>
      <c r="B333" s="8">
        <f>SUM(B334:B340)</f>
        <v>53</v>
      </c>
      <c r="C333" s="173">
        <f>SUM(C334:C340)</f>
        <v>216</v>
      </c>
      <c r="D333" s="171">
        <f>SUM(D334)</f>
        <v>45</v>
      </c>
      <c r="E333" s="171">
        <f>SUM(E334:E340)</f>
        <v>6</v>
      </c>
      <c r="F333" s="171">
        <f>SUM(F334:F340)</f>
        <v>300</v>
      </c>
      <c r="G333" s="175">
        <f t="shared" si="133"/>
        <v>56.6</v>
      </c>
      <c r="H333" s="8">
        <f>SUM(H334:H340)</f>
        <v>930</v>
      </c>
      <c r="I333" s="14">
        <f>SUM(I334:I340)</f>
        <v>2547</v>
      </c>
      <c r="J333" s="14">
        <f>SUM(J334:J340)</f>
        <v>1617</v>
      </c>
      <c r="K333" s="8">
        <f>SUM(K334:K340)</f>
        <v>129</v>
      </c>
      <c r="L333" s="9">
        <v>0</v>
      </c>
      <c r="M333" s="96">
        <f>J333</f>
        <v>1617</v>
      </c>
      <c r="N333" s="102">
        <f>SUM(N334:N340)</f>
        <v>2664</v>
      </c>
      <c r="O333" s="98">
        <f>2663-N333</f>
        <v>-1</v>
      </c>
      <c r="P333" s="86"/>
      <c r="Q333" s="86"/>
    </row>
    <row r="334" spans="1:17">
      <c r="A334" s="6">
        <v>46153</v>
      </c>
      <c r="B334" s="4">
        <v>0</v>
      </c>
      <c r="C334" s="4">
        <v>0</v>
      </c>
      <c r="D334" s="141">
        <v>45</v>
      </c>
      <c r="E334" s="141">
        <v>0</v>
      </c>
      <c r="F334" s="141">
        <v>0</v>
      </c>
      <c r="G334" s="10">
        <f t="shared" si="133"/>
        <v>0</v>
      </c>
      <c r="H334" s="4">
        <v>0</v>
      </c>
      <c r="I334" s="5">
        <f t="shared" ref="I334:I336" si="138">G334*D334</f>
        <v>0</v>
      </c>
      <c r="J334" s="5">
        <f t="shared" ref="J334:J338" si="139">I334-H334</f>
        <v>0</v>
      </c>
      <c r="K334">
        <v>0</v>
      </c>
      <c r="N334" s="51">
        <v>0</v>
      </c>
      <c r="O334" s="51"/>
    </row>
    <row r="335" spans="1:17">
      <c r="A335" s="6">
        <v>46154</v>
      </c>
      <c r="B335" s="4">
        <v>9</v>
      </c>
      <c r="C335" s="4">
        <v>44</v>
      </c>
      <c r="D335" s="4">
        <v>45</v>
      </c>
      <c r="E335" s="4">
        <v>1</v>
      </c>
      <c r="F335" s="4">
        <v>50</v>
      </c>
      <c r="G335" s="10">
        <f t="shared" si="133"/>
        <v>9.7333333333333325</v>
      </c>
      <c r="H335" s="4">
        <v>50</v>
      </c>
      <c r="I335" s="5">
        <f t="shared" si="138"/>
        <v>437.99999999999994</v>
      </c>
      <c r="J335" s="5">
        <f t="shared" si="139"/>
        <v>387.99999999999994</v>
      </c>
      <c r="K335">
        <v>13</v>
      </c>
      <c r="N335" s="51">
        <v>309</v>
      </c>
    </row>
    <row r="336" spans="1:17">
      <c r="A336" s="6">
        <v>46155</v>
      </c>
      <c r="B336" s="4">
        <v>8</v>
      </c>
      <c r="C336" s="4">
        <v>54</v>
      </c>
      <c r="D336" s="4">
        <v>45</v>
      </c>
      <c r="E336" s="4">
        <v>1</v>
      </c>
      <c r="F336" s="4">
        <v>50</v>
      </c>
      <c r="G336" s="10">
        <f t="shared" si="133"/>
        <v>8.9</v>
      </c>
      <c r="H336" s="4">
        <f>50+157</f>
        <v>207</v>
      </c>
      <c r="I336" s="5">
        <f t="shared" si="138"/>
        <v>400.5</v>
      </c>
      <c r="J336" s="5">
        <f t="shared" si="139"/>
        <v>193.5</v>
      </c>
      <c r="K336">
        <v>20</v>
      </c>
      <c r="N336" s="51">
        <f>143+200</f>
        <v>343</v>
      </c>
      <c r="P336" t="s">
        <v>1340</v>
      </c>
    </row>
    <row r="337" spans="1:17">
      <c r="A337" s="6">
        <v>46156</v>
      </c>
      <c r="B337" s="4">
        <v>9</v>
      </c>
      <c r="C337" s="4">
        <v>8</v>
      </c>
      <c r="D337" s="4">
        <v>45</v>
      </c>
      <c r="E337" s="4">
        <v>1</v>
      </c>
      <c r="F337" s="4">
        <v>50</v>
      </c>
      <c r="G337" s="10">
        <f t="shared" si="133"/>
        <v>9.1333333333333329</v>
      </c>
      <c r="H337" s="4">
        <f>50+106</f>
        <v>156</v>
      </c>
      <c r="I337" s="5">
        <f>G337*D337</f>
        <v>411</v>
      </c>
      <c r="J337" s="5">
        <f t="shared" si="139"/>
        <v>255</v>
      </c>
      <c r="K337">
        <v>21</v>
      </c>
      <c r="N337" s="51">
        <f>400+62</f>
        <v>462</v>
      </c>
      <c r="P337" t="s">
        <v>1341</v>
      </c>
    </row>
    <row r="338" spans="1:17">
      <c r="A338" s="6">
        <v>46157</v>
      </c>
      <c r="B338" s="4">
        <v>9</v>
      </c>
      <c r="C338" s="4">
        <v>50</v>
      </c>
      <c r="D338" s="4">
        <v>45</v>
      </c>
      <c r="E338" s="4">
        <v>1</v>
      </c>
      <c r="F338" s="4">
        <v>50</v>
      </c>
      <c r="G338" s="10">
        <f t="shared" si="133"/>
        <v>9.8333333333333339</v>
      </c>
      <c r="H338" s="4">
        <v>50</v>
      </c>
      <c r="I338" s="5">
        <f t="shared" ref="I338" si="140">G338*D338</f>
        <v>442.5</v>
      </c>
      <c r="J338" s="5">
        <f t="shared" si="139"/>
        <v>392.5</v>
      </c>
      <c r="K338">
        <v>26</v>
      </c>
      <c r="N338" s="51">
        <f>330+170</f>
        <v>500</v>
      </c>
      <c r="P338" t="s">
        <v>1342</v>
      </c>
    </row>
    <row r="339" spans="1:17">
      <c r="A339" s="6">
        <v>46158</v>
      </c>
      <c r="B339" s="4">
        <v>10</v>
      </c>
      <c r="C339" s="4">
        <v>25</v>
      </c>
      <c r="D339" s="4">
        <v>45</v>
      </c>
      <c r="E339" s="4">
        <v>1</v>
      </c>
      <c r="F339" s="4">
        <v>50</v>
      </c>
      <c r="G339" s="10">
        <f>B339+C339/60</f>
        <v>10.416666666666666</v>
      </c>
      <c r="H339" s="4">
        <f>50+176</f>
        <v>226</v>
      </c>
      <c r="I339" s="5">
        <f>G339*D339</f>
        <v>468.75</v>
      </c>
      <c r="J339" s="5">
        <f>I339-H339</f>
        <v>242.75</v>
      </c>
      <c r="K339">
        <v>27</v>
      </c>
      <c r="N339" s="51">
        <f>282+200</f>
        <v>482</v>
      </c>
      <c r="P339" t="s">
        <v>1343</v>
      </c>
    </row>
    <row r="340" spans="1:17">
      <c r="A340" s="6">
        <v>46159</v>
      </c>
      <c r="B340" s="4">
        <v>8</v>
      </c>
      <c r="C340" s="4">
        <v>35</v>
      </c>
      <c r="D340" s="4">
        <v>45</v>
      </c>
      <c r="E340" s="4">
        <v>1</v>
      </c>
      <c r="F340" s="4">
        <v>50</v>
      </c>
      <c r="G340" s="10">
        <f>B340+C340/60</f>
        <v>8.5833333333333339</v>
      </c>
      <c r="H340" s="4">
        <f>50+191</f>
        <v>241</v>
      </c>
      <c r="I340" s="5">
        <f>G340*D340</f>
        <v>386.25</v>
      </c>
      <c r="J340" s="5">
        <f>I340-H340</f>
        <v>145.25</v>
      </c>
      <c r="K340">
        <v>22</v>
      </c>
      <c r="N340" s="51">
        <f>300+250+18</f>
        <v>568</v>
      </c>
      <c r="P340" t="s">
        <v>1344</v>
      </c>
    </row>
    <row r="341" spans="1:17" ht="19">
      <c r="A341" s="91" t="s">
        <v>1187</v>
      </c>
      <c r="B341" s="8">
        <f>SUM(B342:B349)</f>
        <v>61</v>
      </c>
      <c r="C341" s="8">
        <f>SUM(C342:C349)</f>
        <v>185</v>
      </c>
      <c r="D341" s="171">
        <f>SUM(D342)</f>
        <v>45</v>
      </c>
      <c r="E341" s="171">
        <f>SUM(E342:E348)</f>
        <v>6</v>
      </c>
      <c r="F341" s="171">
        <f>SUM(F342:F349)</f>
        <v>350</v>
      </c>
      <c r="G341" s="175">
        <f>B341+C341/60</f>
        <v>64.083333333333329</v>
      </c>
      <c r="H341" s="8">
        <f>SUM(H342:H349)</f>
        <v>685.5</v>
      </c>
      <c r="I341" s="14">
        <f>SUM(I342:I349)</f>
        <v>2883.75</v>
      </c>
      <c r="J341" s="14">
        <f>SUM(J342:J349)</f>
        <v>2198.25</v>
      </c>
      <c r="K341" s="8">
        <f>SUM(K342:K349)</f>
        <v>148</v>
      </c>
      <c r="L341" s="9">
        <v>0</v>
      </c>
      <c r="M341" s="96">
        <f>J341</f>
        <v>2198.25</v>
      </c>
      <c r="N341" s="102">
        <f>SUM(N342:O349)</f>
        <v>2670</v>
      </c>
      <c r="O341" s="98">
        <f>3233-N341</f>
        <v>563</v>
      </c>
      <c r="P341" s="86"/>
      <c r="Q341" s="86"/>
    </row>
    <row r="342" spans="1:17">
      <c r="A342" s="80" t="s">
        <v>1072</v>
      </c>
      <c r="B342" s="4">
        <v>0</v>
      </c>
      <c r="C342" s="4">
        <v>0</v>
      </c>
      <c r="D342" s="141">
        <v>45</v>
      </c>
      <c r="E342" s="141">
        <v>0</v>
      </c>
      <c r="F342" s="141">
        <v>0</v>
      </c>
      <c r="G342" s="10">
        <f t="shared" ref="G342:G346" si="141">B342+C342/60</f>
        <v>0</v>
      </c>
      <c r="H342" s="4">
        <v>0</v>
      </c>
      <c r="I342" s="5">
        <f t="shared" ref="I342:I344" si="142">G342*D342</f>
        <v>0</v>
      </c>
      <c r="J342" s="5">
        <f t="shared" ref="J342:J346" si="143">I342-H342</f>
        <v>0</v>
      </c>
      <c r="K342">
        <v>0</v>
      </c>
      <c r="N342" s="51">
        <v>0</v>
      </c>
      <c r="O342" s="51"/>
    </row>
    <row r="343" spans="1:17">
      <c r="A343" s="80" t="s">
        <v>1193</v>
      </c>
      <c r="B343" s="4">
        <v>9</v>
      </c>
      <c r="C343" s="4">
        <v>5</v>
      </c>
      <c r="D343" s="4">
        <v>45</v>
      </c>
      <c r="E343" s="4">
        <v>1</v>
      </c>
      <c r="F343" s="4">
        <v>50</v>
      </c>
      <c r="G343" s="10">
        <f t="shared" si="141"/>
        <v>9.0833333333333339</v>
      </c>
      <c r="H343" s="4">
        <v>50</v>
      </c>
      <c r="I343" s="5">
        <f t="shared" si="142"/>
        <v>408.75</v>
      </c>
      <c r="J343" s="5">
        <f t="shared" si="143"/>
        <v>358.75</v>
      </c>
      <c r="K343">
        <v>16</v>
      </c>
      <c r="N343" s="51">
        <v>351</v>
      </c>
      <c r="P343" t="s">
        <v>1146</v>
      </c>
    </row>
    <row r="344" spans="1:17">
      <c r="A344" s="80" t="s">
        <v>1194</v>
      </c>
      <c r="B344" s="4">
        <v>10</v>
      </c>
      <c r="C344" s="4">
        <v>2</v>
      </c>
      <c r="D344" s="4">
        <v>45</v>
      </c>
      <c r="E344" s="4">
        <v>1</v>
      </c>
      <c r="F344" s="4">
        <v>50</v>
      </c>
      <c r="G344" s="10">
        <f t="shared" si="141"/>
        <v>10.033333333333333</v>
      </c>
      <c r="H344" s="4">
        <v>50</v>
      </c>
      <c r="I344" s="5">
        <f t="shared" si="142"/>
        <v>451.5</v>
      </c>
      <c r="J344" s="5">
        <f t="shared" si="143"/>
        <v>401.5</v>
      </c>
      <c r="K344">
        <v>22</v>
      </c>
      <c r="N344" s="51">
        <v>0</v>
      </c>
      <c r="P344" t="s">
        <v>1116</v>
      </c>
    </row>
    <row r="345" spans="1:17">
      <c r="A345" s="80" t="s">
        <v>1196</v>
      </c>
      <c r="B345" s="4">
        <v>9</v>
      </c>
      <c r="C345" s="4">
        <v>37</v>
      </c>
      <c r="D345" s="4">
        <v>45</v>
      </c>
      <c r="E345" s="4">
        <v>1</v>
      </c>
      <c r="F345" s="4">
        <v>50</v>
      </c>
      <c r="G345" s="10">
        <f t="shared" si="141"/>
        <v>9.6166666666666671</v>
      </c>
      <c r="H345" s="4">
        <v>50</v>
      </c>
      <c r="I345" s="5">
        <f>G345*D345</f>
        <v>432.75</v>
      </c>
      <c r="J345" s="5">
        <f t="shared" si="143"/>
        <v>382.75</v>
      </c>
      <c r="K345">
        <v>20</v>
      </c>
      <c r="N345" s="51">
        <f>518+200</f>
        <v>718</v>
      </c>
      <c r="P345" t="s">
        <v>1345</v>
      </c>
    </row>
    <row r="346" spans="1:17">
      <c r="A346" s="80" t="s">
        <v>1198</v>
      </c>
      <c r="B346" s="4">
        <v>6</v>
      </c>
      <c r="C346" s="4">
        <v>38</v>
      </c>
      <c r="D346" s="4">
        <v>45</v>
      </c>
      <c r="E346" s="4">
        <v>1</v>
      </c>
      <c r="F346" s="4">
        <v>50</v>
      </c>
      <c r="G346" s="10">
        <f t="shared" si="141"/>
        <v>6.6333333333333329</v>
      </c>
      <c r="H346" s="4">
        <f>50+200.5</f>
        <v>250.5</v>
      </c>
      <c r="I346" s="5">
        <f t="shared" ref="I346" si="144">G346*D346</f>
        <v>298.5</v>
      </c>
      <c r="J346" s="5">
        <f t="shared" si="143"/>
        <v>48</v>
      </c>
      <c r="K346">
        <v>13</v>
      </c>
      <c r="N346" s="51">
        <v>450</v>
      </c>
      <c r="P346" t="s">
        <v>1346</v>
      </c>
    </row>
    <row r="347" spans="1:17">
      <c r="A347" s="80" t="s">
        <v>1200</v>
      </c>
      <c r="B347" s="4">
        <v>9</v>
      </c>
      <c r="C347" s="4">
        <v>36</v>
      </c>
      <c r="D347" s="4">
        <v>45</v>
      </c>
      <c r="E347" s="4">
        <v>1</v>
      </c>
      <c r="F347" s="4">
        <v>50</v>
      </c>
      <c r="G347" s="10">
        <f>B347+C347/60</f>
        <v>9.6</v>
      </c>
      <c r="H347" s="4">
        <f>50+135</f>
        <v>185</v>
      </c>
      <c r="I347" s="5">
        <f>G347*D347</f>
        <v>432</v>
      </c>
      <c r="J347" s="5">
        <f>I347-H347</f>
        <v>247</v>
      </c>
      <c r="K347">
        <v>25</v>
      </c>
      <c r="N347" s="51">
        <f>251+200</f>
        <v>451</v>
      </c>
      <c r="P347" t="s">
        <v>1347</v>
      </c>
    </row>
    <row r="348" spans="1:17">
      <c r="A348" s="80" t="s">
        <v>1202</v>
      </c>
      <c r="B348" s="4">
        <v>8</v>
      </c>
      <c r="C348" s="4">
        <v>23</v>
      </c>
      <c r="D348" s="4">
        <v>45</v>
      </c>
      <c r="E348" s="4">
        <v>1</v>
      </c>
      <c r="F348" s="4">
        <v>50</v>
      </c>
      <c r="G348" s="10">
        <f t="shared" ref="G348" si="145">B348+C348/60</f>
        <v>8.3833333333333329</v>
      </c>
      <c r="H348" s="4">
        <v>50</v>
      </c>
      <c r="I348" s="5">
        <f t="shared" ref="I348" si="146">G348*D348</f>
        <v>377.25</v>
      </c>
      <c r="J348" s="5">
        <f t="shared" ref="J348" si="147">I348-H348</f>
        <v>327.25</v>
      </c>
      <c r="K348">
        <v>26</v>
      </c>
      <c r="N348" s="51">
        <f>300+30</f>
        <v>330</v>
      </c>
      <c r="P348" t="s">
        <v>405</v>
      </c>
    </row>
    <row r="349" spans="1:17">
      <c r="A349" s="80" t="s">
        <v>1213</v>
      </c>
      <c r="B349" s="4">
        <v>10</v>
      </c>
      <c r="C349" s="4">
        <v>44</v>
      </c>
      <c r="D349" s="4">
        <v>45</v>
      </c>
      <c r="E349" s="4">
        <v>1</v>
      </c>
      <c r="F349" s="4">
        <v>50</v>
      </c>
      <c r="G349" s="10">
        <f>B349+C349/60</f>
        <v>10.733333333333333</v>
      </c>
      <c r="H349" s="4">
        <v>50</v>
      </c>
      <c r="I349" s="5">
        <f>G349*D349</f>
        <v>482.99999999999994</v>
      </c>
      <c r="J349" s="5">
        <f>I349-H349</f>
        <v>432.99999999999994</v>
      </c>
      <c r="K349">
        <v>26</v>
      </c>
      <c r="N349" s="51">
        <f>220+150</f>
        <v>370</v>
      </c>
      <c r="P349" t="s">
        <v>1203</v>
      </c>
    </row>
    <row r="350" spans="1:17" ht="24">
      <c r="A350" t="s">
        <v>17</v>
      </c>
      <c r="E350" s="191">
        <f t="shared" ref="E350:O350" si="148">E3+E11+E19+E27+E35+E43+E51+E59+E68+E77+E85+E93+E100+E108+E116+E124+E132+E141+E149+E157+E165+E173+E181+E189+E197+E205+E213+E221+E228+E237+E245+E253+E261+E269+E277+E285+E293+E301+E309+E317+E325+E333+E341</f>
        <v>188</v>
      </c>
      <c r="F350" s="192">
        <f t="shared" si="148"/>
        <v>14150</v>
      </c>
      <c r="G350" s="192">
        <f t="shared" si="148"/>
        <v>1750.0999999999997</v>
      </c>
      <c r="H350" s="192">
        <f t="shared" si="148"/>
        <v>20095</v>
      </c>
      <c r="I350" s="192">
        <f t="shared" si="148"/>
        <v>90172.583333333314</v>
      </c>
      <c r="J350" s="192">
        <f t="shared" si="148"/>
        <v>70077.583333333343</v>
      </c>
      <c r="K350" s="191">
        <f t="shared" si="148"/>
        <v>4548</v>
      </c>
      <c r="L350" s="191">
        <f t="shared" si="148"/>
        <v>300</v>
      </c>
      <c r="M350" s="192">
        <f t="shared" si="148"/>
        <v>70377.583333333343</v>
      </c>
      <c r="N350" s="192">
        <f t="shared" si="148"/>
        <v>102940.47</v>
      </c>
      <c r="O350" s="193">
        <f t="shared" si="148"/>
        <v>6977.5300000000007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59A3-F0F6-0240-B04E-6019EF7CA596}">
  <dimension ref="A1:Q2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8" sqref="F28"/>
    </sheetView>
  </sheetViews>
  <sheetFormatPr baseColWidth="10" defaultColWidth="8.6640625" defaultRowHeight="15"/>
  <cols>
    <col min="1" max="1" width="27.6640625" bestFit="1" customWidth="1"/>
    <col min="3" max="3" width="13.33203125" customWidth="1"/>
    <col min="4" max="4" width="17.6640625" customWidth="1"/>
    <col min="6" max="6" width="16.6640625" customWidth="1"/>
    <col min="7" max="7" width="19" customWidth="1"/>
    <col min="8" max="8" width="18" customWidth="1"/>
    <col min="9" max="9" width="20.5" customWidth="1"/>
    <col min="10" max="10" width="17.33203125" customWidth="1"/>
    <col min="11" max="11" width="11.6640625" bestFit="1" customWidth="1"/>
    <col min="12" max="12" width="10.33203125" bestFit="1" customWidth="1"/>
    <col min="13" max="13" width="17" bestFit="1" customWidth="1"/>
    <col min="14" max="14" width="17.5" bestFit="1" customWidth="1"/>
    <col min="15" max="15" width="22.6640625" bestFit="1" customWidth="1"/>
    <col min="16" max="16" width="175.5" customWidth="1"/>
  </cols>
  <sheetData>
    <row r="1" spans="1:16" ht="1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9" t="s">
        <v>19</v>
      </c>
      <c r="L1" s="49" t="s">
        <v>20</v>
      </c>
      <c r="M1" s="49" t="s">
        <v>21</v>
      </c>
      <c r="N1" s="49" t="s">
        <v>22</v>
      </c>
      <c r="O1" s="49" t="s">
        <v>23</v>
      </c>
      <c r="P1" s="79" t="s">
        <v>24</v>
      </c>
    </row>
    <row r="2" spans="1:16" ht="20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6" s="86" customFormat="1" ht="20" thickBot="1">
      <c r="A3" s="91" t="s">
        <v>453</v>
      </c>
      <c r="B3" s="8">
        <f>SUM(B4:B10)</f>
        <v>19</v>
      </c>
      <c r="C3" s="8">
        <f>SUM(C4:C10)</f>
        <v>40</v>
      </c>
      <c r="D3" s="8">
        <f>SUM(D4)</f>
        <v>55</v>
      </c>
      <c r="E3" s="8">
        <f>SUM(E4:E10)</f>
        <v>6</v>
      </c>
      <c r="F3" s="8">
        <f>SUM(F4:F10)</f>
        <v>350</v>
      </c>
      <c r="G3" s="93">
        <f t="shared" ref="G3" si="0">B3+C3/60</f>
        <v>19.666666666666668</v>
      </c>
      <c r="H3" s="8">
        <f>SUM(H4:H10)</f>
        <v>100</v>
      </c>
      <c r="I3" s="9">
        <f>SUM(I4:I10)</f>
        <v>1081.6666666666667</v>
      </c>
      <c r="J3" s="14">
        <f>SUM(J4:J10)</f>
        <v>981.66666666666674</v>
      </c>
      <c r="K3" s="8">
        <f>SUM(K4:K10)</f>
        <v>58</v>
      </c>
      <c r="L3" s="9">
        <v>0</v>
      </c>
      <c r="M3" s="96">
        <f>J3+L3</f>
        <v>981.66666666666674</v>
      </c>
      <c r="N3" s="97">
        <f>SUM(N4:N10)</f>
        <v>0</v>
      </c>
      <c r="O3" s="98">
        <f>-N3</f>
        <v>0</v>
      </c>
    </row>
    <row r="4" spans="1:16">
      <c r="A4" s="80" t="s">
        <v>1348</v>
      </c>
      <c r="B4" s="4">
        <v>9</v>
      </c>
      <c r="C4" s="4">
        <v>35</v>
      </c>
      <c r="D4" s="4">
        <v>55</v>
      </c>
      <c r="E4" s="4">
        <v>1</v>
      </c>
      <c r="F4" s="4">
        <v>50</v>
      </c>
      <c r="G4" s="10">
        <f t="shared" ref="G4:G10" si="1">B4+C4/60</f>
        <v>9.5833333333333339</v>
      </c>
      <c r="H4" s="4">
        <v>50</v>
      </c>
      <c r="I4" s="5">
        <f t="shared" ref="I4:I10" si="2">G4*D4</f>
        <v>527.08333333333337</v>
      </c>
      <c r="J4" s="5">
        <f>I4-H4</f>
        <v>477.08333333333337</v>
      </c>
      <c r="K4">
        <v>27</v>
      </c>
      <c r="N4" s="51">
        <v>0</v>
      </c>
      <c r="P4" t="s">
        <v>1349</v>
      </c>
    </row>
    <row r="5" spans="1:16">
      <c r="A5" s="80" t="s">
        <v>1350</v>
      </c>
      <c r="B5" s="4">
        <v>10</v>
      </c>
      <c r="C5" s="4">
        <v>5</v>
      </c>
      <c r="D5" s="4">
        <v>55</v>
      </c>
      <c r="E5" s="4">
        <v>1</v>
      </c>
      <c r="F5" s="4">
        <v>50</v>
      </c>
      <c r="G5" s="10">
        <f t="shared" si="1"/>
        <v>10.083333333333334</v>
      </c>
      <c r="H5" s="4">
        <v>50</v>
      </c>
      <c r="I5" s="5">
        <f t="shared" si="2"/>
        <v>554.58333333333337</v>
      </c>
      <c r="J5" s="5">
        <f>I5-H5</f>
        <v>504.58333333333337</v>
      </c>
      <c r="K5">
        <v>31</v>
      </c>
      <c r="N5" s="51">
        <v>0</v>
      </c>
    </row>
    <row r="6" spans="1:16">
      <c r="A6" s="80" t="s">
        <v>1351</v>
      </c>
      <c r="B6" s="4"/>
      <c r="C6" s="4"/>
      <c r="D6" s="4">
        <v>55</v>
      </c>
      <c r="E6" s="4">
        <v>1</v>
      </c>
      <c r="F6" s="4">
        <v>50</v>
      </c>
      <c r="G6" s="10">
        <f t="shared" si="1"/>
        <v>0</v>
      </c>
      <c r="H6" s="4"/>
      <c r="I6" s="5">
        <f t="shared" si="2"/>
        <v>0</v>
      </c>
      <c r="J6" s="5">
        <f>I6-H6</f>
        <v>0</v>
      </c>
      <c r="N6" s="51">
        <v>0</v>
      </c>
    </row>
    <row r="7" spans="1:16">
      <c r="A7" s="80" t="s">
        <v>1352</v>
      </c>
      <c r="B7" s="4"/>
      <c r="C7" s="4"/>
      <c r="D7" s="4">
        <v>45</v>
      </c>
      <c r="E7" s="4">
        <v>1</v>
      </c>
      <c r="F7" s="4">
        <v>50</v>
      </c>
      <c r="G7" s="10">
        <f t="shared" si="1"/>
        <v>0</v>
      </c>
      <c r="H7" s="4"/>
      <c r="I7" s="5">
        <f t="shared" si="2"/>
        <v>0</v>
      </c>
      <c r="J7" s="5">
        <f t="shared" ref="J7:J10" si="3">I7-H7</f>
        <v>0</v>
      </c>
      <c r="N7" s="51">
        <v>0</v>
      </c>
      <c r="P7" s="170"/>
    </row>
    <row r="8" spans="1:16">
      <c r="A8" s="80" t="s">
        <v>1353</v>
      </c>
      <c r="B8" s="4"/>
      <c r="C8" s="4"/>
      <c r="D8" s="4">
        <v>55</v>
      </c>
      <c r="E8" s="4">
        <v>1</v>
      </c>
      <c r="F8" s="4">
        <v>50</v>
      </c>
      <c r="G8" s="10">
        <f t="shared" si="1"/>
        <v>0</v>
      </c>
      <c r="H8" s="4"/>
      <c r="I8" s="5">
        <f t="shared" si="2"/>
        <v>0</v>
      </c>
      <c r="J8" s="5">
        <f t="shared" si="3"/>
        <v>0</v>
      </c>
      <c r="N8" s="51">
        <v>0</v>
      </c>
    </row>
    <row r="9" spans="1:16">
      <c r="A9" s="80" t="s">
        <v>1354</v>
      </c>
      <c r="B9" s="4"/>
      <c r="C9" s="4"/>
      <c r="D9" s="4">
        <v>45</v>
      </c>
      <c r="E9" s="4">
        <v>1</v>
      </c>
      <c r="F9" s="4">
        <v>50</v>
      </c>
      <c r="G9" s="10">
        <f t="shared" si="1"/>
        <v>0</v>
      </c>
      <c r="H9" s="4"/>
      <c r="I9" s="5">
        <f t="shared" si="2"/>
        <v>0</v>
      </c>
      <c r="J9" s="5">
        <f t="shared" si="3"/>
        <v>0</v>
      </c>
      <c r="N9" s="51">
        <v>0</v>
      </c>
    </row>
    <row r="10" spans="1:16" ht="16" thickBot="1">
      <c r="A10" s="80" t="s">
        <v>1355</v>
      </c>
      <c r="B10" s="4"/>
      <c r="C10" s="4"/>
      <c r="D10" s="4">
        <v>45</v>
      </c>
      <c r="E10" s="4">
        <v>0</v>
      </c>
      <c r="F10" s="4">
        <v>50</v>
      </c>
      <c r="G10" s="10">
        <f t="shared" si="1"/>
        <v>0</v>
      </c>
      <c r="H10" s="4"/>
      <c r="I10" s="5">
        <f t="shared" si="2"/>
        <v>0</v>
      </c>
      <c r="J10" s="5">
        <f t="shared" si="3"/>
        <v>0</v>
      </c>
      <c r="N10" s="51">
        <v>0</v>
      </c>
    </row>
    <row r="11" spans="1:16" s="86" customFormat="1" ht="20" thickBot="1">
      <c r="A11" s="91" t="s">
        <v>463</v>
      </c>
      <c r="B11" s="92">
        <f>SUM(B12:B18)</f>
        <v>20</v>
      </c>
      <c r="C11" s="92">
        <f>SUM(C12:C18)</f>
        <v>109</v>
      </c>
      <c r="D11" s="92">
        <f>SUM(D12)</f>
        <v>45</v>
      </c>
      <c r="E11" s="92">
        <f>SUM(E12:E18)</f>
        <v>6</v>
      </c>
      <c r="F11" s="92">
        <f>SUM(F12:F18)</f>
        <v>350</v>
      </c>
      <c r="G11" s="93">
        <f>B11+C11/60</f>
        <v>21.816666666666666</v>
      </c>
      <c r="H11" s="8">
        <f>SUM(H12:H18)</f>
        <v>100</v>
      </c>
      <c r="I11" s="94">
        <f>SUM(I12:I18)</f>
        <v>1091.25</v>
      </c>
      <c r="J11" s="95">
        <f>SUM(J12:J18)</f>
        <v>991.25</v>
      </c>
      <c r="K11" s="8">
        <f>SUM(K12:K18)</f>
        <v>44</v>
      </c>
      <c r="L11" s="9">
        <v>0</v>
      </c>
      <c r="M11" s="96">
        <f>J11+L11</f>
        <v>991.25</v>
      </c>
      <c r="N11" s="97">
        <f>SUM(N12:N18)</f>
        <v>0</v>
      </c>
      <c r="O11" s="98">
        <f>-N11</f>
        <v>0</v>
      </c>
    </row>
    <row r="12" spans="1:16">
      <c r="A12" s="6">
        <v>46160</v>
      </c>
      <c r="B12" s="4">
        <v>10</v>
      </c>
      <c r="C12" s="4">
        <v>52</v>
      </c>
      <c r="D12" s="4">
        <v>45</v>
      </c>
      <c r="E12" s="4">
        <v>1</v>
      </c>
      <c r="F12" s="4">
        <v>50</v>
      </c>
      <c r="G12" s="10">
        <f>B12+C12/60</f>
        <v>10.866666666666667</v>
      </c>
      <c r="H12" s="4">
        <v>50</v>
      </c>
      <c r="I12" s="5">
        <f>G12*D12</f>
        <v>489</v>
      </c>
      <c r="J12" s="5">
        <f>I12-H12</f>
        <v>439</v>
      </c>
      <c r="K12">
        <v>17</v>
      </c>
      <c r="M12" t="s">
        <v>26</v>
      </c>
      <c r="N12" s="83">
        <v>0</v>
      </c>
    </row>
    <row r="13" spans="1:16">
      <c r="A13" s="6">
        <v>46161</v>
      </c>
      <c r="B13" s="4">
        <v>10</v>
      </c>
      <c r="C13" s="4">
        <v>57</v>
      </c>
      <c r="D13" s="4">
        <v>55</v>
      </c>
      <c r="E13" s="4">
        <v>1</v>
      </c>
      <c r="F13" s="4">
        <v>50</v>
      </c>
      <c r="G13" s="10">
        <f t="shared" ref="G13:G65" si="4">B13+C13/60</f>
        <v>10.95</v>
      </c>
      <c r="H13" s="4">
        <v>50</v>
      </c>
      <c r="I13" s="5">
        <f>G13*D13</f>
        <v>602.25</v>
      </c>
      <c r="J13" s="5">
        <f t="shared" ref="J13:J18" si="5">I13-H13</f>
        <v>552.25</v>
      </c>
      <c r="K13">
        <v>27</v>
      </c>
      <c r="N13" s="83">
        <v>0</v>
      </c>
    </row>
    <row r="14" spans="1:16">
      <c r="A14" s="6">
        <v>46162</v>
      </c>
      <c r="B14" s="4"/>
      <c r="C14" s="4"/>
      <c r="D14" s="4">
        <v>45</v>
      </c>
      <c r="E14" s="4">
        <v>0</v>
      </c>
      <c r="F14" s="4">
        <v>50</v>
      </c>
      <c r="G14" s="10">
        <f t="shared" si="4"/>
        <v>0</v>
      </c>
      <c r="H14" s="4"/>
      <c r="I14" s="5">
        <f t="shared" ref="I14:I18" si="6">G14*D14</f>
        <v>0</v>
      </c>
      <c r="J14" s="5">
        <f t="shared" si="5"/>
        <v>0</v>
      </c>
      <c r="N14" s="83">
        <v>0</v>
      </c>
    </row>
    <row r="15" spans="1:16">
      <c r="A15" s="6">
        <v>46163</v>
      </c>
      <c r="B15" s="4"/>
      <c r="C15" s="4"/>
      <c r="D15" s="4">
        <v>45</v>
      </c>
      <c r="E15" s="4">
        <v>1</v>
      </c>
      <c r="F15" s="4">
        <v>50</v>
      </c>
      <c r="G15" s="10">
        <f t="shared" si="4"/>
        <v>0</v>
      </c>
      <c r="H15" s="4"/>
      <c r="I15" s="5">
        <f t="shared" si="6"/>
        <v>0</v>
      </c>
      <c r="J15" s="5">
        <f t="shared" si="5"/>
        <v>0</v>
      </c>
      <c r="N15" s="83">
        <v>0</v>
      </c>
    </row>
    <row r="16" spans="1:16">
      <c r="A16" s="6">
        <v>46164</v>
      </c>
      <c r="B16" s="4"/>
      <c r="C16" s="4"/>
      <c r="D16" s="4">
        <v>45</v>
      </c>
      <c r="E16" s="4">
        <v>1</v>
      </c>
      <c r="F16" s="4">
        <v>50</v>
      </c>
      <c r="G16" s="10">
        <f t="shared" si="4"/>
        <v>0</v>
      </c>
      <c r="H16" s="4"/>
      <c r="I16" s="5">
        <f t="shared" si="6"/>
        <v>0</v>
      </c>
      <c r="J16" s="5">
        <f t="shared" si="5"/>
        <v>0</v>
      </c>
      <c r="N16" s="83">
        <v>0</v>
      </c>
    </row>
    <row r="17" spans="1:15">
      <c r="A17" s="6">
        <v>46165</v>
      </c>
      <c r="B17" s="4"/>
      <c r="C17" s="4"/>
      <c r="D17" s="4">
        <v>45</v>
      </c>
      <c r="E17" s="4">
        <v>1</v>
      </c>
      <c r="F17" s="4">
        <v>50</v>
      </c>
      <c r="G17" s="10">
        <f t="shared" si="4"/>
        <v>0</v>
      </c>
      <c r="H17" s="4"/>
      <c r="I17" s="5">
        <f t="shared" si="6"/>
        <v>0</v>
      </c>
      <c r="J17" s="5">
        <f t="shared" si="5"/>
        <v>0</v>
      </c>
      <c r="N17" s="83">
        <v>0</v>
      </c>
    </row>
    <row r="18" spans="1:15" ht="16" thickBot="1">
      <c r="A18" s="6">
        <v>46166</v>
      </c>
      <c r="B18" s="4"/>
      <c r="C18" s="4"/>
      <c r="D18" s="4">
        <v>65</v>
      </c>
      <c r="E18" s="4">
        <v>1</v>
      </c>
      <c r="F18" s="4">
        <v>50</v>
      </c>
      <c r="G18" s="10">
        <f t="shared" si="4"/>
        <v>0</v>
      </c>
      <c r="H18" s="4"/>
      <c r="I18" s="5">
        <f t="shared" si="6"/>
        <v>0</v>
      </c>
      <c r="J18" s="5">
        <f t="shared" si="5"/>
        <v>0</v>
      </c>
      <c r="N18" s="51">
        <v>0</v>
      </c>
    </row>
    <row r="19" spans="1:15" s="86" customFormat="1" ht="20" thickBot="1">
      <c r="A19" s="91" t="s">
        <v>465</v>
      </c>
      <c r="B19" s="8">
        <f>SUM(B20:B26)</f>
        <v>10</v>
      </c>
      <c r="C19" s="8">
        <f>SUM(C20:C26)</f>
        <v>17</v>
      </c>
      <c r="D19" s="8">
        <f>SUM(D20)</f>
        <v>45</v>
      </c>
      <c r="E19" s="8"/>
      <c r="F19" s="8">
        <f>SUM(F20:F25)</f>
        <v>300</v>
      </c>
      <c r="G19" s="93">
        <f t="shared" si="4"/>
        <v>10.283333333333333</v>
      </c>
      <c r="H19" s="8">
        <f>SUM(H20:H26)</f>
        <v>50</v>
      </c>
      <c r="I19" s="9">
        <f>SUM(I20:I26)</f>
        <v>462.75</v>
      </c>
      <c r="J19" s="14">
        <f>SUM(J20:J26)</f>
        <v>412.75</v>
      </c>
      <c r="K19" s="8">
        <f>SUM(K20:K26)</f>
        <v>26</v>
      </c>
      <c r="L19" s="9">
        <v>0</v>
      </c>
      <c r="M19" s="96">
        <f>J19+L19</f>
        <v>412.75</v>
      </c>
      <c r="N19" s="99">
        <f>SUM(N20:N26)</f>
        <v>0</v>
      </c>
      <c r="O19" s="98">
        <f>-N19</f>
        <v>0</v>
      </c>
    </row>
    <row r="20" spans="1:15">
      <c r="A20" s="169">
        <v>46160</v>
      </c>
      <c r="B20" s="4"/>
      <c r="C20" s="4"/>
      <c r="D20" s="4">
        <v>45</v>
      </c>
      <c r="E20" s="4">
        <v>0</v>
      </c>
      <c r="F20" s="4">
        <v>50</v>
      </c>
      <c r="G20" s="10">
        <f>B20+C20/60</f>
        <v>0</v>
      </c>
      <c r="H20" s="4"/>
      <c r="I20" s="5">
        <f t="shared" ref="I20:I50" si="7">G20*D20</f>
        <v>0</v>
      </c>
      <c r="J20" s="5">
        <f t="shared" ref="J20:J56" si="8">I20-H20</f>
        <v>0</v>
      </c>
      <c r="N20" s="51">
        <v>0</v>
      </c>
    </row>
    <row r="21" spans="1:15">
      <c r="A21" s="169" t="s">
        <v>1356</v>
      </c>
      <c r="B21" s="4">
        <v>10</v>
      </c>
      <c r="C21" s="4">
        <v>17</v>
      </c>
      <c r="D21" s="4">
        <v>45</v>
      </c>
      <c r="E21" s="4">
        <v>0</v>
      </c>
      <c r="F21" s="4">
        <v>50</v>
      </c>
      <c r="G21" s="10">
        <f t="shared" ref="G21:G26" si="9">B21+C21/60</f>
        <v>10.283333333333333</v>
      </c>
      <c r="H21" s="4">
        <v>50</v>
      </c>
      <c r="I21" s="5">
        <f t="shared" si="7"/>
        <v>462.75</v>
      </c>
      <c r="J21" s="5">
        <f t="shared" si="8"/>
        <v>412.75</v>
      </c>
      <c r="K21">
        <v>26</v>
      </c>
      <c r="N21" s="83">
        <v>0</v>
      </c>
    </row>
    <row r="22" spans="1:15">
      <c r="A22" s="169" t="s">
        <v>1351</v>
      </c>
      <c r="B22" s="4"/>
      <c r="C22" s="4"/>
      <c r="D22" s="4">
        <v>65</v>
      </c>
      <c r="E22" s="4">
        <v>1</v>
      </c>
      <c r="F22" s="4">
        <v>50</v>
      </c>
      <c r="G22" s="10">
        <f t="shared" si="9"/>
        <v>0</v>
      </c>
      <c r="H22" s="4"/>
      <c r="I22" s="5">
        <f t="shared" si="7"/>
        <v>0</v>
      </c>
      <c r="J22" s="5">
        <f t="shared" si="8"/>
        <v>0</v>
      </c>
      <c r="N22" s="83">
        <v>0</v>
      </c>
    </row>
    <row r="23" spans="1:15">
      <c r="A23" s="169" t="s">
        <v>1357</v>
      </c>
      <c r="B23" s="4"/>
      <c r="C23" s="4"/>
      <c r="D23" s="4">
        <v>65</v>
      </c>
      <c r="E23" s="4">
        <v>1</v>
      </c>
      <c r="F23" s="4">
        <v>50</v>
      </c>
      <c r="G23" s="10">
        <f t="shared" si="9"/>
        <v>0</v>
      </c>
      <c r="H23" s="4"/>
      <c r="I23" s="5">
        <f t="shared" si="7"/>
        <v>0</v>
      </c>
      <c r="J23" s="5">
        <f t="shared" si="8"/>
        <v>0</v>
      </c>
      <c r="N23" s="51">
        <v>0</v>
      </c>
    </row>
    <row r="24" spans="1:15">
      <c r="A24" s="169" t="s">
        <v>1358</v>
      </c>
      <c r="B24" s="4"/>
      <c r="C24" s="4"/>
      <c r="D24" s="4">
        <v>65</v>
      </c>
      <c r="E24" s="4">
        <v>1</v>
      </c>
      <c r="F24" s="4">
        <v>50</v>
      </c>
      <c r="G24" s="10">
        <f t="shared" si="9"/>
        <v>0</v>
      </c>
      <c r="H24" s="4"/>
      <c r="I24" s="5">
        <f t="shared" si="7"/>
        <v>0</v>
      </c>
      <c r="J24" s="5">
        <f t="shared" si="8"/>
        <v>0</v>
      </c>
      <c r="N24" s="51">
        <v>0</v>
      </c>
    </row>
    <row r="25" spans="1:15">
      <c r="A25" s="169" t="s">
        <v>1354</v>
      </c>
      <c r="B25" s="4"/>
      <c r="C25" s="4"/>
      <c r="D25" s="4">
        <v>65</v>
      </c>
      <c r="E25" s="4">
        <v>1</v>
      </c>
      <c r="F25" s="4">
        <v>50</v>
      </c>
      <c r="G25" s="10">
        <f t="shared" si="9"/>
        <v>0</v>
      </c>
      <c r="H25" s="4"/>
      <c r="I25" s="5">
        <f t="shared" si="7"/>
        <v>0</v>
      </c>
      <c r="J25" s="5">
        <f t="shared" si="8"/>
        <v>0</v>
      </c>
      <c r="N25" s="51">
        <v>0</v>
      </c>
    </row>
    <row r="26" spans="1:15" ht="16" thickBot="1">
      <c r="A26" s="169" t="s">
        <v>1355</v>
      </c>
      <c r="B26" s="4"/>
      <c r="C26" s="4"/>
      <c r="D26" s="4">
        <v>65</v>
      </c>
      <c r="E26" s="4">
        <v>1</v>
      </c>
      <c r="F26" s="4">
        <v>50</v>
      </c>
      <c r="G26" s="10">
        <f t="shared" si="9"/>
        <v>0</v>
      </c>
      <c r="H26" s="4"/>
      <c r="I26" s="5">
        <f t="shared" si="7"/>
        <v>0</v>
      </c>
      <c r="J26" s="5">
        <f t="shared" si="8"/>
        <v>0</v>
      </c>
      <c r="N26" s="51">
        <v>0</v>
      </c>
    </row>
    <row r="27" spans="1:15" s="86" customFormat="1" ht="20" thickBot="1">
      <c r="A27" s="91" t="s">
        <v>468</v>
      </c>
      <c r="B27" s="8">
        <f>SUM(B28:B34)</f>
        <v>0</v>
      </c>
      <c r="C27" s="8">
        <f>SUM(C28:C34)</f>
        <v>0</v>
      </c>
      <c r="D27" s="8">
        <f>SUM(D28)</f>
        <v>65</v>
      </c>
      <c r="E27" s="8">
        <f>SUM(E28:E34)</f>
        <v>7</v>
      </c>
      <c r="F27" s="8">
        <f>SUM(F28:F34)</f>
        <v>350</v>
      </c>
      <c r="G27" s="93">
        <f>B27+C27/60</f>
        <v>0</v>
      </c>
      <c r="H27" s="8">
        <f>SUM(H28:H34)</f>
        <v>0</v>
      </c>
      <c r="I27" s="9">
        <f>SUM(I28:I34)</f>
        <v>0</v>
      </c>
      <c r="J27" s="14">
        <f>SUM(J28:J34)</f>
        <v>0</v>
      </c>
      <c r="K27" s="8"/>
      <c r="L27" s="9">
        <v>0</v>
      </c>
      <c r="M27" s="96">
        <f>J27+L27</f>
        <v>0</v>
      </c>
      <c r="N27" s="99">
        <f>SUM(N28:N34)</f>
        <v>0</v>
      </c>
      <c r="O27" s="98">
        <f>-N27</f>
        <v>0</v>
      </c>
    </row>
    <row r="28" spans="1:15">
      <c r="A28" s="169" t="s">
        <v>1348</v>
      </c>
      <c r="B28" s="4"/>
      <c r="C28" s="4"/>
      <c r="D28" s="4">
        <v>65</v>
      </c>
      <c r="E28" s="4">
        <v>1</v>
      </c>
      <c r="F28" s="4">
        <v>50</v>
      </c>
      <c r="G28" s="10">
        <f>B28+C28/60</f>
        <v>0</v>
      </c>
      <c r="H28" s="4"/>
      <c r="I28" s="5">
        <f>G28*D28</f>
        <v>0</v>
      </c>
      <c r="J28" s="5">
        <f>I28-H28</f>
        <v>0</v>
      </c>
      <c r="N28" s="51">
        <v>0</v>
      </c>
    </row>
    <row r="29" spans="1:15">
      <c r="A29" s="169" t="s">
        <v>1356</v>
      </c>
      <c r="B29" s="4"/>
      <c r="C29" s="4"/>
      <c r="D29" s="4">
        <v>65</v>
      </c>
      <c r="E29" s="4">
        <v>1</v>
      </c>
      <c r="F29" s="4">
        <v>50</v>
      </c>
      <c r="G29" s="10">
        <f t="shared" ref="G29:G34" si="10">B29+C29/60</f>
        <v>0</v>
      </c>
      <c r="H29" s="4"/>
      <c r="I29" s="5">
        <f>G29*D29</f>
        <v>0</v>
      </c>
      <c r="J29" s="5">
        <f>I29-H29</f>
        <v>0</v>
      </c>
      <c r="N29" s="51">
        <v>0</v>
      </c>
    </row>
    <row r="30" spans="1:15">
      <c r="A30" s="169" t="s">
        <v>1351</v>
      </c>
      <c r="B30" s="4"/>
      <c r="C30" s="4"/>
      <c r="D30" s="4">
        <v>45</v>
      </c>
      <c r="E30" s="4">
        <v>1</v>
      </c>
      <c r="F30" s="4">
        <v>50</v>
      </c>
      <c r="G30" s="10">
        <f t="shared" si="10"/>
        <v>0</v>
      </c>
      <c r="H30" s="4"/>
      <c r="I30" s="5">
        <f t="shared" ref="I30:I34" si="11">G30*D30</f>
        <v>0</v>
      </c>
      <c r="J30" s="5">
        <f t="shared" ref="J30:J34" si="12">I30-H30</f>
        <v>0</v>
      </c>
      <c r="N30" s="51">
        <v>0</v>
      </c>
    </row>
    <row r="31" spans="1:15">
      <c r="A31" s="169" t="s">
        <v>1352</v>
      </c>
      <c r="B31" s="4"/>
      <c r="C31" s="4"/>
      <c r="D31" s="4">
        <v>55</v>
      </c>
      <c r="E31" s="4">
        <v>1</v>
      </c>
      <c r="F31" s="4">
        <v>50</v>
      </c>
      <c r="G31" s="10">
        <f t="shared" si="10"/>
        <v>0</v>
      </c>
      <c r="H31" s="4"/>
      <c r="I31" s="5">
        <f t="shared" si="11"/>
        <v>0</v>
      </c>
      <c r="J31" s="5">
        <f t="shared" si="12"/>
        <v>0</v>
      </c>
      <c r="N31" s="51">
        <v>0</v>
      </c>
    </row>
    <row r="32" spans="1:15">
      <c r="A32" s="169" t="s">
        <v>1358</v>
      </c>
      <c r="B32" s="4"/>
      <c r="C32" s="4"/>
      <c r="D32" s="4">
        <v>55</v>
      </c>
      <c r="E32" s="4">
        <v>1</v>
      </c>
      <c r="F32" s="7">
        <v>50</v>
      </c>
      <c r="G32" s="10">
        <f t="shared" si="10"/>
        <v>0</v>
      </c>
      <c r="H32" s="4"/>
      <c r="I32" s="5">
        <f t="shared" si="11"/>
        <v>0</v>
      </c>
      <c r="J32" s="5">
        <f t="shared" si="12"/>
        <v>0</v>
      </c>
      <c r="N32" s="51">
        <v>0</v>
      </c>
    </row>
    <row r="33" spans="1:16">
      <c r="A33" s="169" t="s">
        <v>1354</v>
      </c>
      <c r="B33" s="4"/>
      <c r="C33" s="4"/>
      <c r="D33" s="4">
        <v>45</v>
      </c>
      <c r="E33" s="4">
        <v>1</v>
      </c>
      <c r="F33" s="4">
        <v>50</v>
      </c>
      <c r="G33" s="10">
        <f>B33+C33/60</f>
        <v>0</v>
      </c>
      <c r="H33" s="4"/>
      <c r="I33" s="5">
        <f>G33*D33</f>
        <v>0</v>
      </c>
      <c r="J33" s="5">
        <f>I33-H33</f>
        <v>0</v>
      </c>
      <c r="N33" s="51">
        <v>0</v>
      </c>
    </row>
    <row r="34" spans="1:16" ht="16" thickBot="1">
      <c r="A34" s="169" t="s">
        <v>1355</v>
      </c>
      <c r="B34" s="4"/>
      <c r="C34" s="4"/>
      <c r="D34" s="4">
        <v>45</v>
      </c>
      <c r="E34" s="4">
        <v>1</v>
      </c>
      <c r="F34" s="4">
        <v>50</v>
      </c>
      <c r="G34" s="10">
        <f t="shared" si="10"/>
        <v>0</v>
      </c>
      <c r="H34" s="4"/>
      <c r="I34" s="5">
        <f t="shared" si="11"/>
        <v>0</v>
      </c>
      <c r="J34" s="5">
        <f t="shared" si="12"/>
        <v>0</v>
      </c>
      <c r="N34" s="51">
        <v>0</v>
      </c>
    </row>
    <row r="35" spans="1:16" s="86" customFormat="1" ht="20" thickBot="1">
      <c r="A35" s="91" t="s">
        <v>475</v>
      </c>
      <c r="B35" s="8">
        <f>SUM(B36:B42)</f>
        <v>0</v>
      </c>
      <c r="C35" s="8">
        <f>SUM(C36:C42)</f>
        <v>0</v>
      </c>
      <c r="D35" s="8">
        <f>SUM(D36)</f>
        <v>55</v>
      </c>
      <c r="E35" s="8">
        <f>SUM(E36:E42)</f>
        <v>7</v>
      </c>
      <c r="F35" s="8">
        <f>SUM(F36:F42)</f>
        <v>350</v>
      </c>
      <c r="G35" s="93">
        <f t="shared" si="4"/>
        <v>0</v>
      </c>
      <c r="H35" s="8">
        <f>SUM(H36:H42)</f>
        <v>0</v>
      </c>
      <c r="I35" s="9">
        <f>SUM(I36:I42)</f>
        <v>0</v>
      </c>
      <c r="J35" s="14">
        <f>SUM(J36:J42)</f>
        <v>0</v>
      </c>
      <c r="K35" s="8">
        <f>SUM(K36:K42)</f>
        <v>0</v>
      </c>
      <c r="L35" s="9">
        <v>0</v>
      </c>
      <c r="M35" s="96">
        <f>J35+L35</f>
        <v>0</v>
      </c>
      <c r="N35" s="129">
        <f>SUM(N36:N42)</f>
        <v>0</v>
      </c>
      <c r="O35" s="98">
        <f>-N35</f>
        <v>0</v>
      </c>
    </row>
    <row r="36" spans="1:16" ht="19.25" customHeight="1">
      <c r="A36" s="6" t="s">
        <v>1359</v>
      </c>
      <c r="B36" s="4"/>
      <c r="C36" s="4"/>
      <c r="D36" s="4">
        <v>55</v>
      </c>
      <c r="E36" s="4">
        <v>1</v>
      </c>
      <c r="F36" s="4">
        <v>50</v>
      </c>
      <c r="G36" s="10">
        <f>B36+C36/60</f>
        <v>0</v>
      </c>
      <c r="H36" s="4"/>
      <c r="I36" s="5">
        <f t="shared" ref="I36:I42" si="13">G36*D36</f>
        <v>0</v>
      </c>
      <c r="J36" s="5">
        <f t="shared" ref="J36:J42" si="14">I36-H36</f>
        <v>0</v>
      </c>
      <c r="N36" s="119">
        <v>0</v>
      </c>
      <c r="O36" s="49"/>
    </row>
    <row r="37" spans="1:16" ht="16.25" customHeight="1">
      <c r="A37" s="80" t="s">
        <v>1360</v>
      </c>
      <c r="B37" s="4"/>
      <c r="C37" s="4"/>
      <c r="D37" s="4">
        <v>55</v>
      </c>
      <c r="E37" s="4">
        <v>1</v>
      </c>
      <c r="F37" s="4">
        <v>50</v>
      </c>
      <c r="G37" s="10">
        <f t="shared" ref="G37:G41" si="15">B37+C37/60</f>
        <v>0</v>
      </c>
      <c r="H37" s="4"/>
      <c r="I37" s="5">
        <f t="shared" si="13"/>
        <v>0</v>
      </c>
      <c r="J37" s="5">
        <f t="shared" si="14"/>
        <v>0</v>
      </c>
      <c r="N37" s="119">
        <v>0</v>
      </c>
      <c r="O37" s="49"/>
    </row>
    <row r="38" spans="1:16">
      <c r="A38" s="80" t="s">
        <v>1361</v>
      </c>
      <c r="B38" s="4"/>
      <c r="C38" s="4"/>
      <c r="D38" s="4">
        <v>45</v>
      </c>
      <c r="E38" s="4">
        <v>1</v>
      </c>
      <c r="F38" s="4">
        <v>50</v>
      </c>
      <c r="G38" s="10">
        <f t="shared" si="15"/>
        <v>0</v>
      </c>
      <c r="H38" s="4"/>
      <c r="I38" s="5">
        <f t="shared" si="13"/>
        <v>0</v>
      </c>
      <c r="J38" s="5">
        <f t="shared" si="14"/>
        <v>0</v>
      </c>
      <c r="N38" s="119">
        <v>0</v>
      </c>
    </row>
    <row r="39" spans="1:16">
      <c r="A39" s="80" t="s">
        <v>1362</v>
      </c>
      <c r="B39" s="4"/>
      <c r="C39" s="4"/>
      <c r="D39" s="4">
        <v>45</v>
      </c>
      <c r="E39" s="4">
        <v>1</v>
      </c>
      <c r="F39" s="4">
        <v>50</v>
      </c>
      <c r="G39" s="10">
        <f t="shared" si="15"/>
        <v>0</v>
      </c>
      <c r="H39" s="4"/>
      <c r="I39" s="5">
        <f t="shared" si="13"/>
        <v>0</v>
      </c>
      <c r="J39" s="5">
        <f t="shared" si="14"/>
        <v>0</v>
      </c>
      <c r="N39" s="119">
        <v>0</v>
      </c>
    </row>
    <row r="40" spans="1:16">
      <c r="A40" s="80" t="s">
        <v>1363</v>
      </c>
      <c r="B40" s="4"/>
      <c r="C40" s="4"/>
      <c r="D40" s="4">
        <v>45</v>
      </c>
      <c r="E40" s="4">
        <v>1</v>
      </c>
      <c r="F40" s="4">
        <v>50</v>
      </c>
      <c r="G40" s="10">
        <f t="shared" si="15"/>
        <v>0</v>
      </c>
      <c r="H40" s="4"/>
      <c r="I40" s="5">
        <f t="shared" si="13"/>
        <v>0</v>
      </c>
      <c r="J40" s="5">
        <f t="shared" si="14"/>
        <v>0</v>
      </c>
      <c r="N40" s="119">
        <v>0</v>
      </c>
    </row>
    <row r="41" spans="1:16">
      <c r="A41" s="80" t="s">
        <v>1364</v>
      </c>
      <c r="B41" s="4"/>
      <c r="C41" s="4"/>
      <c r="D41" s="4">
        <v>45</v>
      </c>
      <c r="E41" s="4">
        <v>1</v>
      </c>
      <c r="F41" s="4">
        <v>50</v>
      </c>
      <c r="G41" s="10">
        <f t="shared" si="15"/>
        <v>0</v>
      </c>
      <c r="H41" s="4"/>
      <c r="I41" s="5">
        <f t="shared" si="13"/>
        <v>0</v>
      </c>
      <c r="J41" s="5">
        <f t="shared" si="14"/>
        <v>0</v>
      </c>
      <c r="N41" s="119">
        <v>0</v>
      </c>
      <c r="P41" s="51"/>
    </row>
    <row r="42" spans="1:16" ht="16" thickBot="1">
      <c r="A42" s="80" t="s">
        <v>1365</v>
      </c>
      <c r="B42" s="4"/>
      <c r="C42" s="4"/>
      <c r="D42" s="4">
        <v>45</v>
      </c>
      <c r="E42" s="4">
        <v>1</v>
      </c>
      <c r="F42" s="4">
        <v>50</v>
      </c>
      <c r="G42" s="10">
        <v>0</v>
      </c>
      <c r="H42" s="4"/>
      <c r="I42" s="5">
        <f t="shared" si="13"/>
        <v>0</v>
      </c>
      <c r="J42" s="5">
        <f t="shared" si="14"/>
        <v>0</v>
      </c>
      <c r="L42" s="1"/>
      <c r="N42" s="119">
        <v>0</v>
      </c>
    </row>
    <row r="43" spans="1:16" s="86" customFormat="1" ht="20" hidden="1" thickBot="1">
      <c r="A43" s="91" t="s">
        <v>482</v>
      </c>
      <c r="B43" s="8">
        <f>SUM(B44:B50)</f>
        <v>0</v>
      </c>
      <c r="C43" s="8">
        <f>SUM(C44:C50)</f>
        <v>0</v>
      </c>
      <c r="D43" s="8">
        <f>SUM(D44)</f>
        <v>45</v>
      </c>
      <c r="E43" s="8">
        <f>SUM(E44:E50)</f>
        <v>7</v>
      </c>
      <c r="F43" s="8">
        <f>SUM(F44:F50)</f>
        <v>350</v>
      </c>
      <c r="G43" s="93">
        <f t="shared" si="4"/>
        <v>0</v>
      </c>
      <c r="H43" s="8"/>
      <c r="I43" s="100">
        <f>SUM(I44:I50)</f>
        <v>0</v>
      </c>
      <c r="J43" s="101">
        <f>SUM(J44:J50)</f>
        <v>0</v>
      </c>
      <c r="K43" s="8">
        <f>SUM(K44:K50)</f>
        <v>0</v>
      </c>
      <c r="L43" s="104">
        <v>0</v>
      </c>
      <c r="M43" s="96">
        <f>J43+L43</f>
        <v>0</v>
      </c>
      <c r="N43" s="99">
        <f>SUM(N44:N50)</f>
        <v>0</v>
      </c>
      <c r="O43" s="98">
        <v>0</v>
      </c>
    </row>
    <row r="44" spans="1:16" ht="16" hidden="1" thickBot="1">
      <c r="A44" s="145">
        <v>46111</v>
      </c>
      <c r="B44" s="4">
        <v>0</v>
      </c>
      <c r="C44" s="4">
        <v>0</v>
      </c>
      <c r="D44" s="4">
        <v>45</v>
      </c>
      <c r="E44" s="4">
        <v>1</v>
      </c>
      <c r="F44" s="4">
        <v>50</v>
      </c>
      <c r="G44" s="10">
        <f t="shared" si="4"/>
        <v>0</v>
      </c>
      <c r="H44" s="4"/>
      <c r="I44" s="5">
        <f t="shared" si="7"/>
        <v>0</v>
      </c>
      <c r="J44" s="5">
        <f>I44-H44</f>
        <v>0</v>
      </c>
      <c r="K44">
        <v>0</v>
      </c>
      <c r="N44" s="87">
        <v>0</v>
      </c>
    </row>
    <row r="45" spans="1:16" ht="16" hidden="1" thickBot="1">
      <c r="A45" s="145">
        <v>46112</v>
      </c>
      <c r="B45" s="4">
        <v>0</v>
      </c>
      <c r="C45" s="4">
        <v>0</v>
      </c>
      <c r="D45" s="4">
        <v>45</v>
      </c>
      <c r="E45" s="4">
        <v>1</v>
      </c>
      <c r="F45" s="4">
        <v>50</v>
      </c>
      <c r="G45" s="10">
        <f t="shared" si="4"/>
        <v>0</v>
      </c>
      <c r="H45" s="4"/>
      <c r="I45" s="5">
        <f t="shared" si="7"/>
        <v>0</v>
      </c>
      <c r="J45" s="5">
        <f t="shared" ref="J45:J50" si="16">I45-H45</f>
        <v>0</v>
      </c>
      <c r="K45">
        <v>0</v>
      </c>
      <c r="N45" s="81">
        <v>0</v>
      </c>
    </row>
    <row r="46" spans="1:16" ht="16" hidden="1" thickBot="1">
      <c r="A46" s="145">
        <v>46113</v>
      </c>
      <c r="B46" s="4">
        <v>0</v>
      </c>
      <c r="C46" s="4">
        <v>0</v>
      </c>
      <c r="D46" s="4">
        <v>45</v>
      </c>
      <c r="E46" s="4">
        <v>1</v>
      </c>
      <c r="F46" s="4">
        <v>50</v>
      </c>
      <c r="G46" s="10">
        <f t="shared" si="4"/>
        <v>0</v>
      </c>
      <c r="H46" s="4"/>
      <c r="I46" s="5">
        <f t="shared" si="7"/>
        <v>0</v>
      </c>
      <c r="J46" s="5">
        <f t="shared" si="16"/>
        <v>0</v>
      </c>
      <c r="K46">
        <v>0</v>
      </c>
      <c r="N46" s="81">
        <v>0</v>
      </c>
    </row>
    <row r="47" spans="1:16" ht="16" hidden="1" thickBot="1">
      <c r="A47" s="145">
        <v>46114</v>
      </c>
      <c r="B47" s="4">
        <v>0</v>
      </c>
      <c r="C47" s="4">
        <v>0</v>
      </c>
      <c r="D47" s="4">
        <v>45</v>
      </c>
      <c r="E47" s="4">
        <v>1</v>
      </c>
      <c r="F47" s="4">
        <v>50</v>
      </c>
      <c r="G47" s="10">
        <f t="shared" si="4"/>
        <v>0</v>
      </c>
      <c r="H47" s="4"/>
      <c r="I47" s="5">
        <f t="shared" si="7"/>
        <v>0</v>
      </c>
      <c r="J47" s="5">
        <f t="shared" si="16"/>
        <v>0</v>
      </c>
      <c r="K47">
        <v>0</v>
      </c>
      <c r="N47" s="118">
        <v>0</v>
      </c>
    </row>
    <row r="48" spans="1:16" ht="16" hidden="1" thickBot="1">
      <c r="A48" s="145">
        <v>46115</v>
      </c>
      <c r="B48" s="4">
        <v>0</v>
      </c>
      <c r="C48" s="4">
        <v>0</v>
      </c>
      <c r="D48" s="4">
        <v>45</v>
      </c>
      <c r="E48" s="4">
        <v>1</v>
      </c>
      <c r="F48" s="4">
        <v>50</v>
      </c>
      <c r="G48" s="10">
        <f t="shared" si="4"/>
        <v>0</v>
      </c>
      <c r="H48" s="4"/>
      <c r="I48" s="5">
        <f t="shared" si="7"/>
        <v>0</v>
      </c>
      <c r="J48" s="5">
        <f t="shared" si="16"/>
        <v>0</v>
      </c>
      <c r="K48">
        <v>0</v>
      </c>
      <c r="N48" s="118">
        <v>0</v>
      </c>
    </row>
    <row r="49" spans="1:17" ht="16" hidden="1" thickBot="1">
      <c r="A49" s="145">
        <v>46116</v>
      </c>
      <c r="B49" s="4">
        <v>0</v>
      </c>
      <c r="C49" s="4">
        <v>0</v>
      </c>
      <c r="D49" s="4">
        <v>45</v>
      </c>
      <c r="E49" s="4">
        <v>1</v>
      </c>
      <c r="F49" s="4">
        <v>50</v>
      </c>
      <c r="G49" s="10">
        <f t="shared" si="4"/>
        <v>0</v>
      </c>
      <c r="H49" s="4"/>
      <c r="I49" s="5">
        <f t="shared" si="7"/>
        <v>0</v>
      </c>
      <c r="J49" s="5">
        <f t="shared" si="16"/>
        <v>0</v>
      </c>
      <c r="K49">
        <v>0</v>
      </c>
      <c r="N49" s="118">
        <v>0</v>
      </c>
    </row>
    <row r="50" spans="1:17" ht="16" hidden="1" thickBot="1">
      <c r="A50" s="145">
        <v>46117</v>
      </c>
      <c r="B50" s="4">
        <v>0</v>
      </c>
      <c r="C50" s="4">
        <v>0</v>
      </c>
      <c r="D50" s="4">
        <v>45</v>
      </c>
      <c r="E50" s="4">
        <v>1</v>
      </c>
      <c r="F50" s="4">
        <v>50</v>
      </c>
      <c r="G50" s="10">
        <f t="shared" si="4"/>
        <v>0</v>
      </c>
      <c r="H50" s="4"/>
      <c r="I50" s="5">
        <f t="shared" si="7"/>
        <v>0</v>
      </c>
      <c r="J50" s="5">
        <f t="shared" si="16"/>
        <v>0</v>
      </c>
      <c r="K50">
        <v>0</v>
      </c>
      <c r="N50" s="118">
        <v>0</v>
      </c>
    </row>
    <row r="51" spans="1:17" s="86" customFormat="1" ht="20" hidden="1" thickBot="1">
      <c r="A51" s="91" t="s">
        <v>483</v>
      </c>
      <c r="B51" s="8">
        <f>SUM(B52:B57)</f>
        <v>0</v>
      </c>
      <c r="C51" s="8">
        <f>SUM(C52:C57)</f>
        <v>0</v>
      </c>
      <c r="D51" s="8">
        <f>SUM(D52)</f>
        <v>45</v>
      </c>
      <c r="E51" s="8">
        <f>SUM(E52:E58)</f>
        <v>10</v>
      </c>
      <c r="F51" s="8">
        <f>SUM(F52:F58)</f>
        <v>650</v>
      </c>
      <c r="G51" s="93">
        <f t="shared" si="4"/>
        <v>0</v>
      </c>
      <c r="H51" s="8"/>
      <c r="I51" s="9">
        <f>SUM(I52:I57)</f>
        <v>0</v>
      </c>
      <c r="J51" s="14">
        <f>SUM(J52:J57)</f>
        <v>0</v>
      </c>
      <c r="K51" s="8">
        <f>SUM(K52:K57)</f>
        <v>0</v>
      </c>
      <c r="L51" s="9">
        <v>0</v>
      </c>
      <c r="M51" s="96">
        <f>J51</f>
        <v>0</v>
      </c>
      <c r="N51" s="102">
        <v>0</v>
      </c>
      <c r="O51" s="98">
        <v>0</v>
      </c>
    </row>
    <row r="52" spans="1:17" ht="19" hidden="1">
      <c r="A52" s="6">
        <v>46125</v>
      </c>
      <c r="B52" s="4">
        <v>0</v>
      </c>
      <c r="C52" s="4">
        <v>0</v>
      </c>
      <c r="D52" s="4">
        <v>45</v>
      </c>
      <c r="E52" s="4">
        <v>1</v>
      </c>
      <c r="F52" s="4">
        <v>50</v>
      </c>
      <c r="G52" s="10">
        <f>B52+C52/60</f>
        <v>0</v>
      </c>
      <c r="H52" s="4"/>
      <c r="I52" s="5">
        <f>G52*D52</f>
        <v>0</v>
      </c>
      <c r="J52" s="5">
        <f>I52-H52</f>
        <v>0</v>
      </c>
      <c r="K52">
        <v>0</v>
      </c>
      <c r="N52" s="51">
        <v>0</v>
      </c>
      <c r="O52" s="49"/>
    </row>
    <row r="53" spans="1:17" hidden="1">
      <c r="A53" s="6">
        <v>46126</v>
      </c>
      <c r="B53" s="4">
        <v>0</v>
      </c>
      <c r="C53" s="4">
        <v>0</v>
      </c>
      <c r="D53" s="4">
        <v>45</v>
      </c>
      <c r="E53" s="4">
        <v>1</v>
      </c>
      <c r="F53" s="4">
        <v>50</v>
      </c>
      <c r="G53" s="10">
        <f t="shared" ref="G53:G57" si="17">B53+C53/60</f>
        <v>0</v>
      </c>
      <c r="H53" s="4"/>
      <c r="I53" s="5">
        <f t="shared" ref="I53:I56" si="18">G53*D53</f>
        <v>0</v>
      </c>
      <c r="J53" s="5">
        <f>I53-H53</f>
        <v>0</v>
      </c>
      <c r="K53">
        <v>0</v>
      </c>
      <c r="N53" s="51">
        <v>0</v>
      </c>
    </row>
    <row r="54" spans="1:17" hidden="1">
      <c r="A54" s="6">
        <v>46127</v>
      </c>
      <c r="B54" s="4">
        <v>0</v>
      </c>
      <c r="C54" s="4">
        <v>0</v>
      </c>
      <c r="D54" s="4">
        <v>45</v>
      </c>
      <c r="E54" s="4">
        <v>1</v>
      </c>
      <c r="F54" s="4">
        <v>50</v>
      </c>
      <c r="G54" s="10">
        <f t="shared" si="17"/>
        <v>0</v>
      </c>
      <c r="H54" s="4"/>
      <c r="I54" s="5">
        <f>G54*D54</f>
        <v>0</v>
      </c>
      <c r="J54" s="5">
        <f>I54-H54</f>
        <v>0</v>
      </c>
      <c r="K54">
        <v>0</v>
      </c>
      <c r="N54" s="51">
        <v>0</v>
      </c>
    </row>
    <row r="55" spans="1:17" hidden="1">
      <c r="A55" s="6">
        <v>46128</v>
      </c>
      <c r="B55" s="4">
        <v>0</v>
      </c>
      <c r="C55" s="4">
        <v>0</v>
      </c>
      <c r="D55" s="4">
        <v>45</v>
      </c>
      <c r="E55" s="4">
        <v>1</v>
      </c>
      <c r="F55" s="4">
        <v>50</v>
      </c>
      <c r="G55" s="10">
        <v>0</v>
      </c>
      <c r="H55" s="4"/>
      <c r="I55" s="5">
        <v>0</v>
      </c>
      <c r="J55" s="5">
        <f>I55-H55</f>
        <v>0</v>
      </c>
      <c r="K55">
        <v>0</v>
      </c>
      <c r="N55" s="51">
        <v>0</v>
      </c>
    </row>
    <row r="56" spans="1:17" hidden="1">
      <c r="A56" s="6">
        <v>46129</v>
      </c>
      <c r="B56" s="4">
        <v>0</v>
      </c>
      <c r="C56" s="4">
        <v>0</v>
      </c>
      <c r="D56" s="4">
        <v>45</v>
      </c>
      <c r="E56" s="4">
        <v>1</v>
      </c>
      <c r="F56" s="4">
        <v>50</v>
      </c>
      <c r="G56" s="10">
        <f t="shared" si="17"/>
        <v>0</v>
      </c>
      <c r="H56" s="4"/>
      <c r="I56" s="5">
        <f t="shared" si="18"/>
        <v>0</v>
      </c>
      <c r="J56" s="5">
        <f t="shared" si="8"/>
        <v>0</v>
      </c>
      <c r="K56">
        <v>0</v>
      </c>
      <c r="N56" s="51">
        <v>0</v>
      </c>
    </row>
    <row r="57" spans="1:17" hidden="1">
      <c r="A57" s="6">
        <v>46130</v>
      </c>
      <c r="B57" s="4">
        <v>0</v>
      </c>
      <c r="C57" s="4">
        <v>0</v>
      </c>
      <c r="D57" s="4">
        <v>45</v>
      </c>
      <c r="E57" s="4">
        <v>1</v>
      </c>
      <c r="F57" s="4">
        <v>50</v>
      </c>
      <c r="G57" s="10">
        <f t="shared" si="17"/>
        <v>0</v>
      </c>
      <c r="H57" s="4"/>
      <c r="I57" s="5">
        <v>0</v>
      </c>
      <c r="J57" s="5">
        <v>0</v>
      </c>
      <c r="K57">
        <v>0</v>
      </c>
      <c r="N57" s="51">
        <v>0</v>
      </c>
    </row>
    <row r="58" spans="1:17" ht="20" thickBot="1">
      <c r="A58" s="91" t="s">
        <v>1079</v>
      </c>
      <c r="B58" s="8">
        <f>SUM(B59:B65)</f>
        <v>9</v>
      </c>
      <c r="C58" s="8">
        <f>SUM(C59:C65)</f>
        <v>28</v>
      </c>
      <c r="D58" s="8">
        <f>SUM(D59)</f>
        <v>45</v>
      </c>
      <c r="E58" s="8">
        <f>SUM(E59:E65)</f>
        <v>4</v>
      </c>
      <c r="F58" s="8">
        <f>SUM(F59:F65)</f>
        <v>350</v>
      </c>
      <c r="G58" s="93">
        <f t="shared" ref="G58" si="19">B58+C58/60</f>
        <v>9.4666666666666668</v>
      </c>
      <c r="H58" s="8">
        <f>SUM(H59:H65)</f>
        <v>50</v>
      </c>
      <c r="I58" s="9">
        <f>SUM(I59:I65)</f>
        <v>426</v>
      </c>
      <c r="J58" s="14">
        <f>SUM(J59:J65)</f>
        <v>376</v>
      </c>
      <c r="K58" s="8">
        <f>SUM(K59:K65)</f>
        <v>15</v>
      </c>
      <c r="L58" s="9">
        <v>0</v>
      </c>
      <c r="M58" s="96">
        <f>J58</f>
        <v>376</v>
      </c>
      <c r="N58" s="102">
        <f>SUM(N59:N65)</f>
        <v>0</v>
      </c>
      <c r="O58" s="98">
        <f>-N58</f>
        <v>0</v>
      </c>
      <c r="P58" s="86"/>
      <c r="Q58" s="86"/>
    </row>
    <row r="59" spans="1:17" s="86" customFormat="1" ht="19">
      <c r="A59" s="6" t="s">
        <v>1348</v>
      </c>
      <c r="B59" s="4"/>
      <c r="C59" s="4"/>
      <c r="D59" s="4">
        <v>45</v>
      </c>
      <c r="E59" s="4">
        <v>0</v>
      </c>
      <c r="F59" s="4">
        <v>50</v>
      </c>
      <c r="G59" s="10">
        <f>B59+C59/60</f>
        <v>0</v>
      </c>
      <c r="H59" s="4"/>
      <c r="I59" s="5">
        <f>G59*D59</f>
        <v>0</v>
      </c>
      <c r="J59" s="5">
        <f t="shared" ref="J59:J65" si="20">I59-H59</f>
        <v>0</v>
      </c>
      <c r="K59"/>
      <c r="L59"/>
      <c r="M59"/>
      <c r="N59" s="51">
        <v>0</v>
      </c>
      <c r="O59" s="49"/>
      <c r="P59"/>
      <c r="Q59"/>
    </row>
    <row r="60" spans="1:17">
      <c r="A60" s="80" t="s">
        <v>1366</v>
      </c>
      <c r="B60" s="4">
        <v>9</v>
      </c>
      <c r="C60" s="4">
        <v>28</v>
      </c>
      <c r="D60" s="4">
        <v>45</v>
      </c>
      <c r="E60" s="4">
        <v>0</v>
      </c>
      <c r="F60" s="4">
        <v>50</v>
      </c>
      <c r="G60" s="10">
        <f t="shared" si="4"/>
        <v>9.4666666666666668</v>
      </c>
      <c r="H60" s="4">
        <v>50</v>
      </c>
      <c r="I60" s="5">
        <f t="shared" ref="I60" si="21">G60*D60</f>
        <v>426</v>
      </c>
      <c r="J60" s="5">
        <f t="shared" si="20"/>
        <v>376</v>
      </c>
      <c r="K60">
        <v>15</v>
      </c>
      <c r="N60" s="51">
        <v>0</v>
      </c>
      <c r="P60" t="s">
        <v>1367</v>
      </c>
    </row>
    <row r="61" spans="1:17">
      <c r="A61" s="80" t="s">
        <v>1368</v>
      </c>
      <c r="B61" s="4"/>
      <c r="C61" s="4"/>
      <c r="D61" s="4">
        <v>45</v>
      </c>
      <c r="E61" s="4">
        <v>0</v>
      </c>
      <c r="F61" s="4">
        <v>50</v>
      </c>
      <c r="G61" s="10">
        <f t="shared" si="4"/>
        <v>0</v>
      </c>
      <c r="H61" s="4"/>
      <c r="I61" s="5">
        <f t="shared" ref="I61:I62" si="22">G61*D61</f>
        <v>0</v>
      </c>
      <c r="J61" s="5">
        <f t="shared" si="20"/>
        <v>0</v>
      </c>
      <c r="N61" s="51">
        <v>0</v>
      </c>
    </row>
    <row r="62" spans="1:17">
      <c r="A62" s="80" t="s">
        <v>1369</v>
      </c>
      <c r="B62" s="4"/>
      <c r="C62" s="4"/>
      <c r="D62" s="4">
        <v>45</v>
      </c>
      <c r="E62" s="4">
        <v>1</v>
      </c>
      <c r="F62" s="4">
        <v>50</v>
      </c>
      <c r="G62" s="10">
        <f t="shared" si="4"/>
        <v>0</v>
      </c>
      <c r="H62" s="4"/>
      <c r="I62" s="5">
        <f t="shared" si="22"/>
        <v>0</v>
      </c>
      <c r="J62" s="5">
        <f t="shared" si="20"/>
        <v>0</v>
      </c>
      <c r="N62" s="51">
        <v>0</v>
      </c>
    </row>
    <row r="63" spans="1:17">
      <c r="A63" s="80" t="s">
        <v>1358</v>
      </c>
      <c r="B63" s="4"/>
      <c r="C63" s="4"/>
      <c r="D63" s="4">
        <v>45</v>
      </c>
      <c r="E63" s="4">
        <v>1</v>
      </c>
      <c r="F63" s="4">
        <v>50</v>
      </c>
      <c r="G63" s="10">
        <f t="shared" si="4"/>
        <v>0</v>
      </c>
      <c r="H63" s="4"/>
      <c r="I63" s="5">
        <f>G63*D63</f>
        <v>0</v>
      </c>
      <c r="J63" s="5">
        <f t="shared" si="20"/>
        <v>0</v>
      </c>
      <c r="N63" s="51">
        <v>0</v>
      </c>
    </row>
    <row r="64" spans="1:17">
      <c r="A64" s="80" t="s">
        <v>1354</v>
      </c>
      <c r="B64" s="4"/>
      <c r="C64" s="4"/>
      <c r="D64" s="4">
        <v>45</v>
      </c>
      <c r="E64" s="4">
        <v>1</v>
      </c>
      <c r="F64" s="4">
        <v>50</v>
      </c>
      <c r="G64" s="10">
        <f t="shared" si="4"/>
        <v>0</v>
      </c>
      <c r="H64" s="4"/>
      <c r="I64" s="5">
        <f>G64*D64</f>
        <v>0</v>
      </c>
      <c r="J64" s="5">
        <f t="shared" si="20"/>
        <v>0</v>
      </c>
      <c r="N64" s="51">
        <v>0</v>
      </c>
    </row>
    <row r="65" spans="1:17">
      <c r="A65" s="80" t="s">
        <v>1355</v>
      </c>
      <c r="B65" s="4"/>
      <c r="C65" s="4"/>
      <c r="D65" s="4">
        <v>45</v>
      </c>
      <c r="E65" s="4">
        <v>1</v>
      </c>
      <c r="F65" s="4">
        <v>50</v>
      </c>
      <c r="G65" s="10">
        <f t="shared" si="4"/>
        <v>0</v>
      </c>
      <c r="H65" s="4"/>
      <c r="I65" s="5">
        <f t="shared" ref="I65" si="23">G65*D65</f>
        <v>0</v>
      </c>
      <c r="J65" s="5">
        <f t="shared" si="20"/>
        <v>0</v>
      </c>
      <c r="N65" s="51">
        <v>0</v>
      </c>
    </row>
    <row r="66" spans="1:17" s="86" customFormat="1" ht="19">
      <c r="A66" s="91" t="s">
        <v>782</v>
      </c>
      <c r="B66" s="8">
        <f>SUM(B67:B73)</f>
        <v>0</v>
      </c>
      <c r="C66" s="8">
        <f>SUM(C67:C73)</f>
        <v>0</v>
      </c>
      <c r="D66" s="8">
        <f>SUM(D67)</f>
        <v>45</v>
      </c>
      <c r="E66" s="8">
        <f>SUM(E67:E73)</f>
        <v>2</v>
      </c>
      <c r="F66" s="8">
        <f>SUM(F67:F73)</f>
        <v>350</v>
      </c>
      <c r="G66" s="93">
        <f>B66+C66/60</f>
        <v>0</v>
      </c>
      <c r="H66" s="8">
        <f>SUM(H67:H73)</f>
        <v>0</v>
      </c>
      <c r="I66" s="9">
        <f>SUM(I67:I73)</f>
        <v>0</v>
      </c>
      <c r="J66" s="14">
        <f>SUM(J67:J73)</f>
        <v>0</v>
      </c>
      <c r="K66" s="8">
        <f>SUM(K67:K73)</f>
        <v>0</v>
      </c>
      <c r="L66" s="9">
        <v>0</v>
      </c>
      <c r="M66" s="96">
        <f>J66</f>
        <v>0</v>
      </c>
      <c r="N66" s="102">
        <f>SUM(N67:N73)</f>
        <v>0</v>
      </c>
      <c r="O66" s="98">
        <f>-N66</f>
        <v>0</v>
      </c>
    </row>
    <row r="67" spans="1:17">
      <c r="A67" s="6" t="s">
        <v>1359</v>
      </c>
      <c r="B67" s="4">
        <v>0</v>
      </c>
      <c r="C67" s="4">
        <v>0</v>
      </c>
      <c r="D67" s="4">
        <v>45</v>
      </c>
      <c r="E67" s="4">
        <v>0</v>
      </c>
      <c r="F67" s="4">
        <v>50</v>
      </c>
      <c r="G67" s="10">
        <f>B67+C67/60</f>
        <v>0</v>
      </c>
      <c r="H67" s="4"/>
      <c r="I67" s="5">
        <f t="shared" ref="I67:I72" si="24">G67*D67</f>
        <v>0</v>
      </c>
      <c r="J67" s="5">
        <f>I67-H67</f>
        <v>0</v>
      </c>
      <c r="N67" s="119">
        <v>0</v>
      </c>
      <c r="O67" s="51"/>
    </row>
    <row r="68" spans="1:17">
      <c r="A68" s="80" t="s">
        <v>1360</v>
      </c>
      <c r="B68" s="4">
        <v>0</v>
      </c>
      <c r="C68" s="4">
        <v>0</v>
      </c>
      <c r="D68" s="4">
        <v>45</v>
      </c>
      <c r="E68" s="4">
        <v>0</v>
      </c>
      <c r="F68" s="4">
        <v>50</v>
      </c>
      <c r="G68" s="10">
        <f t="shared" ref="G68:G70" si="25">B68+C68/60</f>
        <v>0</v>
      </c>
      <c r="H68" s="4"/>
      <c r="I68" s="5">
        <f t="shared" si="24"/>
        <v>0</v>
      </c>
      <c r="J68" s="5">
        <f>I68-H68</f>
        <v>0</v>
      </c>
      <c r="N68" s="119">
        <v>0</v>
      </c>
    </row>
    <row r="69" spans="1:17">
      <c r="A69" s="80" t="s">
        <v>1361</v>
      </c>
      <c r="B69" s="4">
        <v>0</v>
      </c>
      <c r="C69" s="4">
        <v>0</v>
      </c>
      <c r="D69" s="4">
        <v>45</v>
      </c>
      <c r="E69" s="4">
        <v>0</v>
      </c>
      <c r="F69" s="4">
        <v>50</v>
      </c>
      <c r="G69" s="10">
        <f t="shared" si="25"/>
        <v>0</v>
      </c>
      <c r="H69" s="4"/>
      <c r="I69" s="5">
        <f t="shared" si="24"/>
        <v>0</v>
      </c>
      <c r="J69" s="5">
        <v>0</v>
      </c>
      <c r="N69" s="119">
        <v>0</v>
      </c>
      <c r="Q69" t="s">
        <v>64</v>
      </c>
    </row>
    <row r="70" spans="1:17">
      <c r="A70" s="80" t="s">
        <v>1362</v>
      </c>
      <c r="B70" s="4">
        <v>0</v>
      </c>
      <c r="C70" s="4">
        <v>0</v>
      </c>
      <c r="D70" s="4">
        <v>45</v>
      </c>
      <c r="E70" s="4">
        <v>0</v>
      </c>
      <c r="F70" s="4">
        <v>50</v>
      </c>
      <c r="G70" s="10">
        <f t="shared" si="25"/>
        <v>0</v>
      </c>
      <c r="H70" s="4"/>
      <c r="I70" s="5">
        <f t="shared" si="24"/>
        <v>0</v>
      </c>
      <c r="J70" s="5">
        <v>0</v>
      </c>
      <c r="N70" s="119">
        <v>0</v>
      </c>
    </row>
    <row r="71" spans="1:17">
      <c r="A71" s="80" t="s">
        <v>1363</v>
      </c>
      <c r="B71" s="4">
        <v>0</v>
      </c>
      <c r="C71" s="4">
        <v>0</v>
      </c>
      <c r="D71" s="4">
        <v>45</v>
      </c>
      <c r="E71" s="4">
        <v>0</v>
      </c>
      <c r="F71" s="4">
        <v>50</v>
      </c>
      <c r="G71" s="10">
        <f>B71+C71/60</f>
        <v>0</v>
      </c>
      <c r="H71" s="4"/>
      <c r="I71" s="5">
        <f t="shared" si="24"/>
        <v>0</v>
      </c>
      <c r="J71" s="5">
        <f>I71-H71</f>
        <v>0</v>
      </c>
      <c r="N71" s="119">
        <v>0</v>
      </c>
    </row>
    <row r="72" spans="1:17">
      <c r="A72" s="80" t="s">
        <v>1364</v>
      </c>
      <c r="B72" s="4"/>
      <c r="C72" s="4"/>
      <c r="D72" s="4">
        <v>65</v>
      </c>
      <c r="E72" s="4">
        <v>1</v>
      </c>
      <c r="F72" s="4">
        <v>50</v>
      </c>
      <c r="G72" s="10">
        <f>B72+C72/60</f>
        <v>0</v>
      </c>
      <c r="H72" s="4"/>
      <c r="I72" s="5">
        <f t="shared" si="24"/>
        <v>0</v>
      </c>
      <c r="J72" s="5">
        <f>I72-H72</f>
        <v>0</v>
      </c>
      <c r="N72" s="119">
        <v>0</v>
      </c>
    </row>
    <row r="73" spans="1:17">
      <c r="A73" s="80" t="s">
        <v>1365</v>
      </c>
      <c r="B73" s="4"/>
      <c r="C73" s="4"/>
      <c r="D73" s="4">
        <v>45</v>
      </c>
      <c r="E73" s="4">
        <v>1</v>
      </c>
      <c r="F73" s="4">
        <v>50</v>
      </c>
      <c r="G73" s="10">
        <v>0</v>
      </c>
      <c r="H73" s="4"/>
      <c r="I73" s="5">
        <v>0</v>
      </c>
      <c r="J73" s="5">
        <v>0</v>
      </c>
      <c r="N73" s="119">
        <v>0</v>
      </c>
    </row>
    <row r="74" spans="1:17" s="86" customFormat="1" ht="19">
      <c r="A74" s="91" t="s">
        <v>591</v>
      </c>
      <c r="B74" s="8">
        <f>SUM(B75:B81)</f>
        <v>19</v>
      </c>
      <c r="C74" s="8">
        <f>SUM(C75:C81)</f>
        <v>71</v>
      </c>
      <c r="D74" s="8">
        <f>SUM(D75)</f>
        <v>55</v>
      </c>
      <c r="E74" s="8">
        <f>SUM(E75:E81)</f>
        <v>7</v>
      </c>
      <c r="F74" s="8">
        <f>SUM(F75:F97)</f>
        <v>1750</v>
      </c>
      <c r="G74" s="93">
        <f t="shared" ref="G74" si="26">B74+C74/60</f>
        <v>20.183333333333334</v>
      </c>
      <c r="H74" s="8">
        <f>SUM(H75:H81)</f>
        <v>100</v>
      </c>
      <c r="I74" s="9">
        <f>SUM(I75:I81)</f>
        <v>1001.4166666666666</v>
      </c>
      <c r="J74" s="9">
        <f>SUM(J75:J81)</f>
        <v>901.41666666666663</v>
      </c>
      <c r="K74" s="8">
        <f>SUM(K75:K81)</f>
        <v>54</v>
      </c>
      <c r="L74" s="9">
        <v>0</v>
      </c>
      <c r="M74" s="96">
        <f>J74</f>
        <v>901.41666666666663</v>
      </c>
      <c r="N74" s="102">
        <f>SUM(N75:N81)</f>
        <v>0</v>
      </c>
      <c r="O74" s="98">
        <f>-N74</f>
        <v>0</v>
      </c>
    </row>
    <row r="75" spans="1:17">
      <c r="A75" s="80" t="s">
        <v>1370</v>
      </c>
      <c r="B75" s="4">
        <v>9</v>
      </c>
      <c r="C75" s="4">
        <v>19</v>
      </c>
      <c r="D75" s="4">
        <v>55</v>
      </c>
      <c r="E75" s="4">
        <v>1</v>
      </c>
      <c r="F75" s="4">
        <v>50</v>
      </c>
      <c r="G75" s="144">
        <f>B75+C75/60</f>
        <v>9.3166666666666664</v>
      </c>
      <c r="H75" s="167">
        <v>50</v>
      </c>
      <c r="I75" s="142">
        <f t="shared" ref="I75:I81" si="27">G75*D75</f>
        <v>512.41666666666663</v>
      </c>
      <c r="J75" s="5">
        <f>I75-H75</f>
        <v>462.41666666666663</v>
      </c>
      <c r="K75">
        <v>27</v>
      </c>
      <c r="N75" s="83">
        <v>0</v>
      </c>
      <c r="O75" s="51"/>
      <c r="P75" t="s">
        <v>1371</v>
      </c>
    </row>
    <row r="76" spans="1:17">
      <c r="A76" s="80" t="s">
        <v>1366</v>
      </c>
      <c r="B76" s="4">
        <v>10</v>
      </c>
      <c r="C76" s="4">
        <v>52</v>
      </c>
      <c r="D76" s="4">
        <v>45</v>
      </c>
      <c r="E76" s="4">
        <v>1</v>
      </c>
      <c r="F76" s="4">
        <v>50</v>
      </c>
      <c r="G76" s="144">
        <f t="shared" ref="G76:G78" si="28">B76+C76/60</f>
        <v>10.866666666666667</v>
      </c>
      <c r="H76" s="167">
        <v>50</v>
      </c>
      <c r="I76" s="142">
        <f t="shared" si="27"/>
        <v>489</v>
      </c>
      <c r="J76" s="5">
        <f>I76-H76</f>
        <v>439</v>
      </c>
      <c r="K76">
        <v>27</v>
      </c>
      <c r="N76" s="83">
        <v>0</v>
      </c>
    </row>
    <row r="77" spans="1:17">
      <c r="A77" s="80" t="s">
        <v>1372</v>
      </c>
      <c r="B77" s="4"/>
      <c r="C77" s="4"/>
      <c r="D77" s="4">
        <v>45</v>
      </c>
      <c r="E77" s="4">
        <v>1</v>
      </c>
      <c r="F77" s="4">
        <v>50</v>
      </c>
      <c r="G77" s="144">
        <f t="shared" si="28"/>
        <v>0</v>
      </c>
      <c r="H77" s="167"/>
      <c r="I77" s="142">
        <f t="shared" si="27"/>
        <v>0</v>
      </c>
      <c r="J77" s="5">
        <f t="shared" ref="J77:J81" si="29">I77-H77</f>
        <v>0</v>
      </c>
      <c r="N77" s="119">
        <v>0</v>
      </c>
      <c r="Q77" t="s">
        <v>64</v>
      </c>
    </row>
    <row r="78" spans="1:17">
      <c r="A78" s="80" t="s">
        <v>1357</v>
      </c>
      <c r="B78" s="4"/>
      <c r="C78" s="4"/>
      <c r="D78" s="4">
        <v>45</v>
      </c>
      <c r="E78" s="4">
        <v>1</v>
      </c>
      <c r="F78" s="4">
        <v>50</v>
      </c>
      <c r="G78" s="144">
        <f t="shared" si="28"/>
        <v>0</v>
      </c>
      <c r="H78" s="167"/>
      <c r="I78" s="142">
        <f t="shared" si="27"/>
        <v>0</v>
      </c>
      <c r="J78" s="5">
        <f t="shared" si="29"/>
        <v>0</v>
      </c>
      <c r="N78" s="119">
        <v>0</v>
      </c>
    </row>
    <row r="79" spans="1:17">
      <c r="A79" s="80" t="s">
        <v>1373</v>
      </c>
      <c r="B79" s="4"/>
      <c r="C79" s="4"/>
      <c r="D79" s="4">
        <v>55</v>
      </c>
      <c r="E79" s="4">
        <v>1</v>
      </c>
      <c r="F79" s="4">
        <v>50</v>
      </c>
      <c r="G79" s="144">
        <f>B79+C79/60</f>
        <v>0</v>
      </c>
      <c r="H79" s="167"/>
      <c r="I79" s="142">
        <f t="shared" si="27"/>
        <v>0</v>
      </c>
      <c r="J79" s="5">
        <f t="shared" si="29"/>
        <v>0</v>
      </c>
      <c r="N79" s="119">
        <v>0</v>
      </c>
    </row>
    <row r="80" spans="1:17">
      <c r="A80" s="80" t="s">
        <v>1374</v>
      </c>
      <c r="B80" s="4"/>
      <c r="C80" s="4"/>
      <c r="D80" s="4">
        <v>45</v>
      </c>
      <c r="E80" s="4">
        <v>1</v>
      </c>
      <c r="F80" s="4">
        <v>50</v>
      </c>
      <c r="G80" s="10">
        <f t="shared" ref="G80:G90" si="30">B80+C80/60</f>
        <v>0</v>
      </c>
      <c r="H80" s="141"/>
      <c r="I80" s="5">
        <f t="shared" si="27"/>
        <v>0</v>
      </c>
      <c r="J80" s="5">
        <f t="shared" si="29"/>
        <v>0</v>
      </c>
      <c r="N80" s="119">
        <v>0</v>
      </c>
    </row>
    <row r="81" spans="1:17">
      <c r="A81" s="80" t="s">
        <v>1375</v>
      </c>
      <c r="B81" s="4"/>
      <c r="C81" s="4"/>
      <c r="D81" s="4">
        <v>45</v>
      </c>
      <c r="E81" s="4">
        <v>1</v>
      </c>
      <c r="F81" s="4">
        <v>50</v>
      </c>
      <c r="G81" s="10">
        <f t="shared" si="30"/>
        <v>0</v>
      </c>
      <c r="H81" s="4"/>
      <c r="I81" s="5">
        <f t="shared" si="27"/>
        <v>0</v>
      </c>
      <c r="J81" s="5">
        <f t="shared" si="29"/>
        <v>0</v>
      </c>
      <c r="N81" s="119">
        <v>0</v>
      </c>
    </row>
    <row r="82" spans="1:17" ht="19">
      <c r="A82" s="91" t="s">
        <v>597</v>
      </c>
      <c r="B82" s="8">
        <f>SUM(B83:B89)</f>
        <v>0</v>
      </c>
      <c r="C82" s="8">
        <f>SUM(C83:C89)</f>
        <v>0</v>
      </c>
      <c r="D82" s="8">
        <f>SUM(D83)</f>
        <v>45</v>
      </c>
      <c r="E82" s="8">
        <f>SUM(E83:E89)</f>
        <v>4</v>
      </c>
      <c r="F82" s="8">
        <f>SUM(F83:F89)</f>
        <v>350</v>
      </c>
      <c r="G82" s="93">
        <f t="shared" ref="G82:G83" si="31">B82+C82/60</f>
        <v>0</v>
      </c>
      <c r="H82" s="8">
        <f>SUM(H83:H89)</f>
        <v>0</v>
      </c>
      <c r="I82" s="9">
        <f>SUM(I83:I89)</f>
        <v>0</v>
      </c>
      <c r="J82" s="14">
        <f>SUM(J83:J89)</f>
        <v>0</v>
      </c>
      <c r="K82" s="8">
        <f>SUM(K83:K89)</f>
        <v>0</v>
      </c>
      <c r="L82" s="9">
        <v>0</v>
      </c>
      <c r="M82" s="96">
        <f>J82</f>
        <v>0</v>
      </c>
      <c r="N82" s="102">
        <f>SUM(N83:N89)</f>
        <v>0</v>
      </c>
      <c r="O82" s="98">
        <f>-N82</f>
        <v>0</v>
      </c>
      <c r="P82" s="86"/>
      <c r="Q82" s="86"/>
    </row>
    <row r="83" spans="1:17">
      <c r="A83" s="6">
        <v>46125</v>
      </c>
      <c r="B83" s="4"/>
      <c r="C83" s="4"/>
      <c r="D83" s="4">
        <v>45</v>
      </c>
      <c r="E83" s="4">
        <v>0</v>
      </c>
      <c r="F83" s="4">
        <v>50</v>
      </c>
      <c r="G83" s="144">
        <f t="shared" si="31"/>
        <v>0</v>
      </c>
      <c r="H83" s="167"/>
      <c r="I83" s="142">
        <f t="shared" ref="I83:I89" si="32">G83*D83</f>
        <v>0</v>
      </c>
      <c r="J83" s="5">
        <f t="shared" ref="J83:J89" si="33">I83-H83</f>
        <v>0</v>
      </c>
      <c r="N83" s="119">
        <v>0</v>
      </c>
      <c r="O83" s="51"/>
      <c r="P83" s="115"/>
    </row>
    <row r="84" spans="1:17">
      <c r="A84" s="6">
        <v>46126</v>
      </c>
      <c r="B84" s="4"/>
      <c r="C84" s="4"/>
      <c r="D84" s="4">
        <v>45</v>
      </c>
      <c r="E84" s="4">
        <v>1</v>
      </c>
      <c r="F84" s="4">
        <v>50</v>
      </c>
      <c r="G84" s="144">
        <f>B84+C84/60</f>
        <v>0</v>
      </c>
      <c r="H84" s="167"/>
      <c r="I84" s="142">
        <f t="shared" si="32"/>
        <v>0</v>
      </c>
      <c r="J84" s="5">
        <f t="shared" si="33"/>
        <v>0</v>
      </c>
      <c r="N84" s="119">
        <v>0</v>
      </c>
    </row>
    <row r="85" spans="1:17">
      <c r="A85" s="6">
        <v>46127</v>
      </c>
      <c r="B85" s="4"/>
      <c r="C85" s="4"/>
      <c r="D85" s="4">
        <v>45</v>
      </c>
      <c r="E85" s="4">
        <v>0</v>
      </c>
      <c r="F85" s="4">
        <v>50</v>
      </c>
      <c r="G85" s="144">
        <f t="shared" ref="G85:G89" si="34">B85+C85/60</f>
        <v>0</v>
      </c>
      <c r="H85" s="167"/>
      <c r="I85" s="142">
        <f t="shared" si="32"/>
        <v>0</v>
      </c>
      <c r="J85" s="5">
        <f t="shared" si="33"/>
        <v>0</v>
      </c>
      <c r="N85" s="119">
        <v>0</v>
      </c>
      <c r="Q85" t="s">
        <v>64</v>
      </c>
    </row>
    <row r="86" spans="1:17">
      <c r="A86" s="6">
        <v>46128</v>
      </c>
      <c r="B86" s="4"/>
      <c r="C86" s="4"/>
      <c r="D86" s="4">
        <v>45</v>
      </c>
      <c r="E86" s="4">
        <v>1</v>
      </c>
      <c r="F86" s="4">
        <v>50</v>
      </c>
      <c r="G86" s="144">
        <f t="shared" si="34"/>
        <v>0</v>
      </c>
      <c r="H86" s="167"/>
      <c r="I86" s="142">
        <f t="shared" si="32"/>
        <v>0</v>
      </c>
      <c r="J86" s="5">
        <f t="shared" si="33"/>
        <v>0</v>
      </c>
      <c r="N86" s="119">
        <v>0</v>
      </c>
    </row>
    <row r="87" spans="1:17">
      <c r="A87" s="6">
        <v>46129</v>
      </c>
      <c r="B87" s="4"/>
      <c r="C87" s="4"/>
      <c r="D87" s="4">
        <v>45</v>
      </c>
      <c r="E87" s="4">
        <v>1</v>
      </c>
      <c r="F87" s="4">
        <v>50</v>
      </c>
      <c r="G87" s="144">
        <f t="shared" si="34"/>
        <v>0</v>
      </c>
      <c r="H87" s="167"/>
      <c r="I87" s="142">
        <f t="shared" si="32"/>
        <v>0</v>
      </c>
      <c r="J87" s="5">
        <f t="shared" si="33"/>
        <v>0</v>
      </c>
      <c r="N87" s="119">
        <v>0</v>
      </c>
    </row>
    <row r="88" spans="1:17">
      <c r="A88" s="6">
        <v>46130</v>
      </c>
      <c r="B88" s="4"/>
      <c r="C88" s="4"/>
      <c r="D88" s="4">
        <v>45</v>
      </c>
      <c r="E88" s="4">
        <v>0</v>
      </c>
      <c r="F88" s="4">
        <v>50</v>
      </c>
      <c r="G88" s="144">
        <f t="shared" si="34"/>
        <v>0</v>
      </c>
      <c r="H88" s="167"/>
      <c r="I88" s="142">
        <f t="shared" si="32"/>
        <v>0</v>
      </c>
      <c r="J88" s="5">
        <f t="shared" si="33"/>
        <v>0</v>
      </c>
      <c r="N88" s="119">
        <v>0</v>
      </c>
    </row>
    <row r="89" spans="1:17">
      <c r="A89" s="6" t="s">
        <v>1376</v>
      </c>
      <c r="B89" s="4"/>
      <c r="C89" s="4"/>
      <c r="D89" s="4">
        <v>45</v>
      </c>
      <c r="E89" s="4">
        <v>1</v>
      </c>
      <c r="F89" s="4">
        <v>50</v>
      </c>
      <c r="G89" s="10">
        <f t="shared" si="34"/>
        <v>0</v>
      </c>
      <c r="H89" s="141"/>
      <c r="I89" s="5">
        <f t="shared" si="32"/>
        <v>0</v>
      </c>
      <c r="J89" s="5">
        <f t="shared" si="33"/>
        <v>0</v>
      </c>
      <c r="N89" s="119">
        <v>0</v>
      </c>
    </row>
    <row r="90" spans="1:17" s="86" customFormat="1" ht="19">
      <c r="A90" s="91" t="s">
        <v>494</v>
      </c>
      <c r="B90" s="8">
        <f>SUM(B91:B97)</f>
        <v>20</v>
      </c>
      <c r="C90" s="8">
        <f>SUM(C91:C97)</f>
        <v>35</v>
      </c>
      <c r="D90" s="8">
        <f>SUM(D91)</f>
        <v>55</v>
      </c>
      <c r="E90" s="8">
        <f>SUM(E91:E97)</f>
        <v>7</v>
      </c>
      <c r="F90" s="8">
        <f>SUM(F91:F97)</f>
        <v>350</v>
      </c>
      <c r="G90" s="93">
        <f t="shared" si="30"/>
        <v>20.583333333333332</v>
      </c>
      <c r="H90" s="8">
        <f>SUM(H91:H97)</f>
        <v>173</v>
      </c>
      <c r="I90" s="8">
        <f t="shared" ref="I90:K90" si="35">SUM(I91:I97)</f>
        <v>1036.25</v>
      </c>
      <c r="J90" s="8">
        <f t="shared" si="35"/>
        <v>863.25</v>
      </c>
      <c r="K90" s="8">
        <f t="shared" si="35"/>
        <v>59</v>
      </c>
      <c r="L90" s="9">
        <v>0</v>
      </c>
      <c r="M90" s="96">
        <f>J90</f>
        <v>863.25</v>
      </c>
      <c r="N90" s="102">
        <f>SUM(N91:N97)</f>
        <v>0</v>
      </c>
      <c r="O90" s="98">
        <f>-N90</f>
        <v>0</v>
      </c>
    </row>
    <row r="91" spans="1:17" ht="19">
      <c r="A91" s="6">
        <v>46160</v>
      </c>
      <c r="B91" s="4">
        <v>11</v>
      </c>
      <c r="C91" s="4"/>
      <c r="D91" s="4">
        <v>55</v>
      </c>
      <c r="E91" s="4">
        <v>1</v>
      </c>
      <c r="F91" s="4">
        <v>50</v>
      </c>
      <c r="G91" s="10">
        <f>B91+C91/60</f>
        <v>11</v>
      </c>
      <c r="H91" s="4">
        <v>50</v>
      </c>
      <c r="I91" s="5">
        <f>G91*D91</f>
        <v>605</v>
      </c>
      <c r="J91" s="5">
        <f>I91-H91</f>
        <v>555</v>
      </c>
      <c r="K91">
        <v>27</v>
      </c>
      <c r="N91" s="51">
        <v>0</v>
      </c>
      <c r="O91" s="49"/>
    </row>
    <row r="92" spans="1:17">
      <c r="A92" s="6">
        <v>46161</v>
      </c>
      <c r="B92" s="4">
        <v>9</v>
      </c>
      <c r="C92" s="4">
        <v>35</v>
      </c>
      <c r="D92" s="4">
        <v>45</v>
      </c>
      <c r="E92" s="4">
        <v>1</v>
      </c>
      <c r="F92" s="4">
        <v>50</v>
      </c>
      <c r="G92" s="10">
        <f t="shared" ref="G92:G96" si="36">B92+C92/60</f>
        <v>9.5833333333333339</v>
      </c>
      <c r="H92" s="4">
        <f>50+73</f>
        <v>123</v>
      </c>
      <c r="I92" s="5">
        <f t="shared" ref="I92" si="37">G92*D92</f>
        <v>431.25</v>
      </c>
      <c r="J92" s="5">
        <f>I92-H92</f>
        <v>308.25</v>
      </c>
      <c r="K92">
        <v>32</v>
      </c>
      <c r="N92" s="51">
        <v>0</v>
      </c>
      <c r="P92" t="s">
        <v>1377</v>
      </c>
    </row>
    <row r="93" spans="1:17">
      <c r="A93" s="6">
        <v>46162</v>
      </c>
      <c r="B93" s="4"/>
      <c r="C93" s="4"/>
      <c r="D93" s="4">
        <v>45</v>
      </c>
      <c r="E93" s="4">
        <v>1</v>
      </c>
      <c r="F93" s="4">
        <v>50</v>
      </c>
      <c r="G93" s="10">
        <f t="shared" si="36"/>
        <v>0</v>
      </c>
      <c r="H93" s="4"/>
      <c r="I93" s="5">
        <f>G93*D93</f>
        <v>0</v>
      </c>
      <c r="J93" s="5">
        <f>I93-H93</f>
        <v>0</v>
      </c>
      <c r="N93" s="51">
        <v>0</v>
      </c>
    </row>
    <row r="94" spans="1:17">
      <c r="A94" s="6">
        <v>46163</v>
      </c>
      <c r="B94" s="4"/>
      <c r="C94" s="4"/>
      <c r="D94" s="4">
        <v>45</v>
      </c>
      <c r="E94" s="4">
        <v>1</v>
      </c>
      <c r="F94" s="4">
        <v>50</v>
      </c>
      <c r="G94" s="10">
        <f t="shared" si="36"/>
        <v>0</v>
      </c>
      <c r="H94" s="4"/>
      <c r="I94" s="5">
        <f t="shared" ref="I94:I97" si="38">G94*D94</f>
        <v>0</v>
      </c>
      <c r="J94" s="5">
        <f>I94-H94</f>
        <v>0</v>
      </c>
      <c r="N94" s="51">
        <v>0</v>
      </c>
    </row>
    <row r="95" spans="1:17">
      <c r="A95" s="6">
        <v>46164</v>
      </c>
      <c r="B95" s="4"/>
      <c r="C95" s="4"/>
      <c r="D95" s="4">
        <v>45</v>
      </c>
      <c r="E95" s="4">
        <v>1</v>
      </c>
      <c r="F95" s="4">
        <v>50</v>
      </c>
      <c r="G95" s="10">
        <f t="shared" si="36"/>
        <v>0</v>
      </c>
      <c r="H95" s="4"/>
      <c r="I95" s="5">
        <f t="shared" si="38"/>
        <v>0</v>
      </c>
      <c r="J95" s="5">
        <f t="shared" ref="J95:J97" si="39">I95-H95</f>
        <v>0</v>
      </c>
      <c r="N95" s="51">
        <v>0</v>
      </c>
    </row>
    <row r="96" spans="1:17">
      <c r="A96" s="6">
        <v>46165</v>
      </c>
      <c r="B96" s="4"/>
      <c r="C96" s="4"/>
      <c r="D96" s="4">
        <v>45</v>
      </c>
      <c r="E96" s="4">
        <v>1</v>
      </c>
      <c r="F96" s="4">
        <v>50</v>
      </c>
      <c r="G96" s="10">
        <f t="shared" si="36"/>
        <v>0</v>
      </c>
      <c r="H96" s="4"/>
      <c r="I96" s="5">
        <f t="shared" si="38"/>
        <v>0</v>
      </c>
      <c r="J96" s="5">
        <f t="shared" si="39"/>
        <v>0</v>
      </c>
      <c r="N96" s="51">
        <v>0</v>
      </c>
    </row>
    <row r="97" spans="1:17">
      <c r="A97" s="6">
        <v>46166</v>
      </c>
      <c r="B97" s="4"/>
      <c r="C97" s="4"/>
      <c r="D97" s="4">
        <v>45</v>
      </c>
      <c r="E97" s="4">
        <v>1</v>
      </c>
      <c r="F97" s="4">
        <v>50</v>
      </c>
      <c r="G97" s="10">
        <f t="shared" ref="G97:G122" si="40">B97+C97/60</f>
        <v>0</v>
      </c>
      <c r="H97" s="4"/>
      <c r="I97" s="5">
        <f t="shared" si="38"/>
        <v>0</v>
      </c>
      <c r="J97" s="5">
        <f t="shared" si="39"/>
        <v>0</v>
      </c>
      <c r="N97" s="51">
        <v>0</v>
      </c>
    </row>
    <row r="98" spans="1:17" s="86" customFormat="1" ht="19">
      <c r="A98" s="91" t="s">
        <v>1105</v>
      </c>
      <c r="B98" s="8">
        <f>SUM(B99:B105)</f>
        <v>0</v>
      </c>
      <c r="C98" s="8">
        <f>SUM(C99:C105)</f>
        <v>0</v>
      </c>
      <c r="D98" s="8">
        <f>SUM(D99)</f>
        <v>45</v>
      </c>
      <c r="E98" s="8">
        <f>SUM(E99:E162)</f>
        <v>68</v>
      </c>
      <c r="F98" s="8">
        <f>SUM(F99:F104)</f>
        <v>300</v>
      </c>
      <c r="G98" s="93">
        <f t="shared" ref="G98:G105" si="41">B98+C98/60</f>
        <v>0</v>
      </c>
      <c r="H98" s="8">
        <f>SUM(H99:H105)</f>
        <v>0</v>
      </c>
      <c r="I98" s="9">
        <f>SUM(I99:I105)</f>
        <v>0</v>
      </c>
      <c r="J98" s="14">
        <f>SUM(J99:J105)</f>
        <v>0</v>
      </c>
      <c r="K98" s="8">
        <f>SUM(K99:K105)</f>
        <v>0</v>
      </c>
      <c r="L98" s="9">
        <v>0</v>
      </c>
      <c r="M98" s="96">
        <f>J98</f>
        <v>0</v>
      </c>
      <c r="N98" s="102">
        <f>SUM(N99:N105)</f>
        <v>0</v>
      </c>
      <c r="O98" s="98">
        <f>-N98</f>
        <v>0</v>
      </c>
    </row>
    <row r="99" spans="1:17">
      <c r="A99" s="6">
        <v>46125</v>
      </c>
      <c r="B99" s="4"/>
      <c r="C99" s="4"/>
      <c r="D99" s="4">
        <v>45</v>
      </c>
      <c r="E99" s="4">
        <v>0</v>
      </c>
      <c r="F99" s="4">
        <v>50</v>
      </c>
      <c r="G99" s="10">
        <f t="shared" si="41"/>
        <v>0</v>
      </c>
      <c r="H99" s="4"/>
      <c r="I99" s="5">
        <f t="shared" ref="I99:I105" si="42">G99*D99</f>
        <v>0</v>
      </c>
      <c r="J99" s="5">
        <f>I99-H99</f>
        <v>0</v>
      </c>
      <c r="N99" s="119">
        <v>0</v>
      </c>
      <c r="O99" s="51"/>
    </row>
    <row r="100" spans="1:17">
      <c r="A100" s="6">
        <v>46126</v>
      </c>
      <c r="B100" s="4"/>
      <c r="C100" s="4"/>
      <c r="D100" s="4">
        <v>45</v>
      </c>
      <c r="E100" s="4">
        <v>1</v>
      </c>
      <c r="F100" s="4">
        <v>50</v>
      </c>
      <c r="G100" s="10">
        <f t="shared" si="41"/>
        <v>0</v>
      </c>
      <c r="H100" s="4"/>
      <c r="I100" s="5">
        <f t="shared" si="42"/>
        <v>0</v>
      </c>
      <c r="J100" s="5">
        <f>I100-H100</f>
        <v>0</v>
      </c>
      <c r="N100" s="119">
        <v>0</v>
      </c>
    </row>
    <row r="101" spans="1:17">
      <c r="A101" s="6">
        <v>46127</v>
      </c>
      <c r="B101" s="4"/>
      <c r="C101" s="4"/>
      <c r="D101" s="4">
        <v>45</v>
      </c>
      <c r="E101" s="4">
        <v>1</v>
      </c>
      <c r="F101" s="4">
        <v>50</v>
      </c>
      <c r="G101" s="10">
        <f t="shared" si="41"/>
        <v>0</v>
      </c>
      <c r="H101" s="4"/>
      <c r="I101" s="5">
        <f t="shared" si="42"/>
        <v>0</v>
      </c>
      <c r="J101" s="5">
        <f t="shared" ref="J101:J105" si="43">I101-H101</f>
        <v>0</v>
      </c>
      <c r="N101" s="119">
        <v>0</v>
      </c>
      <c r="Q101" t="s">
        <v>64</v>
      </c>
    </row>
    <row r="102" spans="1:17">
      <c r="A102" s="6">
        <v>46128</v>
      </c>
      <c r="B102" s="4"/>
      <c r="C102" s="4"/>
      <c r="D102" s="4">
        <v>45</v>
      </c>
      <c r="E102" s="4">
        <v>1</v>
      </c>
      <c r="F102" s="4">
        <v>50</v>
      </c>
      <c r="G102" s="10">
        <f t="shared" si="41"/>
        <v>0</v>
      </c>
      <c r="H102" s="4"/>
      <c r="I102" s="5">
        <f t="shared" si="42"/>
        <v>0</v>
      </c>
      <c r="J102" s="5">
        <f t="shared" si="43"/>
        <v>0</v>
      </c>
      <c r="N102" s="119">
        <v>0</v>
      </c>
    </row>
    <row r="103" spans="1:17">
      <c r="A103" s="6">
        <v>46129</v>
      </c>
      <c r="B103" s="4"/>
      <c r="C103" s="4"/>
      <c r="D103" s="4">
        <v>45</v>
      </c>
      <c r="E103" s="4">
        <v>1</v>
      </c>
      <c r="F103" s="4">
        <v>50</v>
      </c>
      <c r="G103" s="10">
        <f t="shared" si="41"/>
        <v>0</v>
      </c>
      <c r="H103" s="4"/>
      <c r="I103" s="5">
        <f t="shared" si="42"/>
        <v>0</v>
      </c>
      <c r="J103" s="5">
        <f t="shared" si="43"/>
        <v>0</v>
      </c>
      <c r="N103" s="119">
        <v>0</v>
      </c>
    </row>
    <row r="104" spans="1:17">
      <c r="A104" s="6">
        <v>46130</v>
      </c>
      <c r="B104" s="4"/>
      <c r="C104" s="4"/>
      <c r="D104" s="4">
        <v>45</v>
      </c>
      <c r="E104" s="4">
        <v>0</v>
      </c>
      <c r="F104" s="4">
        <v>50</v>
      </c>
      <c r="G104" s="10">
        <f t="shared" si="41"/>
        <v>0</v>
      </c>
      <c r="H104" s="4"/>
      <c r="I104" s="5">
        <f t="shared" si="42"/>
        <v>0</v>
      </c>
      <c r="J104" s="5">
        <f t="shared" si="43"/>
        <v>0</v>
      </c>
      <c r="N104" s="119">
        <v>0</v>
      </c>
    </row>
    <row r="105" spans="1:17">
      <c r="A105" s="6">
        <v>46131</v>
      </c>
      <c r="B105" s="4"/>
      <c r="C105" s="4"/>
      <c r="D105" s="4">
        <v>45</v>
      </c>
      <c r="E105" s="4">
        <v>0</v>
      </c>
      <c r="F105" s="4">
        <v>50</v>
      </c>
      <c r="G105" s="10">
        <f t="shared" si="41"/>
        <v>0</v>
      </c>
      <c r="H105" s="4"/>
      <c r="I105" s="5">
        <f t="shared" si="42"/>
        <v>0</v>
      </c>
      <c r="J105" s="5">
        <f t="shared" si="43"/>
        <v>0</v>
      </c>
      <c r="N105" s="119">
        <v>0</v>
      </c>
    </row>
    <row r="106" spans="1:17" ht="19">
      <c r="A106" s="91" t="s">
        <v>505</v>
      </c>
      <c r="B106" s="8">
        <f>SUM(B107:B113)</f>
        <v>11</v>
      </c>
      <c r="C106" s="8">
        <f>SUM(C107:C113)</f>
        <v>0</v>
      </c>
      <c r="D106" s="8">
        <v>45</v>
      </c>
      <c r="E106" s="8">
        <f>SUM(E107:E113)</f>
        <v>6</v>
      </c>
      <c r="F106" s="8">
        <f>SUM(F107:F113)</f>
        <v>350</v>
      </c>
      <c r="G106" s="93">
        <f t="shared" si="40"/>
        <v>11</v>
      </c>
      <c r="H106" s="8">
        <f>SUM(H107:H113)</f>
        <v>50</v>
      </c>
      <c r="I106" s="9">
        <f>SUM(I107:I113)</f>
        <v>495</v>
      </c>
      <c r="J106" s="14">
        <f>SUM(J107:J113)</f>
        <v>445</v>
      </c>
      <c r="K106" s="8">
        <f>SUM(K107:K113)</f>
        <v>18</v>
      </c>
      <c r="L106" s="9">
        <v>0</v>
      </c>
      <c r="M106" s="96">
        <f>J106</f>
        <v>445</v>
      </c>
      <c r="N106" s="102">
        <f>SUM(N107:N113)</f>
        <v>0</v>
      </c>
      <c r="O106" s="98">
        <f>-N106</f>
        <v>0</v>
      </c>
      <c r="P106" s="86"/>
      <c r="Q106" s="86"/>
    </row>
    <row r="107" spans="1:17">
      <c r="A107" s="6">
        <v>46160</v>
      </c>
      <c r="B107" s="4"/>
      <c r="C107" s="4"/>
      <c r="D107" s="4">
        <v>55</v>
      </c>
      <c r="E107" s="4">
        <v>1</v>
      </c>
      <c r="F107" s="4">
        <v>50</v>
      </c>
      <c r="G107" s="10">
        <f t="shared" si="40"/>
        <v>0</v>
      </c>
      <c r="H107" s="4"/>
      <c r="I107" s="5">
        <f t="shared" ref="I107:I113" si="44">G107*D107</f>
        <v>0</v>
      </c>
      <c r="J107" s="5">
        <f t="shared" ref="J107:J113" si="45">I107-H107</f>
        <v>0</v>
      </c>
      <c r="N107" s="119">
        <v>0</v>
      </c>
      <c r="O107" s="51"/>
    </row>
    <row r="108" spans="1:17">
      <c r="A108" s="6">
        <v>46161</v>
      </c>
      <c r="B108" s="4">
        <v>11</v>
      </c>
      <c r="C108" s="4"/>
      <c r="D108" s="4">
        <v>45</v>
      </c>
      <c r="E108" s="4">
        <v>1</v>
      </c>
      <c r="F108" s="4">
        <v>50</v>
      </c>
      <c r="G108" s="10">
        <f t="shared" si="40"/>
        <v>11</v>
      </c>
      <c r="H108" s="4">
        <v>50</v>
      </c>
      <c r="I108" s="5">
        <f t="shared" si="44"/>
        <v>495</v>
      </c>
      <c r="J108" s="5">
        <f t="shared" si="45"/>
        <v>445</v>
      </c>
      <c r="K108">
        <v>18</v>
      </c>
      <c r="N108" s="119">
        <v>0</v>
      </c>
    </row>
    <row r="109" spans="1:17">
      <c r="A109" s="6">
        <v>46162</v>
      </c>
      <c r="B109" s="4"/>
      <c r="C109" s="4"/>
      <c r="D109" s="4">
        <v>45</v>
      </c>
      <c r="E109" s="4">
        <v>1</v>
      </c>
      <c r="F109" s="4">
        <v>50</v>
      </c>
      <c r="G109" s="10">
        <f t="shared" si="40"/>
        <v>0</v>
      </c>
      <c r="H109" s="4"/>
      <c r="I109" s="5">
        <f t="shared" si="44"/>
        <v>0</v>
      </c>
      <c r="J109" s="5">
        <f t="shared" si="45"/>
        <v>0</v>
      </c>
      <c r="N109" s="119">
        <v>0</v>
      </c>
      <c r="Q109" t="s">
        <v>64</v>
      </c>
    </row>
    <row r="110" spans="1:17">
      <c r="A110" s="6">
        <v>46163</v>
      </c>
      <c r="B110" s="4"/>
      <c r="C110" s="4"/>
      <c r="D110" s="4">
        <v>45</v>
      </c>
      <c r="E110" s="4">
        <v>1</v>
      </c>
      <c r="F110" s="4">
        <v>50</v>
      </c>
      <c r="G110" s="10">
        <f t="shared" si="40"/>
        <v>0</v>
      </c>
      <c r="H110" s="4"/>
      <c r="I110" s="5">
        <f t="shared" si="44"/>
        <v>0</v>
      </c>
      <c r="J110" s="5">
        <f t="shared" si="45"/>
        <v>0</v>
      </c>
      <c r="N110" s="119">
        <v>0</v>
      </c>
    </row>
    <row r="111" spans="1:17">
      <c r="A111" s="6">
        <v>46164</v>
      </c>
      <c r="B111" s="4"/>
      <c r="C111" s="4"/>
      <c r="D111" s="4">
        <v>45</v>
      </c>
      <c r="E111" s="4">
        <v>1</v>
      </c>
      <c r="F111" s="4">
        <v>50</v>
      </c>
      <c r="G111" s="10">
        <f t="shared" si="40"/>
        <v>0</v>
      </c>
      <c r="H111" s="4"/>
      <c r="I111" s="5">
        <f t="shared" si="44"/>
        <v>0</v>
      </c>
      <c r="J111" s="5">
        <f t="shared" si="45"/>
        <v>0</v>
      </c>
      <c r="N111" s="119">
        <v>0</v>
      </c>
    </row>
    <row r="112" spans="1:17">
      <c r="A112" s="6">
        <v>46165</v>
      </c>
      <c r="B112" s="4"/>
      <c r="C112" s="4"/>
      <c r="D112" s="4">
        <v>45</v>
      </c>
      <c r="E112" s="4">
        <v>1</v>
      </c>
      <c r="F112" s="4">
        <v>50</v>
      </c>
      <c r="G112" s="10">
        <f t="shared" si="40"/>
        <v>0</v>
      </c>
      <c r="H112" s="4"/>
      <c r="I112" s="5">
        <f t="shared" si="44"/>
        <v>0</v>
      </c>
      <c r="J112" s="5">
        <f t="shared" si="45"/>
        <v>0</v>
      </c>
      <c r="N112" s="119">
        <v>0</v>
      </c>
    </row>
    <row r="113" spans="1:17" ht="16" thickBot="1">
      <c r="A113" s="6">
        <v>46166</v>
      </c>
      <c r="B113" s="4"/>
      <c r="C113" s="4"/>
      <c r="D113" s="4">
        <v>45</v>
      </c>
      <c r="E113" s="4">
        <v>0</v>
      </c>
      <c r="F113" s="4">
        <v>50</v>
      </c>
      <c r="G113" s="10">
        <f t="shared" si="40"/>
        <v>0</v>
      </c>
      <c r="H113" s="4"/>
      <c r="I113" s="5">
        <f t="shared" si="44"/>
        <v>0</v>
      </c>
      <c r="J113" s="5">
        <f t="shared" si="45"/>
        <v>0</v>
      </c>
      <c r="N113" s="119">
        <v>0</v>
      </c>
    </row>
    <row r="114" spans="1:17" s="86" customFormat="1" ht="20" thickBot="1">
      <c r="A114" s="91" t="s">
        <v>1252</v>
      </c>
      <c r="B114" s="8">
        <f>SUM(B115:B121)</f>
        <v>4</v>
      </c>
      <c r="C114" s="8">
        <f>SUM(C115:C121)</f>
        <v>7</v>
      </c>
      <c r="D114" s="8">
        <v>45</v>
      </c>
      <c r="E114" s="8">
        <f>SUM(E115:E121)</f>
        <v>4</v>
      </c>
      <c r="F114" s="8">
        <f>SUM(F115:F121)</f>
        <v>350</v>
      </c>
      <c r="G114" s="93">
        <f t="shared" si="40"/>
        <v>4.1166666666666663</v>
      </c>
      <c r="H114" s="8">
        <f>SUM(H115:H121)</f>
        <v>50</v>
      </c>
      <c r="I114" s="14">
        <f>SUM(I115:I121)</f>
        <v>185.24999999999997</v>
      </c>
      <c r="J114" s="14">
        <f>SUM(J115:J121)</f>
        <v>135.24999999999997</v>
      </c>
      <c r="K114" s="8">
        <f>SUM(K115:K121)</f>
        <v>5</v>
      </c>
      <c r="L114" s="9">
        <v>0</v>
      </c>
      <c r="M114" s="96">
        <f>J114</f>
        <v>135.24999999999997</v>
      </c>
      <c r="N114" s="102">
        <f>SUM(N115:N121)</f>
        <v>0</v>
      </c>
      <c r="O114" s="98">
        <f>-N114</f>
        <v>0</v>
      </c>
    </row>
    <row r="115" spans="1:17">
      <c r="A115" s="6">
        <v>46160</v>
      </c>
      <c r="B115" s="4">
        <v>4</v>
      </c>
      <c r="C115" s="4">
        <v>7</v>
      </c>
      <c r="D115" s="4">
        <v>45</v>
      </c>
      <c r="E115" s="4">
        <v>1</v>
      </c>
      <c r="F115" s="4">
        <v>50</v>
      </c>
      <c r="G115" s="10">
        <f t="shared" si="40"/>
        <v>4.1166666666666663</v>
      </c>
      <c r="H115" s="4">
        <v>50</v>
      </c>
      <c r="I115" s="5">
        <f t="shared" ref="I115:I121" si="46">G115*D115</f>
        <v>185.24999999999997</v>
      </c>
      <c r="J115" s="5">
        <f t="shared" ref="J115:J121" si="47">I115-H115</f>
        <v>135.24999999999997</v>
      </c>
      <c r="K115">
        <v>5</v>
      </c>
      <c r="N115" s="119">
        <v>0</v>
      </c>
      <c r="O115" s="51"/>
      <c r="P115" t="s">
        <v>1378</v>
      </c>
    </row>
    <row r="116" spans="1:17">
      <c r="A116" s="6">
        <v>46161</v>
      </c>
      <c r="B116" s="4"/>
      <c r="C116" s="4"/>
      <c r="D116" s="4">
        <v>55</v>
      </c>
      <c r="E116" s="4">
        <v>1</v>
      </c>
      <c r="F116" s="4">
        <v>50</v>
      </c>
      <c r="G116" s="10">
        <f t="shared" si="40"/>
        <v>0</v>
      </c>
      <c r="H116" s="4"/>
      <c r="I116" s="5">
        <f t="shared" si="46"/>
        <v>0</v>
      </c>
      <c r="J116" s="5">
        <f t="shared" si="47"/>
        <v>0</v>
      </c>
      <c r="N116" s="119">
        <v>0</v>
      </c>
    </row>
    <row r="117" spans="1:17">
      <c r="A117" s="6">
        <v>46162</v>
      </c>
      <c r="B117" s="4"/>
      <c r="C117" s="4"/>
      <c r="D117" s="4">
        <v>45</v>
      </c>
      <c r="E117" s="4">
        <v>1</v>
      </c>
      <c r="F117" s="4">
        <v>50</v>
      </c>
      <c r="G117" s="10">
        <f t="shared" si="40"/>
        <v>0</v>
      </c>
      <c r="H117" s="4"/>
      <c r="I117" s="5">
        <f t="shared" si="46"/>
        <v>0</v>
      </c>
      <c r="J117" s="5">
        <f t="shared" si="47"/>
        <v>0</v>
      </c>
      <c r="N117" s="119">
        <v>0</v>
      </c>
      <c r="Q117" t="s">
        <v>64</v>
      </c>
    </row>
    <row r="118" spans="1:17">
      <c r="A118" s="6">
        <v>46163</v>
      </c>
      <c r="B118" s="4"/>
      <c r="C118" s="4"/>
      <c r="D118" s="4">
        <v>45</v>
      </c>
      <c r="E118" s="4">
        <v>0</v>
      </c>
      <c r="F118" s="4">
        <v>50</v>
      </c>
      <c r="G118" s="10">
        <f t="shared" si="40"/>
        <v>0</v>
      </c>
      <c r="H118" s="4"/>
      <c r="I118" s="5">
        <f t="shared" si="46"/>
        <v>0</v>
      </c>
      <c r="J118" s="5">
        <f t="shared" si="47"/>
        <v>0</v>
      </c>
      <c r="N118" s="119">
        <v>0</v>
      </c>
    </row>
    <row r="119" spans="1:17">
      <c r="A119" s="6">
        <v>46164</v>
      </c>
      <c r="B119" s="4"/>
      <c r="C119" s="4"/>
      <c r="D119" s="4">
        <v>45</v>
      </c>
      <c r="E119" s="4">
        <v>1</v>
      </c>
      <c r="F119" s="4">
        <v>50</v>
      </c>
      <c r="G119" s="10">
        <f t="shared" si="40"/>
        <v>0</v>
      </c>
      <c r="H119" s="4"/>
      <c r="I119" s="5">
        <f t="shared" si="46"/>
        <v>0</v>
      </c>
      <c r="J119" s="5">
        <f t="shared" si="47"/>
        <v>0</v>
      </c>
      <c r="N119" s="119">
        <v>0</v>
      </c>
    </row>
    <row r="120" spans="1:17">
      <c r="A120" s="6">
        <v>46165</v>
      </c>
      <c r="B120" s="4"/>
      <c r="C120" s="4"/>
      <c r="D120" s="4">
        <v>45</v>
      </c>
      <c r="E120" s="4">
        <v>0</v>
      </c>
      <c r="F120" s="4">
        <v>50</v>
      </c>
      <c r="G120" s="10">
        <f t="shared" si="40"/>
        <v>0</v>
      </c>
      <c r="H120" s="4"/>
      <c r="I120" s="5">
        <f t="shared" si="46"/>
        <v>0</v>
      </c>
      <c r="J120" s="5">
        <f t="shared" si="47"/>
        <v>0</v>
      </c>
      <c r="N120" s="119">
        <v>0</v>
      </c>
    </row>
    <row r="121" spans="1:17" ht="16" thickBot="1">
      <c r="A121" s="6">
        <v>46166</v>
      </c>
      <c r="B121" s="4"/>
      <c r="C121" s="4"/>
      <c r="D121" s="4">
        <v>45</v>
      </c>
      <c r="E121" s="4">
        <v>0</v>
      </c>
      <c r="F121" s="4">
        <v>50</v>
      </c>
      <c r="G121" s="10">
        <f t="shared" si="40"/>
        <v>0</v>
      </c>
      <c r="H121" s="4"/>
      <c r="I121" s="5">
        <f t="shared" si="46"/>
        <v>0</v>
      </c>
      <c r="J121" s="5">
        <f t="shared" si="47"/>
        <v>0</v>
      </c>
      <c r="N121" s="119">
        <v>0</v>
      </c>
    </row>
    <row r="122" spans="1:17" s="86" customFormat="1" ht="20" thickBot="1">
      <c r="A122" s="91" t="s">
        <v>518</v>
      </c>
      <c r="B122" s="8">
        <f>SUM(B123:B128)</f>
        <v>10</v>
      </c>
      <c r="C122" s="8">
        <f>SUM(C123:C128)</f>
        <v>51</v>
      </c>
      <c r="D122" s="8">
        <f>SUM(D123)</f>
        <v>45</v>
      </c>
      <c r="E122" s="8">
        <f>SUM(E123:E128)</f>
        <v>5</v>
      </c>
      <c r="F122" s="8">
        <f>SUM(F123:F128)</f>
        <v>300</v>
      </c>
      <c r="G122" s="93">
        <f t="shared" si="40"/>
        <v>10.85</v>
      </c>
      <c r="H122" s="8">
        <f>SUM(H123:H129)</f>
        <v>117.5</v>
      </c>
      <c r="I122" s="9">
        <f>SUM(I123:I128)</f>
        <v>596.75</v>
      </c>
      <c r="J122" s="14">
        <f>SUM(J123:J128)</f>
        <v>479.25</v>
      </c>
      <c r="K122" s="8">
        <f>SUM(K123:K128)</f>
        <v>27</v>
      </c>
      <c r="L122" s="9">
        <v>0</v>
      </c>
      <c r="M122" s="96">
        <f>J122</f>
        <v>479.25</v>
      </c>
      <c r="N122" s="102">
        <f>SUM(N123:N129)</f>
        <v>0</v>
      </c>
      <c r="O122" s="98">
        <f>-N122</f>
        <v>0</v>
      </c>
    </row>
    <row r="123" spans="1:17">
      <c r="A123" s="6">
        <v>46160</v>
      </c>
      <c r="B123" s="4"/>
      <c r="C123" s="4"/>
      <c r="D123" s="4">
        <v>45</v>
      </c>
      <c r="E123" s="4">
        <v>0</v>
      </c>
      <c r="F123" s="4">
        <v>50</v>
      </c>
      <c r="G123" s="10">
        <f>B123+C123/60</f>
        <v>0</v>
      </c>
      <c r="H123" s="4"/>
      <c r="I123" s="5">
        <f t="shared" ref="I123:I128" si="48">G123*D123</f>
        <v>0</v>
      </c>
      <c r="J123" s="5">
        <f>I123-H123</f>
        <v>0</v>
      </c>
      <c r="N123" s="119">
        <v>0</v>
      </c>
      <c r="O123" s="51"/>
    </row>
    <row r="124" spans="1:17">
      <c r="A124" s="6">
        <v>46161</v>
      </c>
      <c r="B124" s="4">
        <v>10</v>
      </c>
      <c r="C124" s="4">
        <v>51</v>
      </c>
      <c r="D124" s="4">
        <v>55</v>
      </c>
      <c r="E124" s="4">
        <v>1</v>
      </c>
      <c r="F124" s="4">
        <v>50</v>
      </c>
      <c r="G124" s="10">
        <f t="shared" ref="G124:G130" si="49">B124+C124/60</f>
        <v>10.85</v>
      </c>
      <c r="H124" s="4">
        <f>50+67.5</f>
        <v>117.5</v>
      </c>
      <c r="I124" s="5">
        <f t="shared" si="48"/>
        <v>596.75</v>
      </c>
      <c r="J124" s="5">
        <f>I124-H124</f>
        <v>479.25</v>
      </c>
      <c r="K124">
        <v>27</v>
      </c>
      <c r="N124" s="119">
        <v>0</v>
      </c>
      <c r="P124" t="s">
        <v>1379</v>
      </c>
    </row>
    <row r="125" spans="1:17">
      <c r="A125" s="6">
        <v>46162</v>
      </c>
      <c r="B125" s="4"/>
      <c r="C125" s="4"/>
      <c r="D125" s="4">
        <v>45</v>
      </c>
      <c r="E125" s="4">
        <v>1</v>
      </c>
      <c r="F125" s="4">
        <v>50</v>
      </c>
      <c r="G125" s="10">
        <f t="shared" si="49"/>
        <v>0</v>
      </c>
      <c r="H125" s="4"/>
      <c r="I125" s="5">
        <f t="shared" si="48"/>
        <v>0</v>
      </c>
      <c r="J125" s="5">
        <f t="shared" ref="J125:J129" si="50">I125-H125</f>
        <v>0</v>
      </c>
      <c r="N125" s="83">
        <v>0</v>
      </c>
      <c r="Q125" t="s">
        <v>64</v>
      </c>
    </row>
    <row r="126" spans="1:17">
      <c r="A126" s="6">
        <v>46163</v>
      </c>
      <c r="B126" s="4"/>
      <c r="C126" s="4"/>
      <c r="D126" s="4">
        <v>45</v>
      </c>
      <c r="E126" s="4">
        <v>1</v>
      </c>
      <c r="F126" s="4">
        <v>50</v>
      </c>
      <c r="G126" s="10">
        <f t="shared" si="49"/>
        <v>0</v>
      </c>
      <c r="H126" s="4"/>
      <c r="I126" s="5">
        <f t="shared" si="48"/>
        <v>0</v>
      </c>
      <c r="J126" s="5">
        <f t="shared" si="50"/>
        <v>0</v>
      </c>
      <c r="N126" s="119">
        <v>0</v>
      </c>
    </row>
    <row r="127" spans="1:17">
      <c r="A127" s="6">
        <v>46164</v>
      </c>
      <c r="B127" s="4"/>
      <c r="C127" s="4"/>
      <c r="D127" s="4">
        <v>45</v>
      </c>
      <c r="E127" s="4">
        <v>1</v>
      </c>
      <c r="F127" s="4">
        <v>50</v>
      </c>
      <c r="G127" s="10">
        <f t="shared" si="49"/>
        <v>0</v>
      </c>
      <c r="H127" s="4"/>
      <c r="I127" s="5">
        <f t="shared" si="48"/>
        <v>0</v>
      </c>
      <c r="J127" s="5">
        <f t="shared" si="50"/>
        <v>0</v>
      </c>
      <c r="N127" s="119">
        <v>0</v>
      </c>
    </row>
    <row r="128" spans="1:17">
      <c r="A128" s="6">
        <v>46165</v>
      </c>
      <c r="B128" s="4"/>
      <c r="C128" s="4"/>
      <c r="D128" s="4">
        <v>65</v>
      </c>
      <c r="E128" s="4">
        <v>1</v>
      </c>
      <c r="F128" s="4">
        <v>50</v>
      </c>
      <c r="G128" s="10">
        <f t="shared" si="49"/>
        <v>0</v>
      </c>
      <c r="H128" s="4"/>
      <c r="I128" s="5">
        <f t="shared" si="48"/>
        <v>0</v>
      </c>
      <c r="J128" s="5">
        <f t="shared" si="50"/>
        <v>0</v>
      </c>
      <c r="N128" s="119">
        <v>0</v>
      </c>
    </row>
    <row r="129" spans="1:17" ht="16" thickBot="1">
      <c r="A129" s="6">
        <v>46166</v>
      </c>
      <c r="B129" s="4">
        <v>0</v>
      </c>
      <c r="C129" s="4">
        <v>0</v>
      </c>
      <c r="D129" s="4">
        <v>45</v>
      </c>
      <c r="E129" s="4">
        <v>0</v>
      </c>
      <c r="F129" s="4">
        <v>50</v>
      </c>
      <c r="G129" s="10">
        <f t="shared" si="49"/>
        <v>0</v>
      </c>
      <c r="H129" s="4"/>
      <c r="I129" s="5">
        <f>G129*D129</f>
        <v>0</v>
      </c>
      <c r="J129" s="5">
        <f t="shared" si="50"/>
        <v>0</v>
      </c>
      <c r="N129" s="119">
        <v>0</v>
      </c>
    </row>
    <row r="130" spans="1:17" s="86" customFormat="1" ht="19">
      <c r="A130" s="91" t="s">
        <v>1380</v>
      </c>
      <c r="B130" s="8">
        <f>SUM(B131:B136)</f>
        <v>1</v>
      </c>
      <c r="C130" s="8">
        <f>SUM(C131:C136)</f>
        <v>22</v>
      </c>
      <c r="D130" s="8">
        <f>SUM(D131)</f>
        <v>55</v>
      </c>
      <c r="E130" s="8">
        <f>SUM(E131:E136)</f>
        <v>4</v>
      </c>
      <c r="F130" s="8">
        <f>SUM(F131:F136)</f>
        <v>300</v>
      </c>
      <c r="G130" s="93">
        <f t="shared" si="49"/>
        <v>1.3666666666666667</v>
      </c>
      <c r="H130" s="8">
        <f>SUM(H131:H137)</f>
        <v>116.5</v>
      </c>
      <c r="I130" s="9">
        <f>SUM(I131:I137)</f>
        <v>75.166666666666671</v>
      </c>
      <c r="J130" s="9">
        <f t="shared" ref="J130:K130" si="51">SUM(J131:J137)</f>
        <v>-41.333333333333329</v>
      </c>
      <c r="K130" s="8">
        <f t="shared" si="51"/>
        <v>16</v>
      </c>
      <c r="L130" s="9">
        <v>0</v>
      </c>
      <c r="M130" s="96">
        <f>J130</f>
        <v>-41.333333333333329</v>
      </c>
      <c r="N130" s="102">
        <f>SUM(N131:N137)</f>
        <v>0</v>
      </c>
      <c r="O130" s="98">
        <f>-N130</f>
        <v>0</v>
      </c>
    </row>
    <row r="131" spans="1:17">
      <c r="A131" s="169" t="s">
        <v>1348</v>
      </c>
      <c r="B131" s="4">
        <v>1</v>
      </c>
      <c r="C131" s="4">
        <v>22</v>
      </c>
      <c r="D131" s="4">
        <v>55</v>
      </c>
      <c r="E131" s="4">
        <v>1</v>
      </c>
      <c r="F131" s="4">
        <v>50</v>
      </c>
      <c r="G131" s="10">
        <f>B131+C131/60</f>
        <v>1.3666666666666667</v>
      </c>
      <c r="H131" s="4">
        <f>50+66.5</f>
        <v>116.5</v>
      </c>
      <c r="I131" s="5">
        <f t="shared" ref="I131:I136" si="52">G131*D131</f>
        <v>75.166666666666671</v>
      </c>
      <c r="J131" s="5">
        <f>I131-H131</f>
        <v>-41.333333333333329</v>
      </c>
      <c r="K131">
        <v>16</v>
      </c>
      <c r="N131" s="119">
        <v>0</v>
      </c>
      <c r="O131" s="51"/>
      <c r="P131" t="s">
        <v>1381</v>
      </c>
    </row>
    <row r="132" spans="1:17">
      <c r="A132" s="169" t="s">
        <v>1356</v>
      </c>
      <c r="B132" s="4"/>
      <c r="C132" s="4"/>
      <c r="D132" s="4">
        <v>45</v>
      </c>
      <c r="E132" s="4">
        <v>1</v>
      </c>
      <c r="F132" s="4">
        <v>50</v>
      </c>
      <c r="G132" s="10">
        <f t="shared" ref="G132:G138" si="53">B132+C132/60</f>
        <v>0</v>
      </c>
      <c r="H132" s="4"/>
      <c r="I132" s="5">
        <f t="shared" si="52"/>
        <v>0</v>
      </c>
      <c r="J132" s="5">
        <f>I132-H132</f>
        <v>0</v>
      </c>
      <c r="N132" s="119">
        <v>0</v>
      </c>
    </row>
    <row r="133" spans="1:17">
      <c r="A133" s="169" t="s">
        <v>1352</v>
      </c>
      <c r="B133" s="4"/>
      <c r="C133" s="4"/>
      <c r="D133" s="4">
        <v>45</v>
      </c>
      <c r="E133" s="4">
        <v>0</v>
      </c>
      <c r="F133" s="4">
        <v>50</v>
      </c>
      <c r="G133" s="10">
        <f t="shared" si="53"/>
        <v>0</v>
      </c>
      <c r="H133" s="4"/>
      <c r="I133" s="5">
        <f t="shared" si="52"/>
        <v>0</v>
      </c>
      <c r="J133" s="5">
        <f t="shared" ref="J133:J137" si="54">I133-H133</f>
        <v>0</v>
      </c>
      <c r="N133" s="83">
        <v>0</v>
      </c>
      <c r="Q133" t="s">
        <v>64</v>
      </c>
    </row>
    <row r="134" spans="1:17">
      <c r="A134" s="169" t="s">
        <v>1358</v>
      </c>
      <c r="B134" s="4"/>
      <c r="C134" s="4"/>
      <c r="D134" s="4">
        <v>65</v>
      </c>
      <c r="E134" s="4">
        <v>1</v>
      </c>
      <c r="F134" s="4">
        <v>50</v>
      </c>
      <c r="G134" s="10">
        <f t="shared" si="53"/>
        <v>0</v>
      </c>
      <c r="H134" s="4"/>
      <c r="I134" s="5">
        <f t="shared" si="52"/>
        <v>0</v>
      </c>
      <c r="J134" s="5">
        <f t="shared" si="54"/>
        <v>0</v>
      </c>
      <c r="N134" s="119">
        <v>0</v>
      </c>
    </row>
    <row r="135" spans="1:17">
      <c r="A135" s="169" t="s">
        <v>1354</v>
      </c>
      <c r="B135" s="4"/>
      <c r="C135" s="4"/>
      <c r="D135" s="4">
        <v>45</v>
      </c>
      <c r="E135" s="4">
        <v>1</v>
      </c>
      <c r="F135" s="4">
        <v>50</v>
      </c>
      <c r="G135" s="10">
        <f t="shared" si="53"/>
        <v>0</v>
      </c>
      <c r="H135" s="4"/>
      <c r="I135" s="5">
        <f t="shared" si="52"/>
        <v>0</v>
      </c>
      <c r="J135" s="5">
        <f t="shared" si="54"/>
        <v>0</v>
      </c>
      <c r="N135" s="119">
        <v>0</v>
      </c>
    </row>
    <row r="136" spans="1:17">
      <c r="A136" s="169" t="s">
        <v>1355</v>
      </c>
      <c r="B136" s="4"/>
      <c r="C136" s="4"/>
      <c r="D136" s="4">
        <v>45</v>
      </c>
      <c r="E136" s="4">
        <v>0</v>
      </c>
      <c r="F136" s="4">
        <v>50</v>
      </c>
      <c r="G136" s="10">
        <f t="shared" si="53"/>
        <v>0</v>
      </c>
      <c r="H136" s="4"/>
      <c r="I136" s="5">
        <f t="shared" si="52"/>
        <v>0</v>
      </c>
      <c r="J136" s="5">
        <f t="shared" si="54"/>
        <v>0</v>
      </c>
      <c r="N136" s="119">
        <v>0</v>
      </c>
    </row>
    <row r="137" spans="1:17" ht="16" thickBot="1">
      <c r="A137" s="169" t="s">
        <v>1382</v>
      </c>
      <c r="B137" s="4"/>
      <c r="C137" s="4"/>
      <c r="D137" s="4">
        <v>45</v>
      </c>
      <c r="E137" s="4">
        <v>0</v>
      </c>
      <c r="F137" s="4">
        <v>50</v>
      </c>
      <c r="G137" s="10">
        <f t="shared" si="53"/>
        <v>0</v>
      </c>
      <c r="H137" s="4"/>
      <c r="I137" s="5">
        <f>G137*D137</f>
        <v>0</v>
      </c>
      <c r="J137" s="5">
        <f t="shared" si="54"/>
        <v>0</v>
      </c>
      <c r="N137" s="119">
        <v>0</v>
      </c>
    </row>
    <row r="138" spans="1:17" s="86" customFormat="1" ht="20" thickBot="1">
      <c r="A138" s="91" t="s">
        <v>528</v>
      </c>
      <c r="B138" s="8">
        <f>SUM(B139:B145)</f>
        <v>0</v>
      </c>
      <c r="C138" s="8">
        <f>SUM(C139:C145)</f>
        <v>0</v>
      </c>
      <c r="D138" s="8">
        <f>SUM(D139)</f>
        <v>45</v>
      </c>
      <c r="E138" s="8">
        <f>SUM(E139:E144)</f>
        <v>5</v>
      </c>
      <c r="F138" s="8">
        <f>SUM(F139:F144)</f>
        <v>300</v>
      </c>
      <c r="G138" s="93">
        <f t="shared" si="53"/>
        <v>0</v>
      </c>
      <c r="H138" s="8">
        <f>SUM(H139:H145)</f>
        <v>0</v>
      </c>
      <c r="I138" s="9">
        <f>SUM(I139:I145)</f>
        <v>0</v>
      </c>
      <c r="J138" s="14">
        <f>SUM(J139:J145)</f>
        <v>0</v>
      </c>
      <c r="K138" s="8">
        <f>SUM(K139:K145)</f>
        <v>0</v>
      </c>
      <c r="L138" s="9">
        <v>0</v>
      </c>
      <c r="M138" s="96">
        <f>J138</f>
        <v>0</v>
      </c>
      <c r="N138" s="102">
        <f>SUM(N139:N145)</f>
        <v>0</v>
      </c>
      <c r="O138" s="98">
        <f>-N138</f>
        <v>0</v>
      </c>
    </row>
    <row r="139" spans="1:17">
      <c r="A139" s="6">
        <v>46125</v>
      </c>
      <c r="B139" s="4"/>
      <c r="C139" s="4"/>
      <c r="D139" s="4">
        <v>45</v>
      </c>
      <c r="E139" s="4">
        <v>1</v>
      </c>
      <c r="F139" s="4">
        <v>50</v>
      </c>
      <c r="G139" s="10">
        <f>B139+C139/60</f>
        <v>0</v>
      </c>
      <c r="H139" s="4"/>
      <c r="I139" s="5">
        <f t="shared" ref="I139:I144" si="55">G139*D139</f>
        <v>0</v>
      </c>
      <c r="J139" s="5">
        <f>I139-H139</f>
        <v>0</v>
      </c>
      <c r="N139" s="119">
        <v>0</v>
      </c>
      <c r="O139" s="51"/>
    </row>
    <row r="140" spans="1:17">
      <c r="A140" s="6">
        <v>46126</v>
      </c>
      <c r="B140" s="4"/>
      <c r="C140" s="4"/>
      <c r="D140" s="4">
        <v>45</v>
      </c>
      <c r="E140" s="4">
        <v>1</v>
      </c>
      <c r="F140" s="4">
        <v>50</v>
      </c>
      <c r="G140" s="10">
        <f t="shared" ref="G140:G145" si="56">B140+C140/60</f>
        <v>0</v>
      </c>
      <c r="H140" s="4"/>
      <c r="I140" s="5">
        <f t="shared" si="55"/>
        <v>0</v>
      </c>
      <c r="J140" s="5">
        <f>I140-H140</f>
        <v>0</v>
      </c>
      <c r="N140" s="119">
        <v>0</v>
      </c>
    </row>
    <row r="141" spans="1:17">
      <c r="A141" s="6">
        <v>46127</v>
      </c>
      <c r="B141" s="4"/>
      <c r="C141" s="4"/>
      <c r="D141" s="4">
        <v>45</v>
      </c>
      <c r="E141" s="4">
        <v>1</v>
      </c>
      <c r="F141" s="4">
        <v>50</v>
      </c>
      <c r="G141" s="10">
        <f t="shared" si="56"/>
        <v>0</v>
      </c>
      <c r="H141" s="4"/>
      <c r="I141" s="5">
        <f t="shared" si="55"/>
        <v>0</v>
      </c>
      <c r="J141" s="5">
        <f t="shared" ref="J141:J145" si="57">I141-H141</f>
        <v>0</v>
      </c>
      <c r="N141" s="83">
        <v>0</v>
      </c>
      <c r="Q141" t="s">
        <v>64</v>
      </c>
    </row>
    <row r="142" spans="1:17">
      <c r="A142" s="6">
        <v>46128</v>
      </c>
      <c r="B142" s="4"/>
      <c r="C142" s="4"/>
      <c r="D142" s="4">
        <v>45</v>
      </c>
      <c r="E142" s="4">
        <v>1</v>
      </c>
      <c r="F142" s="4">
        <v>50</v>
      </c>
      <c r="G142" s="10">
        <f t="shared" si="56"/>
        <v>0</v>
      </c>
      <c r="H142" s="4"/>
      <c r="I142" s="5">
        <f t="shared" si="55"/>
        <v>0</v>
      </c>
      <c r="J142" s="5">
        <f t="shared" si="57"/>
        <v>0</v>
      </c>
      <c r="N142" s="119">
        <v>0</v>
      </c>
    </row>
    <row r="143" spans="1:17">
      <c r="A143" s="6">
        <v>46129</v>
      </c>
      <c r="B143" s="4"/>
      <c r="C143" s="4"/>
      <c r="D143" s="4">
        <v>45</v>
      </c>
      <c r="E143" s="4">
        <v>1</v>
      </c>
      <c r="F143" s="4">
        <v>50</v>
      </c>
      <c r="G143" s="10">
        <f t="shared" si="56"/>
        <v>0</v>
      </c>
      <c r="H143" s="4"/>
      <c r="I143" s="5">
        <f t="shared" si="55"/>
        <v>0</v>
      </c>
      <c r="J143" s="5">
        <f t="shared" si="57"/>
        <v>0</v>
      </c>
      <c r="N143" s="119">
        <v>0</v>
      </c>
    </row>
    <row r="144" spans="1:17">
      <c r="A144" s="6">
        <v>46130</v>
      </c>
      <c r="B144" s="4"/>
      <c r="C144" s="4"/>
      <c r="D144" s="4">
        <v>45</v>
      </c>
      <c r="E144" s="4">
        <v>0</v>
      </c>
      <c r="F144" s="4">
        <v>50</v>
      </c>
      <c r="G144" s="10">
        <f t="shared" si="56"/>
        <v>0</v>
      </c>
      <c r="H144" s="4"/>
      <c r="I144" s="5">
        <f t="shared" si="55"/>
        <v>0</v>
      </c>
      <c r="J144" s="5">
        <f t="shared" si="57"/>
        <v>0</v>
      </c>
      <c r="N144" s="119">
        <v>0</v>
      </c>
    </row>
    <row r="145" spans="1:17">
      <c r="A145" s="6">
        <v>46131</v>
      </c>
      <c r="B145" s="4">
        <v>0</v>
      </c>
      <c r="C145" s="4">
        <v>0</v>
      </c>
      <c r="D145" s="4">
        <v>45</v>
      </c>
      <c r="E145" s="4">
        <v>0</v>
      </c>
      <c r="F145" s="4">
        <v>50</v>
      </c>
      <c r="G145" s="10">
        <f t="shared" si="56"/>
        <v>0</v>
      </c>
      <c r="H145" s="4"/>
      <c r="I145" s="5">
        <f>G145*D145</f>
        <v>0</v>
      </c>
      <c r="J145" s="5">
        <f t="shared" si="57"/>
        <v>0</v>
      </c>
      <c r="N145" s="119">
        <v>0</v>
      </c>
    </row>
    <row r="146" spans="1:17" s="86" customFormat="1" ht="19">
      <c r="A146" s="91" t="s">
        <v>1121</v>
      </c>
      <c r="B146" s="8">
        <f>SUM(B147:B153)</f>
        <v>0</v>
      </c>
      <c r="C146" s="8">
        <f>SUM(C147:C153)</f>
        <v>0</v>
      </c>
      <c r="D146" s="126">
        <f>SUM(D147)</f>
        <v>45</v>
      </c>
      <c r="E146" s="126">
        <f>SUM(E147:E153)</f>
        <v>4</v>
      </c>
      <c r="F146" s="126">
        <f>SUM(F147:F153)</f>
        <v>350</v>
      </c>
      <c r="G146" s="123">
        <f>B146+C146/60</f>
        <v>0</v>
      </c>
      <c r="H146" s="8">
        <f>SUM(H147:H153)</f>
        <v>0</v>
      </c>
      <c r="I146" s="14">
        <f>SUM(I147:I153)</f>
        <v>0</v>
      </c>
      <c r="J146" s="14">
        <f>SUM(J147:J153)</f>
        <v>0</v>
      </c>
      <c r="K146" s="8">
        <f>SUM(K147:K153)</f>
        <v>0</v>
      </c>
      <c r="L146" s="9">
        <v>0</v>
      </c>
      <c r="M146" s="96">
        <f>J146</f>
        <v>0</v>
      </c>
      <c r="N146" s="102">
        <f>SUM(N147:N153)</f>
        <v>0</v>
      </c>
      <c r="O146" s="98">
        <f>-N146</f>
        <v>0</v>
      </c>
    </row>
    <row r="147" spans="1:17">
      <c r="A147" s="169" t="s">
        <v>595</v>
      </c>
      <c r="B147" s="4"/>
      <c r="C147" s="4"/>
      <c r="D147" s="4">
        <v>45</v>
      </c>
      <c r="E147" s="4">
        <v>0</v>
      </c>
      <c r="F147" s="4">
        <v>50</v>
      </c>
      <c r="G147" s="10">
        <f t="shared" ref="G147:G153" si="58">B147+C147/60</f>
        <v>0</v>
      </c>
      <c r="H147" s="4"/>
      <c r="I147" s="5">
        <f t="shared" ref="I147:I149" si="59">G147*D147</f>
        <v>0</v>
      </c>
      <c r="J147" s="5">
        <f t="shared" ref="J147:J153" si="60">I147-H147</f>
        <v>0</v>
      </c>
      <c r="N147" s="51">
        <v>0</v>
      </c>
      <c r="O147" s="51"/>
    </row>
    <row r="148" spans="1:17">
      <c r="A148" s="169" t="s">
        <v>1360</v>
      </c>
      <c r="B148" s="4"/>
      <c r="C148" s="4"/>
      <c r="D148" s="4">
        <v>45</v>
      </c>
      <c r="E148" s="4">
        <v>0</v>
      </c>
      <c r="F148" s="4">
        <v>50</v>
      </c>
      <c r="G148" s="10">
        <f t="shared" si="58"/>
        <v>0</v>
      </c>
      <c r="H148" s="4"/>
      <c r="I148" s="5">
        <f t="shared" si="59"/>
        <v>0</v>
      </c>
      <c r="J148" s="5">
        <f t="shared" si="60"/>
        <v>0</v>
      </c>
      <c r="N148" s="51">
        <v>0</v>
      </c>
    </row>
    <row r="149" spans="1:17">
      <c r="A149" s="169" t="s">
        <v>1361</v>
      </c>
      <c r="B149" s="4"/>
      <c r="C149" s="4"/>
      <c r="D149" s="4">
        <v>45</v>
      </c>
      <c r="E149" s="4">
        <v>0</v>
      </c>
      <c r="F149" s="4">
        <v>50</v>
      </c>
      <c r="G149" s="10">
        <f t="shared" si="58"/>
        <v>0</v>
      </c>
      <c r="H149" s="4"/>
      <c r="I149" s="5">
        <f t="shared" si="59"/>
        <v>0</v>
      </c>
      <c r="J149" s="5">
        <f t="shared" si="60"/>
        <v>0</v>
      </c>
      <c r="N149" s="51">
        <v>0</v>
      </c>
      <c r="Q149" t="s">
        <v>64</v>
      </c>
    </row>
    <row r="150" spans="1:17">
      <c r="A150" s="169" t="s">
        <v>1362</v>
      </c>
      <c r="B150" s="4"/>
      <c r="C150" s="4"/>
      <c r="D150" s="4">
        <v>55</v>
      </c>
      <c r="E150" s="4">
        <v>1</v>
      </c>
      <c r="F150" s="4">
        <v>50</v>
      </c>
      <c r="G150" s="10">
        <f t="shared" si="58"/>
        <v>0</v>
      </c>
      <c r="H150" s="4"/>
      <c r="I150" s="5">
        <f>G150*D150</f>
        <v>0</v>
      </c>
      <c r="J150" s="5">
        <f t="shared" si="60"/>
        <v>0</v>
      </c>
      <c r="N150" s="51">
        <v>0</v>
      </c>
    </row>
    <row r="151" spans="1:17">
      <c r="A151" s="169" t="s">
        <v>1363</v>
      </c>
      <c r="B151" s="4"/>
      <c r="C151" s="4"/>
      <c r="D151" s="4">
        <v>55</v>
      </c>
      <c r="E151" s="4">
        <v>1</v>
      </c>
      <c r="F151" s="4">
        <v>50</v>
      </c>
      <c r="G151" s="10">
        <f t="shared" si="58"/>
        <v>0</v>
      </c>
      <c r="H151" s="4"/>
      <c r="I151" s="5">
        <f t="shared" ref="I151:I153" si="61">G151*D151</f>
        <v>0</v>
      </c>
      <c r="J151" s="5">
        <f t="shared" si="60"/>
        <v>0</v>
      </c>
      <c r="N151" s="51">
        <v>0</v>
      </c>
    </row>
    <row r="152" spans="1:17">
      <c r="A152" s="169" t="s">
        <v>1364</v>
      </c>
      <c r="B152" s="4"/>
      <c r="C152" s="4"/>
      <c r="D152" s="4">
        <v>65</v>
      </c>
      <c r="E152" s="4">
        <v>1</v>
      </c>
      <c r="F152" s="4">
        <v>50</v>
      </c>
      <c r="G152" s="10">
        <f t="shared" si="58"/>
        <v>0</v>
      </c>
      <c r="H152" s="4"/>
      <c r="I152" s="5">
        <f t="shared" si="61"/>
        <v>0</v>
      </c>
      <c r="J152" s="5">
        <f t="shared" si="60"/>
        <v>0</v>
      </c>
      <c r="N152" s="51">
        <v>0</v>
      </c>
    </row>
    <row r="153" spans="1:17">
      <c r="A153" s="169" t="s">
        <v>1365</v>
      </c>
      <c r="B153" s="4"/>
      <c r="C153" s="4"/>
      <c r="D153" s="4">
        <v>55</v>
      </c>
      <c r="E153" s="4">
        <v>1</v>
      </c>
      <c r="F153" s="4">
        <v>50</v>
      </c>
      <c r="G153" s="10">
        <f t="shared" si="58"/>
        <v>0</v>
      </c>
      <c r="H153" s="4"/>
      <c r="I153" s="5">
        <f t="shared" si="61"/>
        <v>0</v>
      </c>
      <c r="J153" s="5">
        <f t="shared" si="60"/>
        <v>0</v>
      </c>
      <c r="N153" s="51">
        <v>0</v>
      </c>
    </row>
    <row r="154" spans="1:17" s="86" customFormat="1" ht="19">
      <c r="A154" s="91" t="s">
        <v>1124</v>
      </c>
      <c r="B154" s="8">
        <f>SUM(B155:B161)</f>
        <v>10</v>
      </c>
      <c r="C154" s="8">
        <f t="shared" ref="C154" si="62">SUM(C155:C161)</f>
        <v>50</v>
      </c>
      <c r="D154" s="126">
        <f>SUM(D155)</f>
        <v>55</v>
      </c>
      <c r="E154" s="126">
        <f t="shared" ref="E154:F154" si="63">SUM(E155:E161)</f>
        <v>2</v>
      </c>
      <c r="F154" s="126">
        <f t="shared" si="63"/>
        <v>350</v>
      </c>
      <c r="G154" s="123">
        <f t="shared" ref="G154:G159" si="64">B154+C154/60</f>
        <v>10.833333333333334</v>
      </c>
      <c r="H154" s="8">
        <f>SUM(H155:H161)</f>
        <v>50</v>
      </c>
      <c r="I154" s="14">
        <f>SUM(I155:I161)</f>
        <v>595.83333333333337</v>
      </c>
      <c r="J154" s="14">
        <f>SUM(J155:J161)</f>
        <v>545.83333333333337</v>
      </c>
      <c r="K154" s="8">
        <f>SUM(K155:K161)</f>
        <v>30</v>
      </c>
      <c r="L154" s="9">
        <v>0</v>
      </c>
      <c r="M154" s="96">
        <f>J154</f>
        <v>545.83333333333337</v>
      </c>
      <c r="N154" s="102">
        <f>SUM(N155:N161)</f>
        <v>0</v>
      </c>
      <c r="O154" s="98">
        <f>-N154</f>
        <v>0</v>
      </c>
    </row>
    <row r="155" spans="1:17">
      <c r="A155" s="169" t="s">
        <v>1348</v>
      </c>
      <c r="B155" s="4">
        <v>10</v>
      </c>
      <c r="C155" s="4">
        <v>50</v>
      </c>
      <c r="D155" s="4">
        <v>55</v>
      </c>
      <c r="E155" s="4">
        <v>0</v>
      </c>
      <c r="F155" s="4">
        <v>50</v>
      </c>
      <c r="G155" s="10">
        <f t="shared" si="64"/>
        <v>10.833333333333334</v>
      </c>
      <c r="H155" s="4">
        <v>50</v>
      </c>
      <c r="I155" s="5">
        <f t="shared" ref="I155:I157" si="65">G155*D155</f>
        <v>595.83333333333337</v>
      </c>
      <c r="J155" s="5">
        <f t="shared" ref="J155:J159" si="66">I155-H155</f>
        <v>545.83333333333337</v>
      </c>
      <c r="K155">
        <v>30</v>
      </c>
      <c r="N155" s="51">
        <v>0</v>
      </c>
      <c r="O155" s="51"/>
    </row>
    <row r="156" spans="1:17">
      <c r="A156" s="169" t="s">
        <v>1356</v>
      </c>
      <c r="B156" s="4"/>
      <c r="C156" s="4"/>
      <c r="D156" s="4">
        <v>45</v>
      </c>
      <c r="E156" s="4">
        <v>0</v>
      </c>
      <c r="F156" s="4">
        <v>50</v>
      </c>
      <c r="G156" s="10">
        <f t="shared" si="64"/>
        <v>0</v>
      </c>
      <c r="H156" s="4"/>
      <c r="I156" s="5">
        <f t="shared" si="65"/>
        <v>0</v>
      </c>
      <c r="J156" s="5">
        <f t="shared" si="66"/>
        <v>0</v>
      </c>
      <c r="N156" s="51">
        <v>0</v>
      </c>
    </row>
    <row r="157" spans="1:17">
      <c r="A157" s="169" t="s">
        <v>1368</v>
      </c>
      <c r="B157" s="4"/>
      <c r="C157" s="4"/>
      <c r="D157" s="4">
        <v>45</v>
      </c>
      <c r="E157" s="4">
        <v>0</v>
      </c>
      <c r="F157" s="4">
        <v>50</v>
      </c>
      <c r="G157" s="10">
        <f t="shared" si="64"/>
        <v>0</v>
      </c>
      <c r="H157" s="4"/>
      <c r="I157" s="5">
        <f t="shared" si="65"/>
        <v>0</v>
      </c>
      <c r="J157" s="5">
        <f t="shared" si="66"/>
        <v>0</v>
      </c>
      <c r="N157" s="51">
        <v>0</v>
      </c>
      <c r="Q157" t="s">
        <v>64</v>
      </c>
    </row>
    <row r="158" spans="1:17">
      <c r="A158" s="169" t="s">
        <v>1357</v>
      </c>
      <c r="B158" s="4"/>
      <c r="C158" s="4"/>
      <c r="D158" s="4">
        <v>45</v>
      </c>
      <c r="E158" s="4">
        <v>0</v>
      </c>
      <c r="F158" s="4">
        <v>50</v>
      </c>
      <c r="G158" s="10">
        <f t="shared" si="64"/>
        <v>0</v>
      </c>
      <c r="H158" s="4"/>
      <c r="I158" s="5">
        <f>G158*D158</f>
        <v>0</v>
      </c>
      <c r="J158" s="5">
        <f t="shared" si="66"/>
        <v>0</v>
      </c>
      <c r="N158" s="51">
        <v>0</v>
      </c>
    </row>
    <row r="159" spans="1:17">
      <c r="A159" s="169" t="s">
        <v>1358</v>
      </c>
      <c r="B159" s="4"/>
      <c r="C159" s="4"/>
      <c r="D159" s="4">
        <v>45</v>
      </c>
      <c r="E159" s="4">
        <v>0</v>
      </c>
      <c r="F159" s="4">
        <v>50</v>
      </c>
      <c r="G159" s="10">
        <f t="shared" si="64"/>
        <v>0</v>
      </c>
      <c r="H159" s="4"/>
      <c r="I159" s="5">
        <f t="shared" ref="I159" si="67">G159*D159</f>
        <v>0</v>
      </c>
      <c r="J159" s="5">
        <f t="shared" si="66"/>
        <v>0</v>
      </c>
      <c r="N159" s="51">
        <v>0</v>
      </c>
    </row>
    <row r="160" spans="1:17">
      <c r="A160" s="169" t="s">
        <v>1354</v>
      </c>
      <c r="B160" s="4"/>
      <c r="C160" s="4"/>
      <c r="D160" s="4">
        <v>45</v>
      </c>
      <c r="E160" s="4">
        <v>1</v>
      </c>
      <c r="F160" s="4">
        <v>50</v>
      </c>
      <c r="G160" s="10">
        <f>B160+C160/60</f>
        <v>0</v>
      </c>
      <c r="H160" s="4"/>
      <c r="I160" s="5">
        <f>G160*D160</f>
        <v>0</v>
      </c>
      <c r="J160" s="5">
        <f>I160-H160</f>
        <v>0</v>
      </c>
      <c r="N160" s="51">
        <v>0</v>
      </c>
    </row>
    <row r="161" spans="1:17">
      <c r="A161" s="169" t="s">
        <v>1383</v>
      </c>
      <c r="B161" s="4"/>
      <c r="C161" s="4"/>
      <c r="D161" s="4">
        <v>45</v>
      </c>
      <c r="E161" s="4">
        <v>1</v>
      </c>
      <c r="F161" s="4">
        <v>50</v>
      </c>
      <c r="G161" s="10">
        <f t="shared" ref="G161" si="68">B161+C161/60</f>
        <v>0</v>
      </c>
      <c r="H161" s="4"/>
      <c r="I161" s="5">
        <f t="shared" ref="I161" si="69">G161*D161</f>
        <v>0</v>
      </c>
      <c r="J161" s="5">
        <f t="shared" ref="J161" si="70">I161-H161</f>
        <v>0</v>
      </c>
      <c r="N161" s="51">
        <v>0</v>
      </c>
    </row>
    <row r="162" spans="1:17" s="86" customFormat="1" ht="19">
      <c r="A162" s="91" t="s">
        <v>530</v>
      </c>
      <c r="B162" s="8">
        <f>SUM(B163:B169)</f>
        <v>9</v>
      </c>
      <c r="C162" s="8">
        <f t="shared" ref="C162" si="71">SUM(C163:C169)</f>
        <v>19</v>
      </c>
      <c r="D162" s="126">
        <f>SUM(D163)</f>
        <v>55</v>
      </c>
      <c r="E162" s="126">
        <f t="shared" ref="E162:F162" si="72">SUM(E163:E169)</f>
        <v>4</v>
      </c>
      <c r="F162" s="126">
        <f t="shared" si="72"/>
        <v>350</v>
      </c>
      <c r="G162" s="123">
        <f t="shared" ref="G162:G191" si="73">B162+C162/60</f>
        <v>9.3166666666666664</v>
      </c>
      <c r="H162" s="8">
        <f>SUM(H163:H169)</f>
        <v>155.5</v>
      </c>
      <c r="I162" s="14">
        <f>SUM(I163:I169)</f>
        <v>512.41666666666663</v>
      </c>
      <c r="J162" s="14">
        <f>SUM(J163:J169)</f>
        <v>356.91666666666663</v>
      </c>
      <c r="K162" s="8">
        <f>SUM(K163:K169)</f>
        <v>28</v>
      </c>
      <c r="L162" s="9">
        <v>0</v>
      </c>
      <c r="M162" s="96">
        <f>J162</f>
        <v>356.91666666666663</v>
      </c>
      <c r="N162" s="102">
        <f>SUM(N163:N169)</f>
        <v>0</v>
      </c>
      <c r="O162" s="98">
        <f>-N162</f>
        <v>0</v>
      </c>
    </row>
    <row r="163" spans="1:17">
      <c r="A163" s="169">
        <v>46160</v>
      </c>
      <c r="B163" s="4">
        <v>0</v>
      </c>
      <c r="C163" s="4">
        <v>0</v>
      </c>
      <c r="D163" s="4">
        <v>55</v>
      </c>
      <c r="E163" s="4">
        <v>1</v>
      </c>
      <c r="F163" s="4">
        <v>50</v>
      </c>
      <c r="G163" s="10">
        <f>B163+C163/60</f>
        <v>0</v>
      </c>
      <c r="H163" s="4">
        <v>0</v>
      </c>
      <c r="I163" s="5">
        <v>0</v>
      </c>
      <c r="J163" s="5">
        <v>0</v>
      </c>
      <c r="N163" s="119">
        <v>0</v>
      </c>
      <c r="O163" s="51"/>
    </row>
    <row r="164" spans="1:17">
      <c r="A164" s="169">
        <v>46161</v>
      </c>
      <c r="B164" s="4">
        <v>9</v>
      </c>
      <c r="C164" s="4">
        <v>19</v>
      </c>
      <c r="D164" s="4">
        <v>55</v>
      </c>
      <c r="E164" s="4">
        <v>1</v>
      </c>
      <c r="F164" s="4">
        <v>50</v>
      </c>
      <c r="G164" s="10">
        <f t="shared" si="73"/>
        <v>9.3166666666666664</v>
      </c>
      <c r="H164" s="4">
        <f>50+105.5</f>
        <v>155.5</v>
      </c>
      <c r="I164" s="5">
        <f t="shared" ref="I164:I169" si="74">G164*D164</f>
        <v>512.41666666666663</v>
      </c>
      <c r="J164" s="5">
        <f t="shared" ref="J164:J169" si="75">I164-H164</f>
        <v>356.91666666666663</v>
      </c>
      <c r="K164">
        <v>28</v>
      </c>
      <c r="N164" s="119">
        <v>0</v>
      </c>
      <c r="P164" t="s">
        <v>1384</v>
      </c>
    </row>
    <row r="165" spans="1:17">
      <c r="A165" s="169">
        <v>46162</v>
      </c>
      <c r="B165" s="4"/>
      <c r="C165" s="4"/>
      <c r="D165" s="4">
        <v>45</v>
      </c>
      <c r="E165" s="4">
        <v>1</v>
      </c>
      <c r="F165" s="4">
        <v>50</v>
      </c>
      <c r="G165" s="10">
        <f t="shared" si="73"/>
        <v>0</v>
      </c>
      <c r="H165" s="4"/>
      <c r="I165" s="5">
        <f t="shared" si="74"/>
        <v>0</v>
      </c>
      <c r="J165" s="5">
        <f t="shared" si="75"/>
        <v>0</v>
      </c>
      <c r="N165" s="119">
        <v>0</v>
      </c>
      <c r="Q165" t="s">
        <v>64</v>
      </c>
    </row>
    <row r="166" spans="1:17">
      <c r="A166" s="169">
        <v>46163</v>
      </c>
      <c r="B166" s="4"/>
      <c r="C166" s="4"/>
      <c r="D166" s="4">
        <v>45</v>
      </c>
      <c r="E166" s="4">
        <v>0</v>
      </c>
      <c r="F166" s="4">
        <v>50</v>
      </c>
      <c r="G166" s="10">
        <f t="shared" si="73"/>
        <v>0</v>
      </c>
      <c r="H166" s="4"/>
      <c r="I166" s="5">
        <f t="shared" si="74"/>
        <v>0</v>
      </c>
      <c r="J166" s="5">
        <f t="shared" si="75"/>
        <v>0</v>
      </c>
      <c r="N166" s="119">
        <v>0</v>
      </c>
    </row>
    <row r="167" spans="1:17">
      <c r="A167" s="169">
        <v>46164</v>
      </c>
      <c r="B167" s="4"/>
      <c r="C167" s="4"/>
      <c r="D167" s="4">
        <v>45</v>
      </c>
      <c r="E167" s="4">
        <v>1</v>
      </c>
      <c r="F167" s="4">
        <v>50</v>
      </c>
      <c r="G167" s="10">
        <f t="shared" si="73"/>
        <v>0</v>
      </c>
      <c r="H167" s="4"/>
      <c r="I167" s="5">
        <f t="shared" si="74"/>
        <v>0</v>
      </c>
      <c r="J167" s="5">
        <f t="shared" si="75"/>
        <v>0</v>
      </c>
      <c r="N167" s="119">
        <v>0</v>
      </c>
    </row>
    <row r="168" spans="1:17">
      <c r="A168" s="169">
        <v>46165</v>
      </c>
      <c r="B168" s="4"/>
      <c r="C168" s="4"/>
      <c r="D168" s="4">
        <v>45</v>
      </c>
      <c r="E168" s="4">
        <v>0</v>
      </c>
      <c r="F168" s="4">
        <v>50</v>
      </c>
      <c r="G168" s="10">
        <f t="shared" si="73"/>
        <v>0</v>
      </c>
      <c r="H168" s="4"/>
      <c r="I168" s="5">
        <f t="shared" si="74"/>
        <v>0</v>
      </c>
      <c r="J168" s="5">
        <f t="shared" si="75"/>
        <v>0</v>
      </c>
      <c r="N168" s="119">
        <v>0</v>
      </c>
    </row>
    <row r="169" spans="1:17" ht="16" thickBot="1">
      <c r="A169" s="169">
        <v>46166</v>
      </c>
      <c r="B169" s="4"/>
      <c r="C169" s="4"/>
      <c r="D169" s="4">
        <v>45</v>
      </c>
      <c r="E169" s="4">
        <v>0</v>
      </c>
      <c r="F169" s="4">
        <v>50</v>
      </c>
      <c r="G169" s="10">
        <f t="shared" si="73"/>
        <v>0</v>
      </c>
      <c r="H169" s="4"/>
      <c r="I169" s="5">
        <f t="shared" si="74"/>
        <v>0</v>
      </c>
      <c r="J169" s="5">
        <f t="shared" si="75"/>
        <v>0</v>
      </c>
      <c r="N169" s="119">
        <v>0</v>
      </c>
    </row>
    <row r="170" spans="1:17" s="86" customFormat="1" ht="19">
      <c r="A170" s="91" t="s">
        <v>1131</v>
      </c>
      <c r="B170" s="8">
        <f>SUM(B171:B177)</f>
        <v>0</v>
      </c>
      <c r="C170" s="8">
        <f>SUM(C171:C177)</f>
        <v>0</v>
      </c>
      <c r="D170" s="126">
        <f>SUM(D171)</f>
        <v>45</v>
      </c>
      <c r="E170" s="126">
        <f>SUM(E171:E177)</f>
        <v>3</v>
      </c>
      <c r="F170" s="126">
        <f>SUM(F171:F177)</f>
        <v>250</v>
      </c>
      <c r="G170" s="123">
        <f t="shared" si="73"/>
        <v>0</v>
      </c>
      <c r="H170" s="8">
        <f>SUM(H171:H177)</f>
        <v>0</v>
      </c>
      <c r="I170" s="8">
        <f>SUM(I171:I177)</f>
        <v>0</v>
      </c>
      <c r="J170" s="8">
        <f>SUM(J171:J177)</f>
        <v>0</v>
      </c>
      <c r="K170" s="8">
        <f>SUM(K171:K177)</f>
        <v>0</v>
      </c>
      <c r="L170" s="9">
        <v>0</v>
      </c>
      <c r="M170" s="96">
        <f>J170</f>
        <v>0</v>
      </c>
      <c r="N170" s="102">
        <f>SUM(N171:N177)</f>
        <v>0</v>
      </c>
      <c r="O170" s="98">
        <f>-N170</f>
        <v>0</v>
      </c>
    </row>
    <row r="171" spans="1:17">
      <c r="A171" s="6">
        <v>46125</v>
      </c>
      <c r="B171" s="4"/>
      <c r="C171" s="4"/>
      <c r="D171" s="4">
        <v>45</v>
      </c>
      <c r="E171" s="4">
        <v>0</v>
      </c>
      <c r="F171" s="4">
        <v>0</v>
      </c>
      <c r="G171" s="10">
        <f t="shared" si="73"/>
        <v>0</v>
      </c>
      <c r="H171" s="4"/>
      <c r="I171" s="5">
        <f>G171*D171</f>
        <v>0</v>
      </c>
      <c r="J171" s="5">
        <f t="shared" ref="J171:J176" si="76">I171-H171</f>
        <v>0</v>
      </c>
      <c r="N171" s="134">
        <v>0</v>
      </c>
      <c r="O171" s="51"/>
    </row>
    <row r="172" spans="1:17">
      <c r="A172" s="6">
        <v>46126</v>
      </c>
      <c r="B172" s="4"/>
      <c r="C172" s="4"/>
      <c r="D172" s="4">
        <v>45</v>
      </c>
      <c r="E172" s="4">
        <v>1</v>
      </c>
      <c r="F172" s="4">
        <v>50</v>
      </c>
      <c r="G172" s="10">
        <f t="shared" si="73"/>
        <v>0</v>
      </c>
      <c r="H172" s="4"/>
      <c r="I172" s="5">
        <f>G172*D172</f>
        <v>0</v>
      </c>
      <c r="J172" s="5">
        <f>I172-H172</f>
        <v>0</v>
      </c>
      <c r="N172" s="83">
        <v>0</v>
      </c>
    </row>
    <row r="173" spans="1:17">
      <c r="A173" s="6">
        <v>46127</v>
      </c>
      <c r="B173" s="4"/>
      <c r="C173" s="4"/>
      <c r="D173" s="4">
        <v>45</v>
      </c>
      <c r="E173" s="4">
        <v>1</v>
      </c>
      <c r="F173" s="4">
        <v>50</v>
      </c>
      <c r="G173" s="10">
        <f t="shared" si="73"/>
        <v>0</v>
      </c>
      <c r="H173" s="4"/>
      <c r="I173" s="5">
        <f t="shared" ref="I173:I176" si="77">G173*D173</f>
        <v>0</v>
      </c>
      <c r="J173" s="5">
        <f>I173-H173</f>
        <v>0</v>
      </c>
      <c r="N173" s="83">
        <v>0</v>
      </c>
      <c r="Q173" t="s">
        <v>64</v>
      </c>
    </row>
    <row r="174" spans="1:17">
      <c r="A174" s="6">
        <v>46128</v>
      </c>
      <c r="B174" s="4"/>
      <c r="C174" s="4"/>
      <c r="D174" s="4">
        <v>45</v>
      </c>
      <c r="E174" s="4">
        <v>0</v>
      </c>
      <c r="F174" s="4">
        <v>0</v>
      </c>
      <c r="G174" s="10">
        <f t="shared" si="73"/>
        <v>0</v>
      </c>
      <c r="H174" s="4"/>
      <c r="I174" s="5">
        <f t="shared" si="77"/>
        <v>0</v>
      </c>
      <c r="J174" s="5" t="s">
        <v>774</v>
      </c>
      <c r="N174" s="83">
        <v>0</v>
      </c>
    </row>
    <row r="175" spans="1:17">
      <c r="A175" s="6">
        <v>46129</v>
      </c>
      <c r="B175" s="4"/>
      <c r="C175" s="4"/>
      <c r="D175" s="4">
        <v>45</v>
      </c>
      <c r="E175" s="4">
        <v>1</v>
      </c>
      <c r="F175" s="4">
        <v>50</v>
      </c>
      <c r="G175" s="10">
        <f t="shared" si="73"/>
        <v>0</v>
      </c>
      <c r="H175" s="4"/>
      <c r="I175" s="5">
        <f t="shared" si="77"/>
        <v>0</v>
      </c>
      <c r="J175" s="5">
        <f t="shared" si="76"/>
        <v>0</v>
      </c>
      <c r="N175" s="119">
        <v>0</v>
      </c>
    </row>
    <row r="176" spans="1:17">
      <c r="A176" s="6">
        <v>46130</v>
      </c>
      <c r="B176" s="4"/>
      <c r="C176" s="4"/>
      <c r="D176" s="12">
        <v>45</v>
      </c>
      <c r="E176" s="12">
        <v>0</v>
      </c>
      <c r="F176" s="12">
        <v>50</v>
      </c>
      <c r="G176" s="10">
        <f t="shared" si="73"/>
        <v>0</v>
      </c>
      <c r="H176" s="4"/>
      <c r="I176" s="5">
        <f t="shared" si="77"/>
        <v>0</v>
      </c>
      <c r="J176" s="5">
        <f t="shared" si="76"/>
        <v>0</v>
      </c>
      <c r="N176" s="119">
        <v>0</v>
      </c>
    </row>
    <row r="177" spans="1:17">
      <c r="A177" s="6">
        <v>46131</v>
      </c>
      <c r="B177" s="4"/>
      <c r="C177" s="172"/>
      <c r="D177" s="167">
        <v>45</v>
      </c>
      <c r="E177" s="167">
        <v>0</v>
      </c>
      <c r="F177" s="167">
        <v>50</v>
      </c>
      <c r="G177" s="174">
        <v>0</v>
      </c>
      <c r="H177" s="4"/>
      <c r="I177" s="5" t="s">
        <v>774</v>
      </c>
      <c r="J177" s="5" t="s">
        <v>774</v>
      </c>
      <c r="N177" s="119">
        <v>0</v>
      </c>
    </row>
    <row r="178" spans="1:17" s="86" customFormat="1" ht="19">
      <c r="A178" s="91" t="s">
        <v>1288</v>
      </c>
      <c r="B178" s="8">
        <f>SUM(B179:B185)</f>
        <v>7</v>
      </c>
      <c r="C178" s="8">
        <f t="shared" ref="C178" si="78">SUM(C179:C185)</f>
        <v>11</v>
      </c>
      <c r="D178" s="126">
        <f>SUM(D179)</f>
        <v>45</v>
      </c>
      <c r="E178" s="126">
        <f t="shared" ref="E178:F178" si="79">SUM(E179:E185)</f>
        <v>6</v>
      </c>
      <c r="F178" s="126">
        <f t="shared" si="79"/>
        <v>350</v>
      </c>
      <c r="G178" s="123">
        <f t="shared" ref="G178:G183" si="80">B178+C178/60</f>
        <v>7.1833333333333336</v>
      </c>
      <c r="H178" s="8">
        <f>SUM(H179:H185)</f>
        <v>229</v>
      </c>
      <c r="I178" s="14">
        <f>SUM(I179:I185)</f>
        <v>323.25</v>
      </c>
      <c r="J178" s="14">
        <f>SUM(J179:J185)</f>
        <v>94.25</v>
      </c>
      <c r="K178" s="8">
        <f>SUM(K179:K185)</f>
        <v>21</v>
      </c>
      <c r="L178" s="9">
        <v>0</v>
      </c>
      <c r="M178" s="96">
        <f>J178</f>
        <v>94.25</v>
      </c>
      <c r="N178" s="102">
        <f>SUM(N179:N185)</f>
        <v>0</v>
      </c>
      <c r="O178" s="98">
        <f>-N178</f>
        <v>0</v>
      </c>
    </row>
    <row r="179" spans="1:17">
      <c r="A179" s="169" t="s">
        <v>1385</v>
      </c>
      <c r="B179" s="4"/>
      <c r="C179" s="4"/>
      <c r="D179" s="4">
        <v>45</v>
      </c>
      <c r="E179" s="4">
        <v>1</v>
      </c>
      <c r="F179" s="4">
        <v>50</v>
      </c>
      <c r="G179" s="10">
        <f t="shared" si="80"/>
        <v>0</v>
      </c>
      <c r="H179" s="4"/>
      <c r="I179" s="5">
        <f t="shared" ref="I179:I181" si="81">G179*D179</f>
        <v>0</v>
      </c>
      <c r="J179" s="5">
        <f t="shared" ref="J179:J183" si="82">I179-H179</f>
        <v>0</v>
      </c>
      <c r="N179" s="51">
        <v>0</v>
      </c>
      <c r="O179" s="51"/>
    </row>
    <row r="180" spans="1:17">
      <c r="A180" s="169" t="s">
        <v>1386</v>
      </c>
      <c r="B180" s="4">
        <v>7</v>
      </c>
      <c r="C180" s="4">
        <v>11</v>
      </c>
      <c r="D180" s="4">
        <v>45</v>
      </c>
      <c r="E180" s="4">
        <v>1</v>
      </c>
      <c r="F180" s="4">
        <v>50</v>
      </c>
      <c r="G180" s="10">
        <f t="shared" si="80"/>
        <v>7.1833333333333336</v>
      </c>
      <c r="H180" s="4">
        <f>50+179</f>
        <v>229</v>
      </c>
      <c r="I180" s="5">
        <f t="shared" si="81"/>
        <v>323.25</v>
      </c>
      <c r="J180" s="5">
        <f t="shared" si="82"/>
        <v>94.25</v>
      </c>
      <c r="K180">
        <v>21</v>
      </c>
      <c r="N180" s="51">
        <v>0</v>
      </c>
      <c r="P180" t="s">
        <v>1387</v>
      </c>
    </row>
    <row r="181" spans="1:17">
      <c r="A181" s="169" t="s">
        <v>1368</v>
      </c>
      <c r="B181" s="4"/>
      <c r="C181" s="4"/>
      <c r="D181" s="4">
        <v>55</v>
      </c>
      <c r="E181" s="4">
        <v>1</v>
      </c>
      <c r="F181" s="4">
        <v>50</v>
      </c>
      <c r="G181" s="10">
        <f t="shared" si="80"/>
        <v>0</v>
      </c>
      <c r="H181" s="4"/>
      <c r="I181" s="5">
        <f t="shared" si="81"/>
        <v>0</v>
      </c>
      <c r="J181" s="5">
        <f t="shared" si="82"/>
        <v>0</v>
      </c>
      <c r="N181" s="51">
        <v>0</v>
      </c>
      <c r="Q181" t="s">
        <v>64</v>
      </c>
    </row>
    <row r="182" spans="1:17">
      <c r="A182" s="169" t="s">
        <v>1388</v>
      </c>
      <c r="B182" s="4"/>
      <c r="C182" s="4"/>
      <c r="D182" s="4">
        <v>55</v>
      </c>
      <c r="E182" s="4">
        <v>1</v>
      </c>
      <c r="F182" s="4">
        <v>50</v>
      </c>
      <c r="G182" s="10">
        <f t="shared" si="80"/>
        <v>0</v>
      </c>
      <c r="H182" s="4"/>
      <c r="I182" s="5">
        <f>G182*D182</f>
        <v>0</v>
      </c>
      <c r="J182" s="5">
        <f t="shared" si="82"/>
        <v>0</v>
      </c>
      <c r="N182" s="51">
        <v>0</v>
      </c>
    </row>
    <row r="183" spans="1:17">
      <c r="A183" s="169" t="s">
        <v>1389</v>
      </c>
      <c r="B183" s="4"/>
      <c r="C183" s="4"/>
      <c r="D183" s="4">
        <v>55</v>
      </c>
      <c r="E183" s="4">
        <v>1</v>
      </c>
      <c r="F183" s="4">
        <v>50</v>
      </c>
      <c r="G183" s="10">
        <f t="shared" si="80"/>
        <v>0</v>
      </c>
      <c r="H183" s="4"/>
      <c r="I183" s="5">
        <f t="shared" ref="I183" si="83">G183*D183</f>
        <v>0</v>
      </c>
      <c r="J183" s="5">
        <f t="shared" si="82"/>
        <v>0</v>
      </c>
      <c r="N183" s="51">
        <v>0</v>
      </c>
    </row>
    <row r="184" spans="1:17">
      <c r="A184" s="169" t="s">
        <v>1390</v>
      </c>
      <c r="B184" s="4"/>
      <c r="C184" s="4"/>
      <c r="D184" s="4">
        <v>55</v>
      </c>
      <c r="E184" s="4">
        <v>1</v>
      </c>
      <c r="F184" s="4">
        <v>50</v>
      </c>
      <c r="G184" s="10">
        <f>B184+C184/60</f>
        <v>0</v>
      </c>
      <c r="H184" s="4"/>
      <c r="I184" s="5">
        <f>G184*D184</f>
        <v>0</v>
      </c>
      <c r="J184" s="5">
        <f>I184-H184</f>
        <v>0</v>
      </c>
      <c r="N184" s="51">
        <v>0</v>
      </c>
    </row>
    <row r="185" spans="1:17" ht="16" thickBot="1">
      <c r="A185" s="169" t="s">
        <v>1355</v>
      </c>
      <c r="B185" s="4"/>
      <c r="C185" s="4"/>
      <c r="D185" s="4">
        <v>45</v>
      </c>
      <c r="E185" s="4">
        <v>0</v>
      </c>
      <c r="F185" s="4">
        <v>50</v>
      </c>
      <c r="G185" s="10">
        <f>B185+C185/60</f>
        <v>0</v>
      </c>
      <c r="H185" s="4"/>
      <c r="I185" s="5">
        <f t="shared" ref="I185" si="84">G185*D185</f>
        <v>0</v>
      </c>
      <c r="J185" s="5">
        <f t="shared" ref="J185" si="85">I185-H185</f>
        <v>0</v>
      </c>
      <c r="N185" s="51">
        <v>0</v>
      </c>
    </row>
    <row r="186" spans="1:17" s="86" customFormat="1" ht="19">
      <c r="A186" s="91" t="s">
        <v>533</v>
      </c>
      <c r="B186" s="8">
        <f>SUM(B187:B193)</f>
        <v>11</v>
      </c>
      <c r="C186" s="8">
        <f>SUM(C187:C193)</f>
        <v>0</v>
      </c>
      <c r="D186" s="126">
        <f>SUM(D187)</f>
        <v>45</v>
      </c>
      <c r="E186" s="126">
        <f>SUM(E187:E201)</f>
        <v>13</v>
      </c>
      <c r="F186" s="126">
        <f>SUM(F187:F193)</f>
        <v>300</v>
      </c>
      <c r="G186" s="123">
        <f t="shared" si="73"/>
        <v>11</v>
      </c>
      <c r="H186" s="8">
        <f>SUM(H187:H193)</f>
        <v>50</v>
      </c>
      <c r="I186" s="14">
        <f>SUM(I187:I193)</f>
        <v>495</v>
      </c>
      <c r="J186" s="14">
        <f>SUM(J187:J193)</f>
        <v>445</v>
      </c>
      <c r="K186" s="8">
        <f>SUM(K187:K193)</f>
        <v>22</v>
      </c>
      <c r="L186" s="9">
        <v>0</v>
      </c>
      <c r="M186" s="96">
        <f>J186</f>
        <v>445</v>
      </c>
      <c r="N186" s="102">
        <f>SUM(N187:N193)</f>
        <v>0</v>
      </c>
      <c r="O186" s="98">
        <f>-N186</f>
        <v>0</v>
      </c>
    </row>
    <row r="187" spans="1:17">
      <c r="A187" s="169" t="s">
        <v>1348</v>
      </c>
      <c r="B187" s="4">
        <v>11</v>
      </c>
      <c r="C187" s="4"/>
      <c r="D187" s="4">
        <v>45</v>
      </c>
      <c r="E187" s="4">
        <v>1</v>
      </c>
      <c r="F187" s="4">
        <v>50</v>
      </c>
      <c r="G187" s="10">
        <f t="shared" si="73"/>
        <v>11</v>
      </c>
      <c r="H187" s="4">
        <v>50</v>
      </c>
      <c r="I187" s="5">
        <f t="shared" ref="I187:I189" si="86">G187*D187</f>
        <v>495</v>
      </c>
      <c r="J187" s="5">
        <f t="shared" ref="J187:J191" si="87">I187-H187</f>
        <v>445</v>
      </c>
      <c r="K187">
        <v>22</v>
      </c>
      <c r="N187" s="51">
        <v>0</v>
      </c>
      <c r="O187" s="51"/>
    </row>
    <row r="188" spans="1:17">
      <c r="A188" s="169" t="s">
        <v>1356</v>
      </c>
      <c r="B188" s="4"/>
      <c r="C188" s="4"/>
      <c r="D188" s="4">
        <v>45</v>
      </c>
      <c r="E188" s="4">
        <v>0</v>
      </c>
      <c r="F188" s="4">
        <v>50</v>
      </c>
      <c r="G188" s="10">
        <f t="shared" si="73"/>
        <v>0</v>
      </c>
      <c r="H188" s="4"/>
      <c r="I188" s="5">
        <f t="shared" si="86"/>
        <v>0</v>
      </c>
      <c r="J188" s="5">
        <f t="shared" si="87"/>
        <v>0</v>
      </c>
      <c r="N188" s="51">
        <v>0</v>
      </c>
    </row>
    <row r="189" spans="1:17">
      <c r="A189" s="169" t="s">
        <v>1391</v>
      </c>
      <c r="B189" s="4"/>
      <c r="C189" s="4"/>
      <c r="D189" s="4">
        <v>45</v>
      </c>
      <c r="E189" s="4">
        <v>1</v>
      </c>
      <c r="F189" s="4">
        <v>50</v>
      </c>
      <c r="G189" s="10">
        <f t="shared" si="73"/>
        <v>0</v>
      </c>
      <c r="H189" s="4"/>
      <c r="I189" s="5">
        <f t="shared" si="86"/>
        <v>0</v>
      </c>
      <c r="J189" s="5">
        <f t="shared" si="87"/>
        <v>0</v>
      </c>
      <c r="N189" s="51">
        <v>0</v>
      </c>
      <c r="Q189" t="s">
        <v>64</v>
      </c>
    </row>
    <row r="190" spans="1:17">
      <c r="A190" s="169" t="s">
        <v>1352</v>
      </c>
      <c r="B190" s="4"/>
      <c r="C190" s="4"/>
      <c r="D190" s="4">
        <v>45</v>
      </c>
      <c r="E190" s="4">
        <v>1</v>
      </c>
      <c r="F190" s="4">
        <v>50</v>
      </c>
      <c r="G190" s="10">
        <f t="shared" si="73"/>
        <v>0</v>
      </c>
      <c r="H190" s="4"/>
      <c r="I190" s="5">
        <f>G190*D190</f>
        <v>0</v>
      </c>
      <c r="J190" s="5">
        <f t="shared" si="87"/>
        <v>0</v>
      </c>
      <c r="N190" s="51">
        <v>0</v>
      </c>
    </row>
    <row r="191" spans="1:17">
      <c r="A191" s="169" t="s">
        <v>1358</v>
      </c>
      <c r="B191" s="4"/>
      <c r="C191" s="4"/>
      <c r="D191" s="4">
        <v>45</v>
      </c>
      <c r="E191" s="4">
        <v>0</v>
      </c>
      <c r="F191" s="4">
        <v>50</v>
      </c>
      <c r="G191" s="10">
        <f t="shared" si="73"/>
        <v>0</v>
      </c>
      <c r="H191" s="4"/>
      <c r="I191" s="5">
        <f t="shared" ref="I191" si="88">G191*D191</f>
        <v>0</v>
      </c>
      <c r="J191" s="5">
        <f t="shared" si="87"/>
        <v>0</v>
      </c>
      <c r="N191" s="51">
        <v>0</v>
      </c>
    </row>
    <row r="192" spans="1:17">
      <c r="A192" s="169" t="s">
        <v>1354</v>
      </c>
      <c r="B192" s="4"/>
      <c r="C192" s="4"/>
      <c r="D192" s="12">
        <v>45</v>
      </c>
      <c r="E192" s="12">
        <v>0</v>
      </c>
      <c r="F192" s="12">
        <v>50</v>
      </c>
      <c r="G192" s="10">
        <v>0</v>
      </c>
      <c r="H192" s="4"/>
      <c r="I192" s="5">
        <v>0</v>
      </c>
      <c r="J192" s="5">
        <v>0</v>
      </c>
      <c r="N192" s="51">
        <v>0</v>
      </c>
    </row>
    <row r="193" spans="1:17">
      <c r="A193" s="169" t="s">
        <v>1383</v>
      </c>
      <c r="B193" s="4"/>
      <c r="C193" s="172"/>
      <c r="D193" s="167"/>
      <c r="E193" s="167"/>
      <c r="F193" s="167"/>
      <c r="G193" s="174"/>
      <c r="H193" s="4"/>
      <c r="I193" s="5"/>
      <c r="J193" s="5"/>
      <c r="N193" s="51">
        <v>0</v>
      </c>
    </row>
    <row r="194" spans="1:17" s="86" customFormat="1" ht="19">
      <c r="A194" s="91" t="s">
        <v>1150</v>
      </c>
      <c r="B194" s="8">
        <f>SUM(B195:B201)</f>
        <v>11</v>
      </c>
      <c r="C194" s="8">
        <f>SUM(C195:C201)</f>
        <v>0</v>
      </c>
      <c r="D194" s="126">
        <f>SUM(D195)</f>
        <v>45</v>
      </c>
      <c r="E194" s="126">
        <f>SUM(E195:E201)</f>
        <v>5</v>
      </c>
      <c r="F194" s="126">
        <f>SUM(F195:F201)</f>
        <v>350</v>
      </c>
      <c r="G194" s="123">
        <f>B194+C194/60</f>
        <v>11</v>
      </c>
      <c r="H194" s="8">
        <f>SUM(H195:H201)</f>
        <v>50</v>
      </c>
      <c r="I194" s="14">
        <f>SUM(I195:I201)</f>
        <v>495</v>
      </c>
      <c r="J194" s="14">
        <f>SUM(J195:J201)</f>
        <v>445</v>
      </c>
      <c r="K194" s="8">
        <f>SUM(K195:K201)</f>
        <v>22</v>
      </c>
      <c r="L194" s="9">
        <v>0</v>
      </c>
      <c r="M194" s="96">
        <f>J194</f>
        <v>445</v>
      </c>
      <c r="N194" s="102">
        <f>SUM(N195:N201)</f>
        <v>0</v>
      </c>
      <c r="O194" s="98">
        <f>-N194</f>
        <v>0</v>
      </c>
    </row>
    <row r="195" spans="1:17">
      <c r="A195" s="6">
        <v>46160</v>
      </c>
      <c r="B195" s="4"/>
      <c r="C195" s="4"/>
      <c r="D195" s="4">
        <v>45</v>
      </c>
      <c r="E195" s="4">
        <v>0</v>
      </c>
      <c r="F195" s="4">
        <v>50</v>
      </c>
      <c r="G195" s="10">
        <f t="shared" ref="G195:G199" si="89">B195+C195/60</f>
        <v>0</v>
      </c>
      <c r="H195" s="4"/>
      <c r="I195" s="5">
        <f t="shared" ref="I195:I197" si="90">G195*D195</f>
        <v>0</v>
      </c>
      <c r="J195" s="5">
        <f t="shared" ref="J195:J199" si="91">I195-H195</f>
        <v>0</v>
      </c>
      <c r="N195" s="51">
        <v>0</v>
      </c>
      <c r="O195" s="51"/>
    </row>
    <row r="196" spans="1:17">
      <c r="A196" s="6">
        <v>46161</v>
      </c>
      <c r="B196" s="4">
        <v>11</v>
      </c>
      <c r="C196" s="4"/>
      <c r="D196" s="4">
        <v>45</v>
      </c>
      <c r="E196" s="4">
        <v>1</v>
      </c>
      <c r="F196" s="4">
        <v>50</v>
      </c>
      <c r="G196" s="10">
        <f t="shared" si="89"/>
        <v>11</v>
      </c>
      <c r="H196" s="4">
        <v>50</v>
      </c>
      <c r="I196" s="5">
        <f t="shared" si="90"/>
        <v>495</v>
      </c>
      <c r="J196" s="5">
        <f t="shared" si="91"/>
        <v>445</v>
      </c>
      <c r="K196">
        <v>22</v>
      </c>
      <c r="N196" s="51">
        <v>0</v>
      </c>
    </row>
    <row r="197" spans="1:17">
      <c r="A197" s="6">
        <v>46162</v>
      </c>
      <c r="B197" s="4"/>
      <c r="C197" s="4"/>
      <c r="D197" s="4">
        <v>45</v>
      </c>
      <c r="E197" s="4">
        <v>1</v>
      </c>
      <c r="F197" s="4">
        <v>50</v>
      </c>
      <c r="G197" s="10">
        <f t="shared" si="89"/>
        <v>0</v>
      </c>
      <c r="H197" s="4"/>
      <c r="I197" s="5">
        <f t="shared" si="90"/>
        <v>0</v>
      </c>
      <c r="J197" s="5">
        <f t="shared" si="91"/>
        <v>0</v>
      </c>
      <c r="N197" s="51">
        <v>0</v>
      </c>
      <c r="Q197" t="s">
        <v>64</v>
      </c>
    </row>
    <row r="198" spans="1:17">
      <c r="A198" s="6">
        <v>46163</v>
      </c>
      <c r="B198" s="4"/>
      <c r="C198" s="4"/>
      <c r="D198" s="4">
        <v>45</v>
      </c>
      <c r="E198" s="4">
        <v>1</v>
      </c>
      <c r="F198" s="4">
        <v>50</v>
      </c>
      <c r="G198" s="10">
        <f t="shared" si="89"/>
        <v>0</v>
      </c>
      <c r="H198" s="4"/>
      <c r="I198" s="5">
        <f>G198*D198</f>
        <v>0</v>
      </c>
      <c r="J198" s="5">
        <f t="shared" si="91"/>
        <v>0</v>
      </c>
      <c r="N198" s="51">
        <v>0</v>
      </c>
    </row>
    <row r="199" spans="1:17">
      <c r="A199" s="6">
        <v>46164</v>
      </c>
      <c r="B199" s="4"/>
      <c r="C199" s="4"/>
      <c r="D199" s="4">
        <v>45</v>
      </c>
      <c r="E199" s="4">
        <v>1</v>
      </c>
      <c r="F199" s="4">
        <v>50</v>
      </c>
      <c r="G199" s="10">
        <f t="shared" si="89"/>
        <v>0</v>
      </c>
      <c r="H199" s="4"/>
      <c r="I199" s="5">
        <f t="shared" ref="I199" si="92">G199*D199</f>
        <v>0</v>
      </c>
      <c r="J199" s="5">
        <f t="shared" si="91"/>
        <v>0</v>
      </c>
      <c r="N199" s="51">
        <v>0</v>
      </c>
    </row>
    <row r="200" spans="1:17">
      <c r="A200" s="6">
        <v>46165</v>
      </c>
      <c r="B200" s="4"/>
      <c r="C200" s="4"/>
      <c r="D200" s="4">
        <v>45</v>
      </c>
      <c r="E200" s="4">
        <v>1</v>
      </c>
      <c r="F200" s="4">
        <v>50</v>
      </c>
      <c r="G200" s="10">
        <v>0</v>
      </c>
      <c r="H200" s="4"/>
      <c r="I200" s="5">
        <f>G200*D200</f>
        <v>0</v>
      </c>
      <c r="J200" s="5">
        <f>I200-H200</f>
        <v>0</v>
      </c>
      <c r="N200" s="51">
        <v>0</v>
      </c>
    </row>
    <row r="201" spans="1:17">
      <c r="A201" s="6">
        <v>46166</v>
      </c>
      <c r="B201" s="4">
        <v>0</v>
      </c>
      <c r="C201" s="4">
        <v>0</v>
      </c>
      <c r="D201" s="4">
        <v>45</v>
      </c>
      <c r="E201" s="4">
        <v>0</v>
      </c>
      <c r="F201" s="4">
        <v>50</v>
      </c>
      <c r="G201" s="10">
        <f t="shared" ref="G201" si="93">B201+C201/60</f>
        <v>0</v>
      </c>
      <c r="H201" s="4"/>
      <c r="I201" s="5">
        <f t="shared" ref="I201" si="94">G201*D201</f>
        <v>0</v>
      </c>
      <c r="J201" s="5">
        <f t="shared" ref="J201" si="95">I201-H201</f>
        <v>0</v>
      </c>
      <c r="N201" s="51">
        <v>0</v>
      </c>
    </row>
    <row r="202" spans="1:17" s="86" customFormat="1" ht="19">
      <c r="A202" s="91" t="s">
        <v>1392</v>
      </c>
      <c r="B202" s="8">
        <f>SUM(B203:B208)</f>
        <v>8</v>
      </c>
      <c r="C202" s="8">
        <f>SUM(C203:C208)</f>
        <v>32</v>
      </c>
      <c r="D202" s="126">
        <f>SUM(D203)</f>
        <v>45</v>
      </c>
      <c r="E202" s="126">
        <f>SUM(E203:E208)</f>
        <v>0</v>
      </c>
      <c r="F202" s="126">
        <f>SUM(F203:F208)</f>
        <v>300</v>
      </c>
      <c r="G202" s="123">
        <f t="shared" ref="G202:G209" si="96">B202+C202/60</f>
        <v>8.5333333333333332</v>
      </c>
      <c r="H202" s="8">
        <f>SUM(H203:H209)</f>
        <v>232.5</v>
      </c>
      <c r="I202" s="14">
        <f>SUM(I203:I208)</f>
        <v>384</v>
      </c>
      <c r="J202" s="14">
        <f>SUM(J203:J208)</f>
        <v>151.5</v>
      </c>
      <c r="K202" s="8">
        <f>SUM(K203:K208)</f>
        <v>12</v>
      </c>
      <c r="L202" s="9">
        <v>0</v>
      </c>
      <c r="M202" s="96">
        <f>J202</f>
        <v>151.5</v>
      </c>
      <c r="N202" s="102">
        <f>SUM(N203:N208)</f>
        <v>0</v>
      </c>
      <c r="O202" s="98"/>
    </row>
    <row r="203" spans="1:17">
      <c r="A203" s="6">
        <v>46160</v>
      </c>
      <c r="B203" s="4"/>
      <c r="C203" s="4"/>
      <c r="D203" s="4">
        <v>45</v>
      </c>
      <c r="E203" s="4">
        <v>0</v>
      </c>
      <c r="F203" s="4">
        <v>50</v>
      </c>
      <c r="G203" s="10">
        <f t="shared" si="96"/>
        <v>0</v>
      </c>
      <c r="H203" s="4"/>
      <c r="I203" s="5">
        <f t="shared" ref="I203:I205" si="97">G203*D203</f>
        <v>0</v>
      </c>
      <c r="J203" s="5">
        <f t="shared" ref="J203:J209" si="98">I203-H203</f>
        <v>0</v>
      </c>
      <c r="N203" s="51">
        <v>0</v>
      </c>
      <c r="O203" s="51"/>
    </row>
    <row r="204" spans="1:17">
      <c r="A204" s="6">
        <v>46161</v>
      </c>
      <c r="B204" s="4">
        <v>8</v>
      </c>
      <c r="C204" s="4">
        <v>32</v>
      </c>
      <c r="D204" s="4">
        <v>45</v>
      </c>
      <c r="E204" s="4">
        <v>0</v>
      </c>
      <c r="F204" s="4">
        <v>50</v>
      </c>
      <c r="G204" s="10">
        <f t="shared" si="96"/>
        <v>8.5333333333333332</v>
      </c>
      <c r="H204" s="4">
        <f>50+182.5</f>
        <v>232.5</v>
      </c>
      <c r="I204" s="5">
        <f t="shared" si="97"/>
        <v>384</v>
      </c>
      <c r="J204" s="5">
        <f t="shared" si="98"/>
        <v>151.5</v>
      </c>
      <c r="K204">
        <v>12</v>
      </c>
      <c r="N204" s="51">
        <v>0</v>
      </c>
      <c r="P204" t="s">
        <v>1393</v>
      </c>
    </row>
    <row r="205" spans="1:17">
      <c r="A205" s="6">
        <v>46162</v>
      </c>
      <c r="B205" s="4"/>
      <c r="C205" s="4"/>
      <c r="D205" s="4">
        <v>45</v>
      </c>
      <c r="E205" s="4">
        <v>0</v>
      </c>
      <c r="F205" s="4">
        <v>50</v>
      </c>
      <c r="G205" s="10">
        <f t="shared" si="96"/>
        <v>0</v>
      </c>
      <c r="H205" s="4"/>
      <c r="I205" s="5">
        <f t="shared" si="97"/>
        <v>0</v>
      </c>
      <c r="J205" s="5">
        <f t="shared" si="98"/>
        <v>0</v>
      </c>
      <c r="N205" s="51">
        <v>0</v>
      </c>
      <c r="Q205" t="s">
        <v>64</v>
      </c>
    </row>
    <row r="206" spans="1:17">
      <c r="A206" s="6">
        <v>46163</v>
      </c>
      <c r="B206" s="4"/>
      <c r="C206" s="4"/>
      <c r="D206" s="4">
        <v>45</v>
      </c>
      <c r="E206" s="4">
        <v>0</v>
      </c>
      <c r="F206" s="4">
        <v>50</v>
      </c>
      <c r="G206" s="10">
        <f t="shared" si="96"/>
        <v>0</v>
      </c>
      <c r="H206" s="4"/>
      <c r="I206" s="5">
        <f>G206*D206</f>
        <v>0</v>
      </c>
      <c r="J206" s="5">
        <f t="shared" si="98"/>
        <v>0</v>
      </c>
      <c r="N206" s="51">
        <v>0</v>
      </c>
    </row>
    <row r="207" spans="1:17">
      <c r="A207" s="6">
        <v>46164</v>
      </c>
      <c r="B207" s="4"/>
      <c r="C207" s="4"/>
      <c r="D207" s="4">
        <v>45</v>
      </c>
      <c r="E207" s="4">
        <v>0</v>
      </c>
      <c r="F207" s="4">
        <v>50</v>
      </c>
      <c r="G207" s="10">
        <f t="shared" si="96"/>
        <v>0</v>
      </c>
      <c r="H207" s="4"/>
      <c r="I207" s="5">
        <f t="shared" ref="I207:I209" si="99">G207*D207</f>
        <v>0</v>
      </c>
      <c r="J207" s="5">
        <f t="shared" si="98"/>
        <v>0</v>
      </c>
      <c r="N207" s="51">
        <v>0</v>
      </c>
    </row>
    <row r="208" spans="1:17">
      <c r="A208" s="6">
        <v>46165</v>
      </c>
      <c r="B208" s="4"/>
      <c r="C208" s="4"/>
      <c r="D208" s="4">
        <v>45</v>
      </c>
      <c r="E208" s="4">
        <v>0</v>
      </c>
      <c r="F208" s="4">
        <v>50</v>
      </c>
      <c r="G208" s="10">
        <f t="shared" si="96"/>
        <v>0</v>
      </c>
      <c r="H208" s="4"/>
      <c r="I208" s="5">
        <f t="shared" si="99"/>
        <v>0</v>
      </c>
      <c r="J208" s="5">
        <f t="shared" si="98"/>
        <v>0</v>
      </c>
      <c r="N208" s="51">
        <v>0</v>
      </c>
    </row>
    <row r="209" spans="1:17">
      <c r="A209" s="6">
        <v>46166</v>
      </c>
      <c r="B209" s="4"/>
      <c r="C209" s="4"/>
      <c r="D209" s="7">
        <v>45</v>
      </c>
      <c r="E209" s="7">
        <v>1</v>
      </c>
      <c r="F209" s="7">
        <v>50</v>
      </c>
      <c r="G209" s="10">
        <f t="shared" si="96"/>
        <v>0</v>
      </c>
      <c r="H209" s="4"/>
      <c r="I209" s="5">
        <f t="shared" si="99"/>
        <v>0</v>
      </c>
      <c r="J209" s="5">
        <f t="shared" si="98"/>
        <v>0</v>
      </c>
      <c r="N209" s="51">
        <v>0</v>
      </c>
    </row>
    <row r="210" spans="1:17" s="86" customFormat="1" ht="20" thickBot="1">
      <c r="A210" s="91" t="s">
        <v>542</v>
      </c>
      <c r="B210" s="8">
        <f>SUM(B211:B217)</f>
        <v>0</v>
      </c>
      <c r="C210" s="8">
        <f t="shared" ref="C210" si="100">SUM(C211:C217)</f>
        <v>0</v>
      </c>
      <c r="D210" s="126">
        <f>SUM(D211)</f>
        <v>45</v>
      </c>
      <c r="E210" s="126">
        <f t="shared" ref="E210:F210" si="101">SUM(E211:E217)</f>
        <v>6</v>
      </c>
      <c r="F210" s="126">
        <f t="shared" si="101"/>
        <v>350</v>
      </c>
      <c r="G210" s="123">
        <f t="shared" ref="G210:G215" si="102">B210+C210/60</f>
        <v>0</v>
      </c>
      <c r="H210" s="8">
        <f>SUM(H211:H217)</f>
        <v>0</v>
      </c>
      <c r="I210" s="14">
        <f>SUM(I211:I217)</f>
        <v>0</v>
      </c>
      <c r="J210" s="14">
        <f>SUM(J211:J217)</f>
        <v>0</v>
      </c>
      <c r="K210" s="8">
        <f>SUM(K211:K217)</f>
        <v>0</v>
      </c>
      <c r="L210" s="9">
        <v>0</v>
      </c>
      <c r="M210" s="96">
        <f>J210</f>
        <v>0</v>
      </c>
      <c r="N210" s="102">
        <f>SUM(N211:N217)</f>
        <v>0</v>
      </c>
      <c r="O210" s="98">
        <f>-N210</f>
        <v>0</v>
      </c>
    </row>
    <row r="211" spans="1:17">
      <c r="A211" s="169" t="s">
        <v>595</v>
      </c>
      <c r="B211" s="4"/>
      <c r="C211" s="4"/>
      <c r="D211" s="4">
        <v>45</v>
      </c>
      <c r="E211" s="4">
        <v>1</v>
      </c>
      <c r="F211" s="4">
        <v>50</v>
      </c>
      <c r="G211" s="10">
        <f t="shared" si="102"/>
        <v>0</v>
      </c>
      <c r="H211" s="4"/>
      <c r="I211" s="5">
        <f t="shared" ref="I211:I213" si="103">G211*D211</f>
        <v>0</v>
      </c>
      <c r="J211" s="5">
        <f t="shared" ref="J211:J215" si="104">I211-H211</f>
        <v>0</v>
      </c>
      <c r="N211" s="51">
        <v>0</v>
      </c>
      <c r="O211" s="51"/>
    </row>
    <row r="212" spans="1:17">
      <c r="A212" s="169" t="s">
        <v>1360</v>
      </c>
      <c r="B212" s="4"/>
      <c r="C212" s="4"/>
      <c r="D212" s="4">
        <v>55</v>
      </c>
      <c r="E212" s="4">
        <v>1</v>
      </c>
      <c r="F212" s="4">
        <v>50</v>
      </c>
      <c r="G212" s="10">
        <f t="shared" si="102"/>
        <v>0</v>
      </c>
      <c r="H212" s="4"/>
      <c r="I212" s="5">
        <f t="shared" si="103"/>
        <v>0</v>
      </c>
      <c r="J212" s="5">
        <f t="shared" si="104"/>
        <v>0</v>
      </c>
      <c r="N212" s="51">
        <v>0</v>
      </c>
    </row>
    <row r="213" spans="1:17">
      <c r="A213" s="169" t="s">
        <v>1361</v>
      </c>
      <c r="B213" s="4"/>
      <c r="C213" s="4"/>
      <c r="D213" s="4">
        <v>45</v>
      </c>
      <c r="E213" s="4">
        <v>1</v>
      </c>
      <c r="F213" s="4">
        <v>50</v>
      </c>
      <c r="G213" s="10">
        <f t="shared" si="102"/>
        <v>0</v>
      </c>
      <c r="H213" s="4"/>
      <c r="I213" s="5">
        <f t="shared" si="103"/>
        <v>0</v>
      </c>
      <c r="J213" s="5">
        <f t="shared" si="104"/>
        <v>0</v>
      </c>
      <c r="N213" s="51">
        <v>0</v>
      </c>
      <c r="Q213" t="s">
        <v>64</v>
      </c>
    </row>
    <row r="214" spans="1:17">
      <c r="A214" s="169" t="s">
        <v>1362</v>
      </c>
      <c r="B214" s="4"/>
      <c r="C214" s="4"/>
      <c r="D214" s="4">
        <v>45</v>
      </c>
      <c r="E214" s="4">
        <v>1</v>
      </c>
      <c r="F214" s="4">
        <v>50</v>
      </c>
      <c r="G214" s="10">
        <f t="shared" si="102"/>
        <v>0</v>
      </c>
      <c r="H214" s="4"/>
      <c r="I214" s="5">
        <f>G214*D214</f>
        <v>0</v>
      </c>
      <c r="J214" s="5">
        <f t="shared" si="104"/>
        <v>0</v>
      </c>
      <c r="N214" s="51">
        <v>0</v>
      </c>
    </row>
    <row r="215" spans="1:17">
      <c r="A215" s="169" t="s">
        <v>1363</v>
      </c>
      <c r="B215" s="4"/>
      <c r="C215" s="4"/>
      <c r="D215" s="4">
        <v>55</v>
      </c>
      <c r="E215" s="4">
        <v>1</v>
      </c>
      <c r="F215" s="4">
        <v>50</v>
      </c>
      <c r="G215" s="10">
        <f t="shared" si="102"/>
        <v>0</v>
      </c>
      <c r="H215" s="4"/>
      <c r="I215" s="5">
        <f t="shared" ref="I215" si="105">G215*D215</f>
        <v>0</v>
      </c>
      <c r="J215" s="5">
        <f t="shared" si="104"/>
        <v>0</v>
      </c>
      <c r="N215" s="51">
        <v>0</v>
      </c>
    </row>
    <row r="216" spans="1:17">
      <c r="A216" s="169" t="s">
        <v>1364</v>
      </c>
      <c r="B216" s="4"/>
      <c r="C216" s="4"/>
      <c r="D216" s="4">
        <v>45</v>
      </c>
      <c r="E216" s="4">
        <v>1</v>
      </c>
      <c r="F216" s="4">
        <v>50</v>
      </c>
      <c r="G216" s="10">
        <f>B216+C216/60</f>
        <v>0</v>
      </c>
      <c r="H216" s="4"/>
      <c r="I216" s="5">
        <f>G216*D216</f>
        <v>0</v>
      </c>
      <c r="J216" s="5">
        <f>I216-H216</f>
        <v>0</v>
      </c>
      <c r="N216" s="51">
        <v>0</v>
      </c>
    </row>
    <row r="217" spans="1:17" ht="16" thickBot="1">
      <c r="A217" s="169" t="s">
        <v>1365</v>
      </c>
      <c r="B217" s="4"/>
      <c r="C217" s="4"/>
      <c r="D217" s="4">
        <v>45</v>
      </c>
      <c r="E217" s="4">
        <v>0</v>
      </c>
      <c r="F217" s="4">
        <v>50</v>
      </c>
      <c r="G217" s="10">
        <f t="shared" ref="G217:G223" si="106">B217+C217/60</f>
        <v>0</v>
      </c>
      <c r="H217" s="4"/>
      <c r="I217" s="5">
        <f t="shared" ref="I217" si="107">G217*D217</f>
        <v>0</v>
      </c>
      <c r="J217" s="5">
        <f t="shared" ref="J217" si="108">I217-H217</f>
        <v>0</v>
      </c>
      <c r="N217" s="51">
        <v>0</v>
      </c>
    </row>
    <row r="218" spans="1:17" s="86" customFormat="1" ht="19">
      <c r="A218" s="91" t="s">
        <v>548</v>
      </c>
      <c r="B218" s="8">
        <f>SUM(B219:B225)</f>
        <v>0</v>
      </c>
      <c r="C218" s="8">
        <f>SUM(C219:C225)</f>
        <v>0</v>
      </c>
      <c r="D218" s="126">
        <f>SUM(D219)</f>
        <v>45</v>
      </c>
      <c r="E218" s="126">
        <f>SUM(E219:E233)</f>
        <v>16</v>
      </c>
      <c r="F218" s="126">
        <f>SUM(F219:F225)</f>
        <v>350</v>
      </c>
      <c r="G218" s="123">
        <f t="shared" si="106"/>
        <v>0</v>
      </c>
      <c r="H218" s="8">
        <f>SUM(H219:H225)</f>
        <v>0</v>
      </c>
      <c r="I218" s="14">
        <f>SUM(I219:I225)</f>
        <v>0</v>
      </c>
      <c r="J218" s="14">
        <f>SUM(J219:J225)</f>
        <v>0</v>
      </c>
      <c r="K218" s="176">
        <f>SUM(K219:K225)</f>
        <v>0</v>
      </c>
      <c r="L218" s="9">
        <v>0</v>
      </c>
      <c r="M218" s="96">
        <f>J218</f>
        <v>0</v>
      </c>
      <c r="N218" s="102">
        <f>SUM(N219:N225)</f>
        <v>0</v>
      </c>
      <c r="O218" s="98">
        <f>-N218</f>
        <v>0</v>
      </c>
    </row>
    <row r="219" spans="1:17">
      <c r="A219" s="6">
        <v>46125</v>
      </c>
      <c r="B219" s="4"/>
      <c r="C219" s="4"/>
      <c r="D219" s="4">
        <v>45</v>
      </c>
      <c r="E219" s="4">
        <v>1</v>
      </c>
      <c r="F219" s="4">
        <v>50</v>
      </c>
      <c r="G219" s="10">
        <f t="shared" si="106"/>
        <v>0</v>
      </c>
      <c r="H219" s="4"/>
      <c r="I219" s="5">
        <f t="shared" ref="I219:I221" si="109">G219*D219</f>
        <v>0</v>
      </c>
      <c r="J219" s="5">
        <f t="shared" ref="J219:J223" si="110">I219-H219</f>
        <v>0</v>
      </c>
      <c r="N219" s="51">
        <v>0</v>
      </c>
      <c r="O219" s="51"/>
    </row>
    <row r="220" spans="1:17">
      <c r="A220" s="6">
        <v>46126</v>
      </c>
      <c r="B220" s="4"/>
      <c r="C220" s="4"/>
      <c r="D220" s="4">
        <v>45</v>
      </c>
      <c r="E220" s="4">
        <v>1</v>
      </c>
      <c r="F220" s="4">
        <v>50</v>
      </c>
      <c r="G220" s="10">
        <f t="shared" si="106"/>
        <v>0</v>
      </c>
      <c r="H220" s="4"/>
      <c r="I220" s="5">
        <f t="shared" si="109"/>
        <v>0</v>
      </c>
      <c r="J220" s="5">
        <f t="shared" si="110"/>
        <v>0</v>
      </c>
      <c r="N220" s="51">
        <v>0</v>
      </c>
    </row>
    <row r="221" spans="1:17">
      <c r="A221" s="6">
        <v>46127</v>
      </c>
      <c r="B221" s="4"/>
      <c r="C221" s="4"/>
      <c r="D221" s="4">
        <v>45</v>
      </c>
      <c r="E221" s="4">
        <v>1</v>
      </c>
      <c r="F221" s="4">
        <v>50</v>
      </c>
      <c r="G221" s="10">
        <f t="shared" si="106"/>
        <v>0</v>
      </c>
      <c r="H221" s="4"/>
      <c r="I221" s="5">
        <f t="shared" si="109"/>
        <v>0</v>
      </c>
      <c r="J221" s="5">
        <f t="shared" si="110"/>
        <v>0</v>
      </c>
      <c r="N221" s="51">
        <v>0</v>
      </c>
      <c r="Q221" t="s">
        <v>64</v>
      </c>
    </row>
    <row r="222" spans="1:17">
      <c r="A222" s="6">
        <v>46128</v>
      </c>
      <c r="B222" s="4"/>
      <c r="C222" s="4"/>
      <c r="D222" s="4">
        <v>45</v>
      </c>
      <c r="E222" s="4">
        <v>1</v>
      </c>
      <c r="F222" s="4">
        <v>50</v>
      </c>
      <c r="G222" s="10">
        <f t="shared" si="106"/>
        <v>0</v>
      </c>
      <c r="H222" s="4"/>
      <c r="I222" s="5">
        <f>G222*D222</f>
        <v>0</v>
      </c>
      <c r="J222" s="5">
        <f t="shared" si="110"/>
        <v>0</v>
      </c>
      <c r="N222" s="51">
        <v>0</v>
      </c>
    </row>
    <row r="223" spans="1:17">
      <c r="A223" s="6">
        <v>46129</v>
      </c>
      <c r="B223" s="4"/>
      <c r="C223" s="4"/>
      <c r="D223" s="4">
        <v>45</v>
      </c>
      <c r="E223" s="4">
        <v>1</v>
      </c>
      <c r="F223" s="4">
        <v>50</v>
      </c>
      <c r="G223" s="10">
        <f t="shared" si="106"/>
        <v>0</v>
      </c>
      <c r="H223" s="4"/>
      <c r="I223" s="5">
        <f t="shared" ref="I223" si="111">G223*D223</f>
        <v>0</v>
      </c>
      <c r="J223" s="5">
        <f t="shared" si="110"/>
        <v>0</v>
      </c>
      <c r="N223" s="51">
        <v>0</v>
      </c>
    </row>
    <row r="224" spans="1:17">
      <c r="A224" s="6">
        <v>46130</v>
      </c>
      <c r="B224" s="4"/>
      <c r="C224" s="4"/>
      <c r="D224" s="4">
        <v>45</v>
      </c>
      <c r="E224" s="4">
        <v>1</v>
      </c>
      <c r="F224" s="4">
        <v>50</v>
      </c>
      <c r="G224" s="10">
        <f>B224+C224/60</f>
        <v>0</v>
      </c>
      <c r="H224" s="4"/>
      <c r="I224" s="5">
        <f>G224*D224</f>
        <v>0</v>
      </c>
      <c r="J224" s="5">
        <f>I224-H224</f>
        <v>0</v>
      </c>
      <c r="N224" s="51">
        <v>0</v>
      </c>
    </row>
    <row r="225" spans="1:17">
      <c r="A225" s="6">
        <v>46131</v>
      </c>
      <c r="B225" s="4"/>
      <c r="C225" s="4"/>
      <c r="D225" s="4">
        <v>45</v>
      </c>
      <c r="E225" s="4">
        <v>0</v>
      </c>
      <c r="F225" s="4">
        <v>50</v>
      </c>
      <c r="G225" s="10">
        <f>B225+C225/60</f>
        <v>0</v>
      </c>
      <c r="H225" s="4"/>
      <c r="I225" s="5">
        <f>G225*D225</f>
        <v>0</v>
      </c>
      <c r="J225" s="5">
        <f>I225-H225</f>
        <v>0</v>
      </c>
      <c r="N225" s="51" t="s">
        <v>774</v>
      </c>
    </row>
    <row r="226" spans="1:17" s="86" customFormat="1" ht="19">
      <c r="A226" s="91" t="s">
        <v>1166</v>
      </c>
      <c r="B226" s="8">
        <f>SUM(B227:B233)</f>
        <v>0</v>
      </c>
      <c r="C226" s="8">
        <f>SUM(C227:C233)</f>
        <v>0</v>
      </c>
      <c r="D226" s="8">
        <f>SUM(D227)</f>
        <v>45</v>
      </c>
      <c r="E226" s="8">
        <f>SUM(E227:E233)</f>
        <v>5</v>
      </c>
      <c r="F226" s="8">
        <f>SUM(F227:F233)</f>
        <v>350</v>
      </c>
      <c r="G226" s="93">
        <f t="shared" ref="G226" si="112">B226+C226/60</f>
        <v>0</v>
      </c>
      <c r="H226" s="8">
        <f>SUM(H227:H233)</f>
        <v>0</v>
      </c>
      <c r="I226" s="9">
        <f>SUM(I227:I233)</f>
        <v>0</v>
      </c>
      <c r="J226" s="14">
        <f>SUM(J227:J233)</f>
        <v>0</v>
      </c>
      <c r="K226" s="8">
        <f>SUM(K227:K233)</f>
        <v>0</v>
      </c>
      <c r="L226" s="9">
        <v>0</v>
      </c>
      <c r="M226" s="96">
        <f>J226</f>
        <v>0</v>
      </c>
      <c r="N226" s="102">
        <f>SUM(N227:N233)</f>
        <v>0</v>
      </c>
      <c r="O226" s="98">
        <f>-N226</f>
        <v>0</v>
      </c>
    </row>
    <row r="227" spans="1:17" ht="19">
      <c r="A227" s="169" t="s">
        <v>1394</v>
      </c>
      <c r="B227" s="4"/>
      <c r="C227" s="4"/>
      <c r="D227" s="4">
        <v>45</v>
      </c>
      <c r="E227" s="4">
        <v>1</v>
      </c>
      <c r="F227" s="4">
        <v>50</v>
      </c>
      <c r="G227" s="10">
        <f>B227+C227/60</f>
        <v>0</v>
      </c>
      <c r="H227" s="4"/>
      <c r="I227" s="5">
        <f>G227*D227</f>
        <v>0</v>
      </c>
      <c r="J227" s="5">
        <f>I227-H227</f>
        <v>0</v>
      </c>
      <c r="N227" s="51">
        <v>0</v>
      </c>
      <c r="O227" s="49"/>
    </row>
    <row r="228" spans="1:17">
      <c r="A228" s="169" t="s">
        <v>1360</v>
      </c>
      <c r="B228" s="4"/>
      <c r="C228" s="4"/>
      <c r="D228" s="4">
        <v>45</v>
      </c>
      <c r="E228" s="4">
        <v>1</v>
      </c>
      <c r="F228" s="4">
        <v>50</v>
      </c>
      <c r="G228" s="10">
        <f t="shared" ref="G228:G229" si="113">B228+C228/60</f>
        <v>0</v>
      </c>
      <c r="H228" s="4"/>
      <c r="I228" s="5">
        <f t="shared" ref="I228" si="114">G228*D228</f>
        <v>0</v>
      </c>
      <c r="J228" s="5">
        <f>I228-H228</f>
        <v>0</v>
      </c>
      <c r="N228" s="51">
        <v>0</v>
      </c>
    </row>
    <row r="229" spans="1:17">
      <c r="A229" s="169" t="s">
        <v>1361</v>
      </c>
      <c r="B229" s="4"/>
      <c r="C229" s="4"/>
      <c r="D229" s="4">
        <v>45</v>
      </c>
      <c r="E229" s="4">
        <v>1</v>
      </c>
      <c r="F229" s="4">
        <v>50</v>
      </c>
      <c r="G229" s="10">
        <f t="shared" si="113"/>
        <v>0</v>
      </c>
      <c r="H229" s="4"/>
      <c r="I229" s="5">
        <f>G229*D229</f>
        <v>0</v>
      </c>
      <c r="J229" s="5">
        <f>I229-H229</f>
        <v>0</v>
      </c>
      <c r="N229" s="51">
        <v>0</v>
      </c>
    </row>
    <row r="230" spans="1:17">
      <c r="A230" s="169" t="s">
        <v>1362</v>
      </c>
      <c r="B230" s="4"/>
      <c r="C230" s="4"/>
      <c r="D230" s="4">
        <v>45</v>
      </c>
      <c r="E230" s="4">
        <v>0</v>
      </c>
      <c r="F230" s="4">
        <v>50</v>
      </c>
      <c r="G230" s="10">
        <v>0</v>
      </c>
      <c r="H230" s="4"/>
      <c r="I230" s="5">
        <v>0</v>
      </c>
      <c r="J230" s="5">
        <f>I230-H230</f>
        <v>0</v>
      </c>
      <c r="N230" s="51">
        <v>0</v>
      </c>
    </row>
    <row r="231" spans="1:17">
      <c r="A231" s="169" t="s">
        <v>1363</v>
      </c>
      <c r="B231" s="4"/>
      <c r="C231" s="4"/>
      <c r="D231" s="4">
        <v>45</v>
      </c>
      <c r="E231" s="4">
        <v>1</v>
      </c>
      <c r="F231" s="4">
        <v>50</v>
      </c>
      <c r="G231" s="10">
        <f t="shared" ref="G231:G233" si="115">B231+C231/60</f>
        <v>0</v>
      </c>
      <c r="H231" s="4"/>
      <c r="I231" s="5">
        <f t="shared" ref="I231" si="116">G231*D231</f>
        <v>0</v>
      </c>
      <c r="J231" s="5">
        <f t="shared" ref="J231" si="117">I231-H231</f>
        <v>0</v>
      </c>
      <c r="N231" s="51">
        <v>0</v>
      </c>
    </row>
    <row r="232" spans="1:17">
      <c r="A232" s="169" t="s">
        <v>1364</v>
      </c>
      <c r="B232" s="4"/>
      <c r="C232" s="4"/>
      <c r="D232" s="4">
        <v>45</v>
      </c>
      <c r="E232" s="4">
        <v>1</v>
      </c>
      <c r="F232" s="4">
        <v>50</v>
      </c>
      <c r="G232" s="10">
        <f t="shared" si="115"/>
        <v>0</v>
      </c>
      <c r="H232" s="4"/>
      <c r="I232" s="5">
        <f>G232*D232</f>
        <v>0</v>
      </c>
      <c r="J232" s="5">
        <f>I232-H232</f>
        <v>0</v>
      </c>
      <c r="N232" s="51">
        <v>0</v>
      </c>
    </row>
    <row r="233" spans="1:17">
      <c r="A233" s="169" t="s">
        <v>1365</v>
      </c>
      <c r="B233" s="4"/>
      <c r="C233" s="4"/>
      <c r="D233" s="4">
        <v>45</v>
      </c>
      <c r="E233" s="4">
        <v>0</v>
      </c>
      <c r="F233" s="4">
        <v>50</v>
      </c>
      <c r="G233" s="10">
        <f t="shared" si="115"/>
        <v>0</v>
      </c>
      <c r="H233" s="4"/>
      <c r="I233" s="5">
        <f t="shared" ref="I233" si="118">G233*D233</f>
        <v>0</v>
      </c>
      <c r="J233" s="5">
        <f t="shared" ref="J233" si="119">I233-H233</f>
        <v>0</v>
      </c>
      <c r="N233" s="51">
        <v>0</v>
      </c>
    </row>
    <row r="234" spans="1:17" s="86" customFormat="1" ht="20" thickBot="1">
      <c r="A234" s="91" t="s">
        <v>549</v>
      </c>
      <c r="B234" s="8">
        <f>SUM(B235:B240)</f>
        <v>0</v>
      </c>
      <c r="C234" s="8">
        <f>SUM(C235:C240)</f>
        <v>0</v>
      </c>
      <c r="D234" s="126">
        <f>SUM(D235)</f>
        <v>45</v>
      </c>
      <c r="E234" s="126">
        <f>SUM(E235:E240)</f>
        <v>5</v>
      </c>
      <c r="F234" s="126">
        <f>SUM(F235:F240)</f>
        <v>300</v>
      </c>
      <c r="G234" s="123">
        <f t="shared" ref="G234:G251" si="120">B234+C234/60</f>
        <v>0</v>
      </c>
      <c r="H234" s="8">
        <f>SUM(H235:H241)</f>
        <v>0</v>
      </c>
      <c r="I234" s="9">
        <f>SUM(I235:I241)</f>
        <v>0</v>
      </c>
      <c r="J234" s="9">
        <f>SUM(J235:J241)</f>
        <v>0</v>
      </c>
      <c r="K234" s="8">
        <f>SUM(K235:K240)</f>
        <v>0</v>
      </c>
      <c r="L234" s="9">
        <v>0</v>
      </c>
      <c r="M234" s="96">
        <f>J234</f>
        <v>0</v>
      </c>
      <c r="N234" s="102">
        <f>SUM(N235:N240)</f>
        <v>0</v>
      </c>
      <c r="O234" s="98">
        <f>-N234</f>
        <v>0</v>
      </c>
    </row>
    <row r="235" spans="1:17">
      <c r="A235" s="6">
        <v>46125</v>
      </c>
      <c r="B235" s="7"/>
      <c r="C235" s="7"/>
      <c r="D235" s="4">
        <v>45</v>
      </c>
      <c r="E235" s="4">
        <v>1</v>
      </c>
      <c r="F235" s="4">
        <v>50</v>
      </c>
      <c r="G235" s="10">
        <f t="shared" si="120"/>
        <v>0</v>
      </c>
      <c r="H235" s="4"/>
      <c r="I235" s="5">
        <f t="shared" ref="I235:I240" si="121">G235*D235</f>
        <v>0</v>
      </c>
      <c r="J235" s="5">
        <f t="shared" ref="J235:J240" si="122">I235-H235</f>
        <v>0</v>
      </c>
      <c r="N235" s="119">
        <v>0</v>
      </c>
      <c r="O235" s="51"/>
    </row>
    <row r="236" spans="1:17">
      <c r="A236" s="6">
        <v>46126</v>
      </c>
      <c r="B236" s="4"/>
      <c r="C236" s="4"/>
      <c r="D236" s="4">
        <v>45</v>
      </c>
      <c r="E236" s="4">
        <v>0</v>
      </c>
      <c r="F236" s="4">
        <v>50</v>
      </c>
      <c r="G236" s="10">
        <f t="shared" si="120"/>
        <v>0</v>
      </c>
      <c r="H236" s="4"/>
      <c r="I236" s="5">
        <f t="shared" si="121"/>
        <v>0</v>
      </c>
      <c r="J236" s="5">
        <f t="shared" si="122"/>
        <v>0</v>
      </c>
      <c r="N236" s="119">
        <v>0</v>
      </c>
    </row>
    <row r="237" spans="1:17">
      <c r="A237" s="6">
        <v>46127</v>
      </c>
      <c r="B237" s="4"/>
      <c r="C237" s="4"/>
      <c r="D237" s="4">
        <v>65</v>
      </c>
      <c r="E237" s="4">
        <v>1</v>
      </c>
      <c r="F237" s="4">
        <v>50</v>
      </c>
      <c r="G237" s="10">
        <f t="shared" si="120"/>
        <v>0</v>
      </c>
      <c r="H237" s="4"/>
      <c r="I237" s="5">
        <f t="shared" si="121"/>
        <v>0</v>
      </c>
      <c r="J237" s="5">
        <f t="shared" si="122"/>
        <v>0</v>
      </c>
      <c r="N237" s="119">
        <v>0</v>
      </c>
      <c r="Q237" t="s">
        <v>64</v>
      </c>
    </row>
    <row r="238" spans="1:17">
      <c r="A238" s="6">
        <v>46128</v>
      </c>
      <c r="B238" s="4"/>
      <c r="C238" s="4"/>
      <c r="D238" s="4">
        <v>45</v>
      </c>
      <c r="E238" s="4">
        <v>1</v>
      </c>
      <c r="F238" s="4">
        <v>50</v>
      </c>
      <c r="G238" s="10">
        <f t="shared" si="120"/>
        <v>0</v>
      </c>
      <c r="H238" s="4"/>
      <c r="I238" s="5">
        <f t="shared" si="121"/>
        <v>0</v>
      </c>
      <c r="J238" s="5">
        <f t="shared" si="122"/>
        <v>0</v>
      </c>
      <c r="N238" s="119">
        <v>0</v>
      </c>
    </row>
    <row r="239" spans="1:17">
      <c r="A239" s="6">
        <v>46129</v>
      </c>
      <c r="B239" s="4"/>
      <c r="C239" s="4"/>
      <c r="D239" s="4">
        <v>45</v>
      </c>
      <c r="E239" s="4">
        <v>1</v>
      </c>
      <c r="F239" s="4">
        <v>50</v>
      </c>
      <c r="G239" s="10">
        <f t="shared" si="120"/>
        <v>0</v>
      </c>
      <c r="H239" s="4"/>
      <c r="I239" s="5">
        <f t="shared" si="121"/>
        <v>0</v>
      </c>
      <c r="J239" s="5">
        <f t="shared" si="122"/>
        <v>0</v>
      </c>
      <c r="N239" s="119">
        <v>0</v>
      </c>
    </row>
    <row r="240" spans="1:17">
      <c r="A240" s="6">
        <v>46130</v>
      </c>
      <c r="B240" s="4"/>
      <c r="C240" s="4"/>
      <c r="D240" s="4">
        <v>55</v>
      </c>
      <c r="E240" s="4">
        <v>1</v>
      </c>
      <c r="F240" s="4">
        <v>50</v>
      </c>
      <c r="G240" s="10">
        <f t="shared" si="120"/>
        <v>0</v>
      </c>
      <c r="H240" s="4"/>
      <c r="I240" s="5">
        <f t="shared" si="121"/>
        <v>0</v>
      </c>
      <c r="J240" s="5">
        <f t="shared" si="122"/>
        <v>0</v>
      </c>
      <c r="N240" s="119">
        <v>0</v>
      </c>
    </row>
    <row r="241" spans="1:17" ht="16" thickBot="1">
      <c r="A241" s="6">
        <v>46131</v>
      </c>
      <c r="B241" s="4"/>
      <c r="C241" s="4"/>
      <c r="D241" s="4">
        <v>0</v>
      </c>
      <c r="E241" s="4">
        <v>0</v>
      </c>
      <c r="F241" s="4">
        <v>50</v>
      </c>
      <c r="G241" s="10">
        <v>0</v>
      </c>
      <c r="H241" s="4"/>
      <c r="I241" s="5">
        <v>0</v>
      </c>
      <c r="J241" s="5">
        <v>0</v>
      </c>
      <c r="N241" s="119">
        <v>0</v>
      </c>
    </row>
    <row r="242" spans="1:17" ht="20" thickBot="1">
      <c r="A242" s="91" t="s">
        <v>551</v>
      </c>
      <c r="B242" s="8">
        <f>SUM(B243:B248)</f>
        <v>8</v>
      </c>
      <c r="C242" s="8">
        <f>SUM(C243:C248)</f>
        <v>38</v>
      </c>
      <c r="D242" s="8">
        <v>45</v>
      </c>
      <c r="E242" s="8">
        <f>SUM(E243:E248)</f>
        <v>3</v>
      </c>
      <c r="F242" s="8">
        <f>SUM(F243:F248)</f>
        <v>300</v>
      </c>
      <c r="G242" s="93">
        <f t="shared" si="120"/>
        <v>8.6333333333333329</v>
      </c>
      <c r="H242" s="8">
        <f>SUM(H243:H249)</f>
        <v>138</v>
      </c>
      <c r="I242" s="9">
        <f>SUM(I243:I248)</f>
        <v>388.5</v>
      </c>
      <c r="J242" s="14">
        <f>SUM(J243:J248)</f>
        <v>250.5</v>
      </c>
      <c r="K242" s="8">
        <f>SUM(K243:K249)</f>
        <v>14</v>
      </c>
      <c r="L242" s="9">
        <v>0</v>
      </c>
      <c r="M242" s="96">
        <f>J242</f>
        <v>250.5</v>
      </c>
      <c r="N242" s="102">
        <f>SUM(N243:N249)</f>
        <v>0</v>
      </c>
      <c r="O242" s="98">
        <f>-N242</f>
        <v>0</v>
      </c>
      <c r="P242" s="86"/>
      <c r="Q242" s="86"/>
    </row>
    <row r="243" spans="1:17">
      <c r="A243" s="6">
        <v>46160</v>
      </c>
      <c r="B243" s="4"/>
      <c r="C243" s="4"/>
      <c r="D243" s="4">
        <v>45</v>
      </c>
      <c r="E243" s="4">
        <v>1</v>
      </c>
      <c r="F243" s="4">
        <v>50</v>
      </c>
      <c r="G243" s="10">
        <f t="shared" si="120"/>
        <v>0</v>
      </c>
      <c r="H243" s="4"/>
      <c r="I243" s="5">
        <f t="shared" ref="I243:I248" si="123">G243*D243</f>
        <v>0</v>
      </c>
      <c r="J243" s="5">
        <f t="shared" ref="J243:J248" si="124">I243-H243</f>
        <v>0</v>
      </c>
      <c r="N243" s="119">
        <v>0</v>
      </c>
      <c r="O243" s="51"/>
    </row>
    <row r="244" spans="1:17">
      <c r="A244" s="6">
        <v>46161</v>
      </c>
      <c r="B244" s="4">
        <v>8</v>
      </c>
      <c r="C244" s="4">
        <v>38</v>
      </c>
      <c r="D244" s="4">
        <v>45</v>
      </c>
      <c r="E244" s="4">
        <v>0</v>
      </c>
      <c r="F244" s="4">
        <v>50</v>
      </c>
      <c r="G244" s="10">
        <f t="shared" si="120"/>
        <v>8.6333333333333329</v>
      </c>
      <c r="H244" s="4">
        <f>50+88</f>
        <v>138</v>
      </c>
      <c r="I244" s="5">
        <f t="shared" si="123"/>
        <v>388.5</v>
      </c>
      <c r="J244" s="5">
        <f t="shared" si="124"/>
        <v>250.5</v>
      </c>
      <c r="K244">
        <v>14</v>
      </c>
      <c r="N244" s="119">
        <v>0</v>
      </c>
      <c r="P244" t="s">
        <v>1395</v>
      </c>
    </row>
    <row r="245" spans="1:17">
      <c r="A245" s="6">
        <v>46162</v>
      </c>
      <c r="B245" s="4"/>
      <c r="C245" s="4"/>
      <c r="D245" s="4">
        <v>45</v>
      </c>
      <c r="E245" s="4">
        <v>1</v>
      </c>
      <c r="F245" s="4">
        <v>50</v>
      </c>
      <c r="G245" s="10">
        <f t="shared" si="120"/>
        <v>0</v>
      </c>
      <c r="H245" s="4"/>
      <c r="I245" s="5">
        <f t="shared" si="123"/>
        <v>0</v>
      </c>
      <c r="J245" s="5">
        <f t="shared" si="124"/>
        <v>0</v>
      </c>
      <c r="N245" s="119">
        <v>0</v>
      </c>
      <c r="Q245" t="s">
        <v>64</v>
      </c>
    </row>
    <row r="246" spans="1:17">
      <c r="A246" s="6">
        <v>46163</v>
      </c>
      <c r="B246" s="4"/>
      <c r="C246" s="4"/>
      <c r="D246" s="4">
        <v>45</v>
      </c>
      <c r="E246" s="4">
        <v>0</v>
      </c>
      <c r="F246" s="4">
        <v>50</v>
      </c>
      <c r="G246" s="10">
        <f t="shared" si="120"/>
        <v>0</v>
      </c>
      <c r="H246" s="4"/>
      <c r="I246" s="5">
        <f t="shared" si="123"/>
        <v>0</v>
      </c>
      <c r="J246" s="5">
        <f t="shared" si="124"/>
        <v>0</v>
      </c>
      <c r="N246" s="119">
        <v>0</v>
      </c>
    </row>
    <row r="247" spans="1:17">
      <c r="A247" s="6">
        <v>46164</v>
      </c>
      <c r="B247" s="4"/>
      <c r="C247" s="4"/>
      <c r="D247" s="4">
        <v>45</v>
      </c>
      <c r="E247" s="4">
        <v>0</v>
      </c>
      <c r="F247" s="4">
        <v>50</v>
      </c>
      <c r="G247" s="10">
        <f t="shared" si="120"/>
        <v>0</v>
      </c>
      <c r="H247" s="4"/>
      <c r="I247" s="5">
        <f t="shared" si="123"/>
        <v>0</v>
      </c>
      <c r="J247" s="5">
        <f t="shared" si="124"/>
        <v>0</v>
      </c>
      <c r="N247" s="119">
        <v>0</v>
      </c>
    </row>
    <row r="248" spans="1:17">
      <c r="A248" s="6">
        <v>46165</v>
      </c>
      <c r="B248" s="4"/>
      <c r="C248" s="4"/>
      <c r="D248" s="4">
        <v>45</v>
      </c>
      <c r="E248" s="4">
        <v>1</v>
      </c>
      <c r="F248" s="4">
        <v>50</v>
      </c>
      <c r="G248" s="10">
        <f t="shared" si="120"/>
        <v>0</v>
      </c>
      <c r="H248" s="4"/>
      <c r="I248" s="5">
        <f t="shared" si="123"/>
        <v>0</v>
      </c>
      <c r="J248" s="5">
        <f t="shared" si="124"/>
        <v>0</v>
      </c>
      <c r="N248" s="119">
        <v>0</v>
      </c>
    </row>
    <row r="249" spans="1:17" ht="16" thickBot="1">
      <c r="A249" s="6">
        <v>46166</v>
      </c>
      <c r="B249" s="4"/>
      <c r="C249" s="4"/>
      <c r="D249" s="4">
        <v>45</v>
      </c>
      <c r="E249" s="4">
        <v>1</v>
      </c>
      <c r="F249" s="4">
        <v>50</v>
      </c>
      <c r="G249" s="10">
        <f>B249+C249/60</f>
        <v>0</v>
      </c>
      <c r="H249" s="4"/>
      <c r="I249" s="5">
        <f>G249*D249</f>
        <v>0</v>
      </c>
      <c r="J249" s="5">
        <f>I249-H249</f>
        <v>0</v>
      </c>
      <c r="N249" s="119">
        <v>0</v>
      </c>
    </row>
    <row r="250" spans="1:17" s="86" customFormat="1" ht="20" thickBot="1">
      <c r="A250" s="91" t="s">
        <v>649</v>
      </c>
      <c r="B250" s="8">
        <f>SUM(B251:B256)</f>
        <v>10</v>
      </c>
      <c r="C250" s="8">
        <f>SUM(C251:C256)</f>
        <v>49</v>
      </c>
      <c r="D250" s="8">
        <f>SUM(D251)</f>
        <v>45</v>
      </c>
      <c r="E250" s="8">
        <f>SUM(E251:E256)</f>
        <v>5</v>
      </c>
      <c r="F250" s="8">
        <f>SUM(F251:F256)</f>
        <v>300</v>
      </c>
      <c r="G250" s="93">
        <f t="shared" si="120"/>
        <v>10.816666666666666</v>
      </c>
      <c r="H250" s="8">
        <f>SUM(H251:H257)</f>
        <v>100.5</v>
      </c>
      <c r="I250" s="9">
        <f>SUM(I251:I256)</f>
        <v>486.75</v>
      </c>
      <c r="J250" s="14">
        <f>SUM(J251:J256)</f>
        <v>386.25</v>
      </c>
      <c r="K250" s="8">
        <f>SUM(K251:K256)</f>
        <v>20</v>
      </c>
      <c r="L250" s="9">
        <v>0</v>
      </c>
      <c r="M250" s="96">
        <f>J250</f>
        <v>386.25</v>
      </c>
      <c r="N250" s="102">
        <f>SUM(N251:N257)</f>
        <v>0</v>
      </c>
      <c r="O250" s="98">
        <f>-N250</f>
        <v>0</v>
      </c>
    </row>
    <row r="251" spans="1:17">
      <c r="A251" s="6">
        <v>46160</v>
      </c>
      <c r="B251" s="4"/>
      <c r="C251" s="4"/>
      <c r="D251" s="4">
        <v>45</v>
      </c>
      <c r="E251" s="4">
        <v>1</v>
      </c>
      <c r="F251" s="4">
        <v>50</v>
      </c>
      <c r="G251" s="10">
        <f t="shared" si="120"/>
        <v>0</v>
      </c>
      <c r="H251" s="4"/>
      <c r="I251" s="5">
        <f t="shared" ref="I251:I256" si="125">G251*D251</f>
        <v>0</v>
      </c>
      <c r="J251" s="5">
        <f>I251-H251</f>
        <v>0</v>
      </c>
      <c r="N251" s="119">
        <v>0</v>
      </c>
      <c r="O251" s="51"/>
    </row>
    <row r="252" spans="1:17">
      <c r="A252" s="6">
        <v>46161</v>
      </c>
      <c r="B252" s="4"/>
      <c r="C252" s="4"/>
      <c r="D252" s="4">
        <v>45</v>
      </c>
      <c r="E252" s="4">
        <v>0</v>
      </c>
      <c r="F252" s="4">
        <v>50</v>
      </c>
      <c r="G252" s="10">
        <v>0</v>
      </c>
      <c r="H252" s="4"/>
      <c r="I252" s="5">
        <f t="shared" si="125"/>
        <v>0</v>
      </c>
      <c r="J252" s="5">
        <f t="shared" ref="J252:J255" si="126">I252-H252</f>
        <v>0</v>
      </c>
      <c r="N252" s="119">
        <v>0</v>
      </c>
    </row>
    <row r="253" spans="1:17">
      <c r="A253" s="6">
        <v>46162</v>
      </c>
      <c r="B253" s="4">
        <v>10</v>
      </c>
      <c r="C253" s="4">
        <v>49</v>
      </c>
      <c r="D253" s="4">
        <v>45</v>
      </c>
      <c r="E253" s="4">
        <v>1</v>
      </c>
      <c r="F253" s="4">
        <v>50</v>
      </c>
      <c r="G253" s="10">
        <f>B253+C253/60</f>
        <v>10.816666666666666</v>
      </c>
      <c r="H253" s="4">
        <f>50+50.5</f>
        <v>100.5</v>
      </c>
      <c r="I253" s="5">
        <f t="shared" si="125"/>
        <v>486.75</v>
      </c>
      <c r="J253" s="5">
        <f t="shared" si="126"/>
        <v>386.25</v>
      </c>
      <c r="K253">
        <v>20</v>
      </c>
      <c r="N253" s="119">
        <v>0</v>
      </c>
      <c r="Q253" t="s">
        <v>64</v>
      </c>
    </row>
    <row r="254" spans="1:17">
      <c r="A254" s="6">
        <v>46163</v>
      </c>
      <c r="B254" s="4"/>
      <c r="C254" s="4"/>
      <c r="D254" s="4">
        <v>45</v>
      </c>
      <c r="E254" s="4">
        <v>1</v>
      </c>
      <c r="F254" s="4">
        <v>50</v>
      </c>
      <c r="G254" s="10">
        <f>B254+C254/60</f>
        <v>0</v>
      </c>
      <c r="H254" s="4"/>
      <c r="I254" s="5">
        <f t="shared" si="125"/>
        <v>0</v>
      </c>
      <c r="J254" s="5">
        <f t="shared" si="126"/>
        <v>0</v>
      </c>
      <c r="N254" s="119">
        <v>0</v>
      </c>
    </row>
    <row r="255" spans="1:17">
      <c r="A255" s="6">
        <v>46164</v>
      </c>
      <c r="B255" s="4"/>
      <c r="C255" s="4"/>
      <c r="D255" s="4">
        <v>45</v>
      </c>
      <c r="E255" s="4">
        <v>1</v>
      </c>
      <c r="F255" s="4">
        <v>50</v>
      </c>
      <c r="G255" s="10">
        <f>B255+C255/60</f>
        <v>0</v>
      </c>
      <c r="H255" s="4"/>
      <c r="I255" s="5">
        <f t="shared" si="125"/>
        <v>0</v>
      </c>
      <c r="J255" s="5">
        <f t="shared" si="126"/>
        <v>0</v>
      </c>
      <c r="N255" s="119">
        <v>0</v>
      </c>
    </row>
    <row r="256" spans="1:17">
      <c r="A256" s="6">
        <v>46165</v>
      </c>
      <c r="B256" s="4"/>
      <c r="C256" s="4"/>
      <c r="D256" s="4">
        <v>45</v>
      </c>
      <c r="E256" s="4">
        <v>1</v>
      </c>
      <c r="F256" s="4">
        <v>50</v>
      </c>
      <c r="G256" s="10">
        <f>B256+C256/60</f>
        <v>0</v>
      </c>
      <c r="H256" s="4"/>
      <c r="I256" s="5">
        <f t="shared" si="125"/>
        <v>0</v>
      </c>
      <c r="J256" s="5">
        <f>I256-H256</f>
        <v>0</v>
      </c>
      <c r="N256" s="119">
        <v>0</v>
      </c>
    </row>
    <row r="257" spans="1:17">
      <c r="A257" s="6">
        <v>46166</v>
      </c>
      <c r="B257" s="4"/>
      <c r="C257" s="4"/>
      <c r="D257" s="4">
        <v>55</v>
      </c>
      <c r="E257" s="4">
        <v>1</v>
      </c>
      <c r="F257" s="4">
        <v>50</v>
      </c>
      <c r="G257" s="10">
        <f>B257+C257/60</f>
        <v>0</v>
      </c>
      <c r="H257" s="4"/>
      <c r="I257" s="5">
        <f>G257*D257</f>
        <v>0</v>
      </c>
      <c r="J257" s="5">
        <f>I257-H257</f>
        <v>0</v>
      </c>
      <c r="N257" s="119">
        <v>0</v>
      </c>
    </row>
    <row r="258" spans="1:17" s="86" customFormat="1" ht="20" thickBot="1">
      <c r="A258" s="91" t="s">
        <v>559</v>
      </c>
      <c r="B258" s="8">
        <f>SUM(B259:B264)</f>
        <v>11</v>
      </c>
      <c r="C258" s="8">
        <f>SUM(C259:C264)</f>
        <v>8</v>
      </c>
      <c r="D258" s="8">
        <f>SUM(D259)</f>
        <v>65</v>
      </c>
      <c r="E258" s="8">
        <f>SUM(E259:E264)</f>
        <v>6</v>
      </c>
      <c r="F258" s="8">
        <f>SUM(F259:F264)</f>
        <v>300</v>
      </c>
      <c r="G258" s="93">
        <f t="shared" ref="G258:G297" si="127">B258+C258/60</f>
        <v>11.133333333333333</v>
      </c>
      <c r="H258" s="8">
        <f>SUM(H259:H265)</f>
        <v>50</v>
      </c>
      <c r="I258" s="9">
        <f>SUM(I259:I264)</f>
        <v>723.66666666666663</v>
      </c>
      <c r="J258" s="14">
        <f>SUM(J259:J264)</f>
        <v>673.66666666666663</v>
      </c>
      <c r="K258" s="8">
        <f>SUM(K259:K265)</f>
        <v>35</v>
      </c>
      <c r="L258" s="9">
        <v>0</v>
      </c>
      <c r="M258" s="96">
        <f>J258</f>
        <v>673.66666666666663</v>
      </c>
      <c r="N258" s="102">
        <f>SUM(N259:N264)</f>
        <v>0</v>
      </c>
      <c r="O258" s="98">
        <f>-N258</f>
        <v>0</v>
      </c>
    </row>
    <row r="259" spans="1:17">
      <c r="A259" s="6">
        <v>46160</v>
      </c>
      <c r="B259" s="4"/>
      <c r="C259" s="4"/>
      <c r="D259" s="4">
        <v>65</v>
      </c>
      <c r="E259" s="4">
        <v>1</v>
      </c>
      <c r="F259" s="4">
        <v>50</v>
      </c>
      <c r="G259" s="10">
        <f t="shared" si="127"/>
        <v>0</v>
      </c>
      <c r="H259" s="4"/>
      <c r="I259" s="5">
        <f t="shared" ref="I259:I264" si="128">G259*D259</f>
        <v>0</v>
      </c>
      <c r="J259" s="5">
        <f t="shared" ref="J259:J264" si="129">I259-H259</f>
        <v>0</v>
      </c>
      <c r="N259" s="51">
        <v>0</v>
      </c>
      <c r="O259" s="51"/>
    </row>
    <row r="260" spans="1:17">
      <c r="A260" s="6">
        <v>46161</v>
      </c>
      <c r="B260" s="4">
        <v>11</v>
      </c>
      <c r="C260" s="4">
        <v>8</v>
      </c>
      <c r="D260" s="4">
        <v>65</v>
      </c>
      <c r="E260" s="4">
        <v>1</v>
      </c>
      <c r="F260" s="4">
        <v>50</v>
      </c>
      <c r="G260" s="10">
        <f t="shared" si="127"/>
        <v>11.133333333333333</v>
      </c>
      <c r="H260" s="4">
        <v>50</v>
      </c>
      <c r="I260" s="5">
        <f t="shared" si="128"/>
        <v>723.66666666666663</v>
      </c>
      <c r="J260" s="5">
        <f t="shared" si="129"/>
        <v>673.66666666666663</v>
      </c>
      <c r="K260">
        <v>35</v>
      </c>
      <c r="N260" s="51">
        <v>0</v>
      </c>
    </row>
    <row r="261" spans="1:17">
      <c r="A261" s="6">
        <v>46162</v>
      </c>
      <c r="B261" s="4"/>
      <c r="C261" s="4"/>
      <c r="D261" s="4">
        <v>65</v>
      </c>
      <c r="E261" s="4">
        <v>1</v>
      </c>
      <c r="F261" s="4">
        <v>50</v>
      </c>
      <c r="G261" s="10">
        <f t="shared" si="127"/>
        <v>0</v>
      </c>
      <c r="H261" s="4"/>
      <c r="I261" s="5">
        <f t="shared" si="128"/>
        <v>0</v>
      </c>
      <c r="J261" s="5">
        <f t="shared" si="129"/>
        <v>0</v>
      </c>
      <c r="N261" s="51">
        <v>0</v>
      </c>
      <c r="Q261" t="s">
        <v>64</v>
      </c>
    </row>
    <row r="262" spans="1:17">
      <c r="A262" s="6">
        <v>46163</v>
      </c>
      <c r="B262" s="4"/>
      <c r="C262" s="4"/>
      <c r="D262" s="4">
        <v>45</v>
      </c>
      <c r="E262" s="4">
        <v>1</v>
      </c>
      <c r="F262" s="4">
        <v>50</v>
      </c>
      <c r="G262" s="10">
        <f t="shared" si="127"/>
        <v>0</v>
      </c>
      <c r="H262" s="4"/>
      <c r="I262" s="5">
        <f t="shared" si="128"/>
        <v>0</v>
      </c>
      <c r="J262" s="5">
        <f t="shared" si="129"/>
        <v>0</v>
      </c>
      <c r="N262" s="51">
        <v>0</v>
      </c>
    </row>
    <row r="263" spans="1:17">
      <c r="A263" s="6">
        <v>46164</v>
      </c>
      <c r="B263" s="4"/>
      <c r="C263" s="4"/>
      <c r="D263" s="4">
        <v>55</v>
      </c>
      <c r="E263" s="4">
        <v>1</v>
      </c>
      <c r="F263" s="4">
        <v>50</v>
      </c>
      <c r="G263" s="10">
        <f t="shared" si="127"/>
        <v>0</v>
      </c>
      <c r="H263" s="4"/>
      <c r="I263" s="5">
        <f t="shared" si="128"/>
        <v>0</v>
      </c>
      <c r="J263" s="5">
        <f t="shared" si="129"/>
        <v>0</v>
      </c>
      <c r="N263" s="51">
        <v>0</v>
      </c>
    </row>
    <row r="264" spans="1:17">
      <c r="A264" s="6">
        <v>46165</v>
      </c>
      <c r="B264" s="4"/>
      <c r="C264" s="4"/>
      <c r="D264" s="4">
        <v>65</v>
      </c>
      <c r="E264" s="4">
        <v>1</v>
      </c>
      <c r="F264" s="4">
        <v>50</v>
      </c>
      <c r="G264" s="10">
        <f t="shared" si="127"/>
        <v>0</v>
      </c>
      <c r="H264" s="4"/>
      <c r="I264" s="5">
        <f t="shared" si="128"/>
        <v>0</v>
      </c>
      <c r="J264" s="5">
        <f t="shared" si="129"/>
        <v>0</v>
      </c>
      <c r="N264" s="51">
        <v>0</v>
      </c>
    </row>
    <row r="265" spans="1:17">
      <c r="A265" s="6">
        <v>46166</v>
      </c>
      <c r="B265" s="4"/>
      <c r="C265" s="4"/>
      <c r="D265" s="4">
        <v>45</v>
      </c>
      <c r="E265" s="4">
        <v>0</v>
      </c>
      <c r="F265" s="4">
        <v>50</v>
      </c>
      <c r="G265" s="10">
        <f t="shared" ref="G265" si="130">B265+C265/60</f>
        <v>0</v>
      </c>
      <c r="H265" s="4"/>
      <c r="I265" s="5">
        <f t="shared" ref="I265" si="131">G265*D265</f>
        <v>0</v>
      </c>
      <c r="J265" s="5">
        <f t="shared" ref="J265" si="132">I265-H265</f>
        <v>0</v>
      </c>
      <c r="N265" s="51">
        <v>0</v>
      </c>
    </row>
    <row r="266" spans="1:17" s="86" customFormat="1" ht="19">
      <c r="A266" s="91" t="s">
        <v>560</v>
      </c>
      <c r="B266" s="8">
        <f>SUM(B267:B273)</f>
        <v>0</v>
      </c>
      <c r="C266" s="8">
        <f>SUM(C267:C273)</f>
        <v>0</v>
      </c>
      <c r="D266" s="8">
        <f>SUM(D267)</f>
        <v>45</v>
      </c>
      <c r="E266" s="8">
        <f>SUM(E267:E280)</f>
        <v>16</v>
      </c>
      <c r="F266" s="8">
        <f>SUM(F267:F280)</f>
        <v>950</v>
      </c>
      <c r="G266" s="93">
        <f t="shared" si="127"/>
        <v>0</v>
      </c>
      <c r="H266" s="8">
        <f>SUM(H267:H273)</f>
        <v>0</v>
      </c>
      <c r="I266" s="9">
        <f>SUM(I267:I273)</f>
        <v>0</v>
      </c>
      <c r="J266" s="14">
        <f>SUM(J267:J273)</f>
        <v>0</v>
      </c>
      <c r="K266" s="8">
        <f>SUM(K267:K273)</f>
        <v>0</v>
      </c>
      <c r="L266" s="9">
        <v>0</v>
      </c>
      <c r="M266" s="96">
        <f>J266</f>
        <v>0</v>
      </c>
      <c r="N266" s="102">
        <f>SUM(N267:N273)</f>
        <v>0</v>
      </c>
      <c r="O266" s="98">
        <f>-N266</f>
        <v>0</v>
      </c>
    </row>
    <row r="267" spans="1:17">
      <c r="A267" s="169" t="s">
        <v>1394</v>
      </c>
      <c r="B267" s="4"/>
      <c r="C267" s="4"/>
      <c r="D267" s="4">
        <v>45</v>
      </c>
      <c r="E267" s="4">
        <v>1</v>
      </c>
      <c r="F267" s="4">
        <v>50</v>
      </c>
      <c r="G267" s="10">
        <f t="shared" si="127"/>
        <v>0</v>
      </c>
      <c r="H267" s="4"/>
      <c r="I267" s="5">
        <f t="shared" ref="I267:I272" si="133">G267*D267</f>
        <v>0</v>
      </c>
      <c r="J267" s="5">
        <f t="shared" ref="J267:J272" si="134">I267-H267</f>
        <v>0</v>
      </c>
      <c r="N267" s="51">
        <v>0</v>
      </c>
      <c r="O267" s="51"/>
    </row>
    <row r="268" spans="1:17">
      <c r="A268" s="169" t="s">
        <v>1360</v>
      </c>
      <c r="B268" s="4"/>
      <c r="C268" s="4"/>
      <c r="D268" s="4">
        <v>45</v>
      </c>
      <c r="E268" s="4">
        <v>1</v>
      </c>
      <c r="F268" s="4">
        <v>50</v>
      </c>
      <c r="G268" s="10">
        <f t="shared" si="127"/>
        <v>0</v>
      </c>
      <c r="H268" s="4"/>
      <c r="I268" s="5">
        <f t="shared" si="133"/>
        <v>0</v>
      </c>
      <c r="J268" s="5">
        <f t="shared" si="134"/>
        <v>0</v>
      </c>
      <c r="N268" s="51">
        <v>0</v>
      </c>
    </row>
    <row r="269" spans="1:17">
      <c r="A269" s="169" t="s">
        <v>1361</v>
      </c>
      <c r="B269" s="4"/>
      <c r="C269" s="4"/>
      <c r="D269" s="4">
        <v>45</v>
      </c>
      <c r="E269" s="4">
        <v>0</v>
      </c>
      <c r="F269" s="4">
        <v>50</v>
      </c>
      <c r="G269" s="10">
        <f t="shared" si="127"/>
        <v>0</v>
      </c>
      <c r="H269" s="4"/>
      <c r="I269" s="5">
        <f t="shared" si="133"/>
        <v>0</v>
      </c>
      <c r="J269" s="5">
        <f t="shared" si="134"/>
        <v>0</v>
      </c>
      <c r="N269" s="51">
        <v>0</v>
      </c>
      <c r="Q269" t="s">
        <v>64</v>
      </c>
    </row>
    <row r="270" spans="1:17">
      <c r="A270" s="169" t="s">
        <v>1362</v>
      </c>
      <c r="B270" s="4"/>
      <c r="C270" s="4"/>
      <c r="D270" s="4">
        <v>45</v>
      </c>
      <c r="E270" s="4">
        <v>1</v>
      </c>
      <c r="F270" s="4">
        <v>50</v>
      </c>
      <c r="G270" s="10">
        <f t="shared" si="127"/>
        <v>0</v>
      </c>
      <c r="H270" s="4"/>
      <c r="I270" s="5">
        <f t="shared" si="133"/>
        <v>0</v>
      </c>
      <c r="J270" s="5">
        <f t="shared" si="134"/>
        <v>0</v>
      </c>
      <c r="N270" s="51">
        <v>0</v>
      </c>
    </row>
    <row r="271" spans="1:17">
      <c r="A271" s="169" t="s">
        <v>1363</v>
      </c>
      <c r="B271" s="4"/>
      <c r="C271" s="4"/>
      <c r="D271" s="4">
        <v>45</v>
      </c>
      <c r="E271" s="4">
        <v>1</v>
      </c>
      <c r="F271" s="4">
        <v>50</v>
      </c>
      <c r="G271" s="10">
        <f t="shared" si="127"/>
        <v>0</v>
      </c>
      <c r="H271" s="4"/>
      <c r="I271" s="5">
        <f t="shared" si="133"/>
        <v>0</v>
      </c>
      <c r="J271" s="5">
        <f t="shared" si="134"/>
        <v>0</v>
      </c>
      <c r="N271" s="51">
        <v>0</v>
      </c>
    </row>
    <row r="272" spans="1:17">
      <c r="A272" s="169" t="s">
        <v>1364</v>
      </c>
      <c r="B272" s="4"/>
      <c r="C272" s="4"/>
      <c r="D272" s="12">
        <v>55</v>
      </c>
      <c r="E272" s="12">
        <v>1</v>
      </c>
      <c r="F272" s="12">
        <v>50</v>
      </c>
      <c r="G272" s="10">
        <f t="shared" si="127"/>
        <v>0</v>
      </c>
      <c r="H272" s="4"/>
      <c r="I272" s="5">
        <f t="shared" si="133"/>
        <v>0</v>
      </c>
      <c r="J272" s="5">
        <f t="shared" si="134"/>
        <v>0</v>
      </c>
      <c r="N272" s="51">
        <v>0</v>
      </c>
    </row>
    <row r="273" spans="1:17">
      <c r="A273" s="169" t="s">
        <v>1365</v>
      </c>
      <c r="B273" s="4"/>
      <c r="C273" s="172"/>
      <c r="D273" s="167">
        <v>45</v>
      </c>
      <c r="E273" s="167">
        <v>1</v>
      </c>
      <c r="F273" s="167">
        <v>50</v>
      </c>
      <c r="G273" s="10">
        <f>B273+C273/60</f>
        <v>0</v>
      </c>
      <c r="H273" s="4"/>
      <c r="I273" s="5">
        <f>G273*D273</f>
        <v>0</v>
      </c>
      <c r="J273" s="5">
        <f>I273-H273</f>
        <v>0</v>
      </c>
      <c r="N273" s="51">
        <v>0</v>
      </c>
    </row>
    <row r="274" spans="1:17" s="86" customFormat="1" ht="19">
      <c r="A274" s="91" t="s">
        <v>562</v>
      </c>
      <c r="B274" s="8">
        <f>SUM(B275:B280)</f>
        <v>0</v>
      </c>
      <c r="C274" s="173">
        <f>SUM(C275:C280)</f>
        <v>0</v>
      </c>
      <c r="D274" s="171">
        <f>SUM(D275)</f>
        <v>45</v>
      </c>
      <c r="E274" s="171">
        <f>SUM(E275:E280)</f>
        <v>5</v>
      </c>
      <c r="F274" s="171">
        <f>SUM(F275:F280)</f>
        <v>300</v>
      </c>
      <c r="G274" s="175">
        <f t="shared" si="127"/>
        <v>0</v>
      </c>
      <c r="H274" s="8">
        <f>SUM(H275:H281)</f>
        <v>0</v>
      </c>
      <c r="I274" s="14">
        <f>SUM(I275:I281)</f>
        <v>0</v>
      </c>
      <c r="J274" s="14">
        <f>SUM(J275:J281)</f>
        <v>0</v>
      </c>
      <c r="K274" s="8">
        <f>SUM(K275:K281)</f>
        <v>0</v>
      </c>
      <c r="L274" s="9">
        <v>0</v>
      </c>
      <c r="M274" s="96">
        <f>J274</f>
        <v>0</v>
      </c>
      <c r="N274" s="102">
        <f>SUM(N275:N280)</f>
        <v>0</v>
      </c>
      <c r="O274" s="98">
        <f>-N274</f>
        <v>0</v>
      </c>
    </row>
    <row r="275" spans="1:17">
      <c r="A275" s="6">
        <v>46125</v>
      </c>
      <c r="B275" s="4"/>
      <c r="C275" s="4"/>
      <c r="D275" s="141">
        <v>45</v>
      </c>
      <c r="E275" s="141">
        <v>1</v>
      </c>
      <c r="F275" s="141">
        <v>50</v>
      </c>
      <c r="G275" s="10">
        <f t="shared" si="127"/>
        <v>0</v>
      </c>
      <c r="H275" s="4"/>
      <c r="I275" s="5">
        <f t="shared" ref="I275:I277" si="135">G275*D275</f>
        <v>0</v>
      </c>
      <c r="J275" s="5">
        <f t="shared" ref="J275:J279" si="136">I275-H275</f>
        <v>0</v>
      </c>
      <c r="N275" s="51">
        <v>0</v>
      </c>
      <c r="O275" s="51"/>
    </row>
    <row r="276" spans="1:17">
      <c r="A276" s="6">
        <v>46126</v>
      </c>
      <c r="B276" s="4"/>
      <c r="C276" s="4"/>
      <c r="D276" s="4">
        <v>45</v>
      </c>
      <c r="E276" s="4">
        <v>1</v>
      </c>
      <c r="F276" s="4">
        <v>50</v>
      </c>
      <c r="G276" s="10">
        <f t="shared" si="127"/>
        <v>0</v>
      </c>
      <c r="H276" s="4"/>
      <c r="I276" s="5">
        <f t="shared" si="135"/>
        <v>0</v>
      </c>
      <c r="J276" s="5">
        <f t="shared" si="136"/>
        <v>0</v>
      </c>
      <c r="N276" s="51">
        <v>0</v>
      </c>
    </row>
    <row r="277" spans="1:17">
      <c r="A277" s="6">
        <v>46127</v>
      </c>
      <c r="B277" s="4"/>
      <c r="C277" s="4"/>
      <c r="D277" s="4">
        <v>45</v>
      </c>
      <c r="E277" s="4">
        <v>1</v>
      </c>
      <c r="F277" s="4">
        <v>50</v>
      </c>
      <c r="G277" s="10">
        <f t="shared" si="127"/>
        <v>0</v>
      </c>
      <c r="H277" s="4"/>
      <c r="I277" s="5">
        <f t="shared" si="135"/>
        <v>0</v>
      </c>
      <c r="J277" s="5">
        <f t="shared" si="136"/>
        <v>0</v>
      </c>
      <c r="N277" s="51">
        <v>0</v>
      </c>
      <c r="Q277" t="s">
        <v>64</v>
      </c>
    </row>
    <row r="278" spans="1:17">
      <c r="A278" s="6">
        <v>46128</v>
      </c>
      <c r="B278" s="4"/>
      <c r="C278" s="4"/>
      <c r="D278" s="4">
        <v>45</v>
      </c>
      <c r="E278" s="4">
        <v>0</v>
      </c>
      <c r="F278" s="4">
        <v>50</v>
      </c>
      <c r="G278" s="10">
        <f t="shared" si="127"/>
        <v>0</v>
      </c>
      <c r="H278" s="4"/>
      <c r="I278" s="5">
        <f>G278*D278</f>
        <v>0</v>
      </c>
      <c r="J278" s="5">
        <f t="shared" si="136"/>
        <v>0</v>
      </c>
      <c r="N278" s="51">
        <v>0</v>
      </c>
    </row>
    <row r="279" spans="1:17">
      <c r="A279" s="6">
        <v>46129</v>
      </c>
      <c r="B279" s="4"/>
      <c r="C279" s="4"/>
      <c r="D279" s="4">
        <v>45</v>
      </c>
      <c r="E279" s="4">
        <v>1</v>
      </c>
      <c r="F279" s="4">
        <v>50</v>
      </c>
      <c r="G279" s="10">
        <f t="shared" si="127"/>
        <v>0</v>
      </c>
      <c r="H279" s="4"/>
      <c r="I279" s="5">
        <f t="shared" ref="I279" si="137">G279*D279</f>
        <v>0</v>
      </c>
      <c r="J279" s="5">
        <f t="shared" si="136"/>
        <v>0</v>
      </c>
      <c r="N279" s="51">
        <v>0</v>
      </c>
    </row>
    <row r="280" spans="1:17">
      <c r="A280" s="6">
        <v>46130</v>
      </c>
      <c r="B280" s="4"/>
      <c r="C280" s="4"/>
      <c r="D280" s="4">
        <v>45</v>
      </c>
      <c r="E280" s="4">
        <v>1</v>
      </c>
      <c r="F280" s="4">
        <v>50</v>
      </c>
      <c r="G280" s="10">
        <f>B280+C280/60</f>
        <v>0</v>
      </c>
      <c r="H280" s="4"/>
      <c r="I280" s="5">
        <f>G280*D280</f>
        <v>0</v>
      </c>
      <c r="J280" s="5">
        <f>I280-H280</f>
        <v>0</v>
      </c>
      <c r="N280" s="51">
        <v>0</v>
      </c>
    </row>
    <row r="281" spans="1:17">
      <c r="A281" s="6">
        <v>46131</v>
      </c>
      <c r="B281" s="4"/>
      <c r="C281" s="4"/>
      <c r="D281" s="4">
        <v>45</v>
      </c>
      <c r="E281" s="4">
        <v>1</v>
      </c>
      <c r="F281" s="4">
        <v>50</v>
      </c>
      <c r="G281" s="10">
        <f>B281+C281/60</f>
        <v>0</v>
      </c>
      <c r="H281" s="4"/>
      <c r="I281" s="5">
        <f>G281*D281</f>
        <v>0</v>
      </c>
      <c r="J281" s="5">
        <f>I281-H281</f>
        <v>0</v>
      </c>
      <c r="N281" s="51">
        <v>0</v>
      </c>
    </row>
    <row r="282" spans="1:17" s="86" customFormat="1" ht="19">
      <c r="A282" s="91" t="s">
        <v>1187</v>
      </c>
      <c r="B282" s="8">
        <f>SUM(B283:B289)</f>
        <v>26</v>
      </c>
      <c r="C282" s="173">
        <f>SUM(C283:C289)</f>
        <v>41</v>
      </c>
      <c r="D282" s="171">
        <f>SUM(D283)</f>
        <v>45</v>
      </c>
      <c r="E282" s="171">
        <f>SUM(E283:E289)</f>
        <v>5</v>
      </c>
      <c r="F282" s="171">
        <f>SUM(F283:F289)</f>
        <v>350</v>
      </c>
      <c r="G282" s="175">
        <f>B282+C282/60</f>
        <v>26.683333333333334</v>
      </c>
      <c r="H282" s="8">
        <f>SUM(H283:H289)</f>
        <v>245.5</v>
      </c>
      <c r="I282" s="14">
        <f>SUM(I283:I289)</f>
        <v>1200.75</v>
      </c>
      <c r="J282" s="14">
        <f>SUM(J283:J289)</f>
        <v>955.25</v>
      </c>
      <c r="K282" s="8">
        <f>SUM(K283:K289)</f>
        <v>58</v>
      </c>
      <c r="L282" s="9">
        <v>0</v>
      </c>
      <c r="M282" s="96">
        <f>J282</f>
        <v>955.25</v>
      </c>
      <c r="N282" s="102">
        <f>SUM(N283:N289)</f>
        <v>0</v>
      </c>
      <c r="O282" s="98">
        <f>-N282</f>
        <v>0</v>
      </c>
    </row>
    <row r="283" spans="1:17">
      <c r="A283" s="6" t="s">
        <v>1385</v>
      </c>
      <c r="B283" s="4">
        <v>10</v>
      </c>
      <c r="C283" s="4">
        <v>1</v>
      </c>
      <c r="D283" s="141">
        <v>45</v>
      </c>
      <c r="E283" s="141">
        <v>0</v>
      </c>
      <c r="F283" s="141">
        <v>50</v>
      </c>
      <c r="G283" s="10">
        <f t="shared" ref="G283:G287" si="138">B283+C283/60</f>
        <v>10.016666666666667</v>
      </c>
      <c r="H283" s="4">
        <f>50+95.5</f>
        <v>145.5</v>
      </c>
      <c r="I283" s="5">
        <f t="shared" ref="I283:I285" si="139">G283*D283</f>
        <v>450.75000000000006</v>
      </c>
      <c r="J283" s="5">
        <f t="shared" ref="J283:J287" si="140">I283-H283</f>
        <v>305.25000000000006</v>
      </c>
      <c r="K283">
        <v>20</v>
      </c>
      <c r="N283" s="51">
        <v>0</v>
      </c>
      <c r="O283" s="51"/>
      <c r="P283" t="s">
        <v>1396</v>
      </c>
    </row>
    <row r="284" spans="1:17">
      <c r="A284" s="80" t="s">
        <v>1356</v>
      </c>
      <c r="B284" s="4">
        <v>9</v>
      </c>
      <c r="C284" s="4">
        <v>24</v>
      </c>
      <c r="D284" s="4">
        <v>45</v>
      </c>
      <c r="E284" s="4">
        <v>1</v>
      </c>
      <c r="F284" s="4">
        <v>50</v>
      </c>
      <c r="G284" s="10">
        <f t="shared" si="138"/>
        <v>9.4</v>
      </c>
      <c r="H284" s="4">
        <v>50</v>
      </c>
      <c r="I284" s="5">
        <f t="shared" si="139"/>
        <v>423</v>
      </c>
      <c r="J284" s="5">
        <f t="shared" si="140"/>
        <v>373</v>
      </c>
      <c r="K284">
        <v>23</v>
      </c>
      <c r="N284" s="51">
        <v>0</v>
      </c>
      <c r="P284" t="s">
        <v>1397</v>
      </c>
    </row>
    <row r="285" spans="1:17">
      <c r="A285" s="80" t="s">
        <v>1391</v>
      </c>
      <c r="B285" s="4">
        <v>7</v>
      </c>
      <c r="C285" s="4">
        <v>16</v>
      </c>
      <c r="D285" s="4">
        <v>45</v>
      </c>
      <c r="E285" s="4">
        <v>1</v>
      </c>
      <c r="F285" s="4">
        <v>50</v>
      </c>
      <c r="G285" s="10">
        <f t="shared" si="138"/>
        <v>7.2666666666666666</v>
      </c>
      <c r="H285" s="4">
        <v>50</v>
      </c>
      <c r="I285" s="5">
        <f t="shared" si="139"/>
        <v>327</v>
      </c>
      <c r="J285" s="5">
        <f t="shared" si="140"/>
        <v>277</v>
      </c>
      <c r="K285">
        <v>15</v>
      </c>
      <c r="N285" s="51">
        <v>0</v>
      </c>
      <c r="Q285" t="s">
        <v>64</v>
      </c>
    </row>
    <row r="286" spans="1:17">
      <c r="A286" s="80" t="s">
        <v>1398</v>
      </c>
      <c r="B286" s="4"/>
      <c r="C286" s="4"/>
      <c r="D286" s="4">
        <v>45</v>
      </c>
      <c r="E286" s="4">
        <v>0</v>
      </c>
      <c r="F286" s="4">
        <v>50</v>
      </c>
      <c r="G286" s="10">
        <f t="shared" si="138"/>
        <v>0</v>
      </c>
      <c r="H286" s="4"/>
      <c r="I286" s="5">
        <f>G286*D286</f>
        <v>0</v>
      </c>
      <c r="J286" s="5">
        <f t="shared" si="140"/>
        <v>0</v>
      </c>
      <c r="N286" s="51">
        <v>0</v>
      </c>
    </row>
    <row r="287" spans="1:17">
      <c r="A287" s="80" t="s">
        <v>1353</v>
      </c>
      <c r="B287" s="4"/>
      <c r="C287" s="4"/>
      <c r="D287" s="4">
        <v>45</v>
      </c>
      <c r="E287" s="4">
        <v>1</v>
      </c>
      <c r="F287" s="4">
        <v>50</v>
      </c>
      <c r="G287" s="10">
        <f t="shared" si="138"/>
        <v>0</v>
      </c>
      <c r="H287" s="4"/>
      <c r="I287" s="5">
        <f t="shared" ref="I287" si="141">G287*D287</f>
        <v>0</v>
      </c>
      <c r="J287" s="5">
        <f t="shared" si="140"/>
        <v>0</v>
      </c>
      <c r="N287" s="51">
        <v>0</v>
      </c>
    </row>
    <row r="288" spans="1:17">
      <c r="A288" s="80" t="s">
        <v>1354</v>
      </c>
      <c r="B288" s="4"/>
      <c r="C288" s="4"/>
      <c r="D288" s="4">
        <v>45</v>
      </c>
      <c r="E288" s="4">
        <v>1</v>
      </c>
      <c r="F288" s="4">
        <v>50</v>
      </c>
      <c r="G288" s="10">
        <f>B288+C288/60</f>
        <v>0</v>
      </c>
      <c r="H288" s="4"/>
      <c r="I288" s="5">
        <f>G288*D288</f>
        <v>0</v>
      </c>
      <c r="J288" s="5">
        <f>I288-H288</f>
        <v>0</v>
      </c>
      <c r="N288" s="51"/>
    </row>
    <row r="289" spans="1:17">
      <c r="A289" s="80" t="s">
        <v>1355</v>
      </c>
      <c r="B289" s="4"/>
      <c r="C289" s="4"/>
      <c r="D289" s="4">
        <v>45</v>
      </c>
      <c r="E289" s="4">
        <v>1</v>
      </c>
      <c r="F289" s="4">
        <v>50</v>
      </c>
      <c r="G289" s="10">
        <f t="shared" ref="G289" si="142">B289+C289/60</f>
        <v>0</v>
      </c>
      <c r="H289" s="4"/>
      <c r="I289" s="5">
        <f t="shared" ref="I289" si="143">G289*D289</f>
        <v>0</v>
      </c>
      <c r="J289" s="5">
        <f t="shared" ref="J289" si="144">I289-H289</f>
        <v>0</v>
      </c>
      <c r="N289" s="51">
        <v>0</v>
      </c>
    </row>
    <row r="290" spans="1:17" s="86" customFormat="1" ht="19">
      <c r="A290" s="91" t="s">
        <v>1192</v>
      </c>
      <c r="B290" s="8">
        <f>SUM(B291:B297)</f>
        <v>0</v>
      </c>
      <c r="C290" s="8">
        <f>SUM(C291:C297)</f>
        <v>0</v>
      </c>
      <c r="D290" s="8">
        <f>SUM(D291)</f>
        <v>45</v>
      </c>
      <c r="E290" s="8">
        <f>SUM(E291:E297)</f>
        <v>5</v>
      </c>
      <c r="F290" s="8">
        <f>SUM(F291:F297)</f>
        <v>350</v>
      </c>
      <c r="G290" s="93">
        <f t="shared" si="127"/>
        <v>0</v>
      </c>
      <c r="H290" s="8">
        <f>SUM(H291:H297)</f>
        <v>0</v>
      </c>
      <c r="I290" s="9">
        <f>SUM(I291:I297)</f>
        <v>0</v>
      </c>
      <c r="J290" s="14">
        <f>SUM(J291:J297)</f>
        <v>0</v>
      </c>
      <c r="K290" s="8">
        <f>SUM(K291:K297)</f>
        <v>0</v>
      </c>
      <c r="L290" s="9">
        <v>0</v>
      </c>
      <c r="M290" s="96">
        <f>J290</f>
        <v>0</v>
      </c>
      <c r="N290" s="102">
        <f>SUM(N291:N297)</f>
        <v>0</v>
      </c>
      <c r="O290" s="98">
        <f>-N290</f>
        <v>0</v>
      </c>
    </row>
    <row r="291" spans="1:17">
      <c r="A291" s="6">
        <v>46125</v>
      </c>
      <c r="B291" s="4"/>
      <c r="C291" s="4"/>
      <c r="D291" s="4">
        <v>45</v>
      </c>
      <c r="E291" s="4">
        <v>0</v>
      </c>
      <c r="F291" s="4">
        <v>50</v>
      </c>
      <c r="G291" s="10">
        <f t="shared" si="127"/>
        <v>0</v>
      </c>
      <c r="H291" s="4"/>
      <c r="I291" s="5">
        <f t="shared" ref="I291:I297" si="145">G291*D291</f>
        <v>0</v>
      </c>
      <c r="J291" s="5">
        <f t="shared" ref="J291:J297" si="146">I291-H291</f>
        <v>0</v>
      </c>
      <c r="N291" s="51">
        <v>0</v>
      </c>
      <c r="O291" s="51"/>
    </row>
    <row r="292" spans="1:17">
      <c r="A292" s="6">
        <v>46126</v>
      </c>
      <c r="B292" s="4"/>
      <c r="C292" s="4"/>
      <c r="D292" s="4">
        <v>45</v>
      </c>
      <c r="E292" s="4">
        <v>1</v>
      </c>
      <c r="F292" s="4">
        <v>50</v>
      </c>
      <c r="G292" s="10">
        <f t="shared" si="127"/>
        <v>0</v>
      </c>
      <c r="H292" s="4"/>
      <c r="I292" s="5">
        <f t="shared" si="145"/>
        <v>0</v>
      </c>
      <c r="J292" s="5">
        <f t="shared" si="146"/>
        <v>0</v>
      </c>
      <c r="N292" s="51">
        <v>0</v>
      </c>
      <c r="P292" s="195"/>
    </row>
    <row r="293" spans="1:17">
      <c r="A293" s="6">
        <v>46127</v>
      </c>
      <c r="B293" s="4"/>
      <c r="C293" s="4"/>
      <c r="D293" s="4">
        <v>45</v>
      </c>
      <c r="E293" s="4">
        <v>1</v>
      </c>
      <c r="F293" s="4">
        <v>50</v>
      </c>
      <c r="G293" s="10">
        <f t="shared" si="127"/>
        <v>0</v>
      </c>
      <c r="H293" s="4"/>
      <c r="I293" s="5">
        <f t="shared" si="145"/>
        <v>0</v>
      </c>
      <c r="J293" s="5">
        <f t="shared" si="146"/>
        <v>0</v>
      </c>
      <c r="N293" s="51">
        <v>0</v>
      </c>
      <c r="Q293" t="s">
        <v>64</v>
      </c>
    </row>
    <row r="294" spans="1:17">
      <c r="A294" s="6">
        <v>46128</v>
      </c>
      <c r="B294" s="4"/>
      <c r="C294" s="4"/>
      <c r="D294" s="4">
        <v>45</v>
      </c>
      <c r="E294" s="4">
        <v>1</v>
      </c>
      <c r="F294" s="4">
        <v>50</v>
      </c>
      <c r="G294" s="10">
        <f t="shared" si="127"/>
        <v>0</v>
      </c>
      <c r="H294" s="4"/>
      <c r="I294" s="5">
        <f t="shared" si="145"/>
        <v>0</v>
      </c>
      <c r="J294" s="5">
        <f t="shared" si="146"/>
        <v>0</v>
      </c>
      <c r="N294" s="51">
        <v>0</v>
      </c>
    </row>
    <row r="295" spans="1:17">
      <c r="A295" s="6">
        <v>46129</v>
      </c>
      <c r="B295" s="4"/>
      <c r="C295" s="4"/>
      <c r="D295" s="4">
        <v>45</v>
      </c>
      <c r="E295" s="4">
        <v>1</v>
      </c>
      <c r="F295" s="4">
        <v>50</v>
      </c>
      <c r="G295" s="10">
        <f t="shared" si="127"/>
        <v>0</v>
      </c>
      <c r="H295" s="4"/>
      <c r="I295" s="5">
        <f t="shared" si="145"/>
        <v>0</v>
      </c>
      <c r="J295" s="5">
        <f t="shared" si="146"/>
        <v>0</v>
      </c>
      <c r="N295" s="51">
        <v>0</v>
      </c>
    </row>
    <row r="296" spans="1:17">
      <c r="A296" s="6">
        <v>46130</v>
      </c>
      <c r="B296" s="4"/>
      <c r="C296" s="4"/>
      <c r="D296" s="4">
        <v>45</v>
      </c>
      <c r="E296" s="4">
        <v>1</v>
      </c>
      <c r="F296" s="4">
        <v>50</v>
      </c>
      <c r="G296" s="10">
        <f t="shared" si="127"/>
        <v>0</v>
      </c>
      <c r="H296" s="4"/>
      <c r="I296" s="5">
        <f t="shared" si="145"/>
        <v>0</v>
      </c>
      <c r="J296" s="5">
        <f t="shared" si="146"/>
        <v>0</v>
      </c>
      <c r="N296" s="51">
        <v>0</v>
      </c>
    </row>
    <row r="297" spans="1:17">
      <c r="A297" s="6">
        <v>46131</v>
      </c>
      <c r="B297" s="4"/>
      <c r="C297" s="4"/>
      <c r="D297" s="4">
        <v>45</v>
      </c>
      <c r="E297" s="4">
        <v>0</v>
      </c>
      <c r="F297" s="4">
        <v>50</v>
      </c>
      <c r="G297" s="10">
        <f t="shared" si="127"/>
        <v>0</v>
      </c>
      <c r="H297" s="4"/>
      <c r="I297" s="5">
        <f t="shared" si="145"/>
        <v>0</v>
      </c>
      <c r="J297" s="5">
        <f t="shared" si="146"/>
        <v>0</v>
      </c>
      <c r="N297" s="51">
        <v>0</v>
      </c>
    </row>
    <row r="298" spans="1:17">
      <c r="A298" s="80"/>
      <c r="G298" s="133"/>
      <c r="H298" s="131"/>
      <c r="I298" s="132"/>
      <c r="J298" s="132"/>
      <c r="N298" s="119"/>
    </row>
    <row r="299" spans="1:17" ht="33" customHeight="1">
      <c r="A299" t="s">
        <v>17</v>
      </c>
      <c r="H299" s="121">
        <f t="shared" ref="H299:O299" si="147">H3+H11+H19+H27+H35+H58+H74+H90+H82+H106+H114+H122+H130+H138+H98+H146+H154+H162+H170+H282+H186+H194+H178+H210+H218+H226+H234+H242+H250+H258+H266+H274+H290</f>
        <v>1975.5</v>
      </c>
      <c r="I299" s="121">
        <f t="shared" si="147"/>
        <v>11672.666666666666</v>
      </c>
      <c r="J299" s="121">
        <f t="shared" si="147"/>
        <v>9697.1666666666661</v>
      </c>
      <c r="K299" s="122">
        <f t="shared" si="147"/>
        <v>572</v>
      </c>
      <c r="L299" s="121">
        <f t="shared" si="147"/>
        <v>0</v>
      </c>
      <c r="M299" s="121">
        <f>M3+M11+M19+M27+M35+M58+M74+M90+M82+M106+M114+M122+M130+M138+M98+M146+M154+M162+M170+M282+M186+M194+M178+M210+M218+M226+M234+M242+M250+M258+M266+M274+M290</f>
        <v>9697.1666666666661</v>
      </c>
      <c r="N299" s="121">
        <f t="shared" si="147"/>
        <v>0</v>
      </c>
      <c r="O299" s="125">
        <f t="shared" si="14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Driver Earnings (Formulas)</vt:lpstr>
      <vt:lpstr>15-21 Dec</vt:lpstr>
      <vt:lpstr>2-8 Feb</vt:lpstr>
      <vt:lpstr>22-28 Dec</vt:lpstr>
      <vt:lpstr>29-4 Jan </vt:lpstr>
      <vt:lpstr>5-11 Jan</vt:lpstr>
      <vt:lpstr>19-25 Jan</vt:lpstr>
      <vt:lpstr>12-18 JAN</vt:lpstr>
      <vt:lpstr>26-1 Feb</vt:lpstr>
      <vt:lpstr>9-15 Feb</vt:lpstr>
      <vt:lpstr>16-22 Feb</vt:lpstr>
      <vt:lpstr>23Feb-1Mar</vt:lpstr>
      <vt:lpstr>30 Mar-5Apr</vt:lpstr>
      <vt:lpstr>6-12Apr</vt:lpstr>
      <vt:lpstr>2-8Mar</vt:lpstr>
      <vt:lpstr>9-15 Mar</vt:lpstr>
      <vt:lpstr>16-22 Mar</vt:lpstr>
      <vt:lpstr>23-2   9 Mar</vt:lpstr>
      <vt:lpstr>13-19Apr</vt:lpstr>
      <vt:lpstr>20-26Apr</vt:lpstr>
      <vt:lpstr>27Apr-3May</vt:lpstr>
      <vt:lpstr>4-10May</vt:lpstr>
      <vt:lpstr>11-17May</vt:lpstr>
      <vt:lpstr>18-25May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Lennie de Villiers</cp:lastModifiedBy>
  <cp:revision/>
  <dcterms:created xsi:type="dcterms:W3CDTF">2025-12-08T11:41:44Z</dcterms:created>
  <dcterms:modified xsi:type="dcterms:W3CDTF">2026-05-21T11:57:41Z</dcterms:modified>
  <cp:category/>
  <cp:contentStatus/>
</cp:coreProperties>
</file>